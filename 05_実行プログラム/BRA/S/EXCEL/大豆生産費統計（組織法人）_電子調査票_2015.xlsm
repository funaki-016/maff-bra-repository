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9.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18.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drawings/drawing19.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20.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76ECEBDE-0077-4636-B204-108F44F514A0}"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組織" sheetId="3" r:id="rId2"/>
    <sheet name="約束事項_大豆" sheetId="4" r:id="rId3"/>
    <sheet name="目次_組織_米以外" sheetId="5" r:id="rId4"/>
    <sheet name="【１】経営の概況①_組織_米以外" sheetId="6" r:id="rId5"/>
    <sheet name="【１】経営の概況③_組織_麦・大豆・なたね・そば"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リスト!$BS$5:$BS$21</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W17" i="19" l="1"/>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B44" i="24"/>
  <c r="AZ44" i="24"/>
  <c r="AZ47" i="24" s="1"/>
  <c r="AY44" i="24"/>
  <c r="AY47" i="24" s="1"/>
  <c r="AX44" i="24"/>
  <c r="AX47" i="24" s="1"/>
  <c r="AW44" i="24"/>
  <c r="AZ43" i="24"/>
  <c r="AY43" i="24"/>
  <c r="AX43" i="24"/>
  <c r="AW43" i="24"/>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5"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O50"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C116" i="18" s="1"/>
  <c r="AW115" i="18"/>
  <c r="AV115" i="18"/>
  <c r="AU115" i="18"/>
  <c r="AQ115" i="18"/>
  <c r="AP115" i="18"/>
  <c r="AO115" i="18"/>
  <c r="AN115" i="18"/>
  <c r="AM115" i="18"/>
  <c r="Z115" i="18"/>
  <c r="AF115" i="18" s="1"/>
  <c r="AW114" i="18"/>
  <c r="AV114" i="18"/>
  <c r="AU114" i="18"/>
  <c r="AQ114" i="18"/>
  <c r="AP114" i="18"/>
  <c r="AO114" i="18"/>
  <c r="AN114" i="18"/>
  <c r="AM114" i="18"/>
  <c r="Z114" i="18"/>
  <c r="AW113" i="18"/>
  <c r="AV113" i="18"/>
  <c r="AU113" i="18"/>
  <c r="AQ113" i="18"/>
  <c r="AP113" i="18"/>
  <c r="AO113" i="18"/>
  <c r="AN113" i="18"/>
  <c r="AM113" i="18"/>
  <c r="Z113" i="18"/>
  <c r="AF113" i="18" s="1"/>
  <c r="AW112" i="18"/>
  <c r="AV112" i="18"/>
  <c r="AU112" i="18"/>
  <c r="AQ112" i="18"/>
  <c r="AP112" i="18"/>
  <c r="AO112" i="18"/>
  <c r="AN112" i="18"/>
  <c r="AM112" i="18"/>
  <c r="Z112" i="18"/>
  <c r="AC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F109" i="18" s="1"/>
  <c r="AW108" i="18"/>
  <c r="AV108" i="18"/>
  <c r="AU108" i="18"/>
  <c r="AQ108" i="18"/>
  <c r="AP108" i="18"/>
  <c r="AO108" i="18"/>
  <c r="AN108" i="18"/>
  <c r="AM108" i="18"/>
  <c r="Z108" i="18"/>
  <c r="AC108" i="18" s="1"/>
  <c r="AW107" i="18"/>
  <c r="AV107" i="18"/>
  <c r="AU107" i="18"/>
  <c r="AQ107" i="18"/>
  <c r="AP107" i="18"/>
  <c r="AO107" i="18"/>
  <c r="AN107" i="18"/>
  <c r="AM107" i="18"/>
  <c r="Z107" i="18"/>
  <c r="AF107" i="18" s="1"/>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C104" i="18" s="1"/>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W95" i="18"/>
  <c r="AV95" i="18"/>
  <c r="AU95" i="18"/>
  <c r="AQ95" i="18"/>
  <c r="AP95" i="18"/>
  <c r="AO95" i="18"/>
  <c r="AN95" i="18"/>
  <c r="AM95" i="18"/>
  <c r="Z95" i="18"/>
  <c r="AF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F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C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C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C72" i="18" s="1"/>
  <c r="AW71" i="18"/>
  <c r="AV71" i="18"/>
  <c r="AU71" i="18"/>
  <c r="AQ71" i="18"/>
  <c r="AP71" i="18"/>
  <c r="AO71" i="18"/>
  <c r="AN71" i="18"/>
  <c r="AM71" i="18"/>
  <c r="Z71" i="18"/>
  <c r="AC71" i="18" s="1"/>
  <c r="AW70" i="18"/>
  <c r="AV70" i="18"/>
  <c r="AU70" i="18"/>
  <c r="AQ70" i="18"/>
  <c r="AP70" i="18"/>
  <c r="AO70" i="18"/>
  <c r="AN70" i="18"/>
  <c r="AM70" i="18"/>
  <c r="Z70" i="18"/>
  <c r="AW69" i="18"/>
  <c r="AV69" i="18"/>
  <c r="AU69" i="18"/>
  <c r="AQ69" i="18"/>
  <c r="AP69" i="18"/>
  <c r="AO69" i="18"/>
  <c r="AN69" i="18"/>
  <c r="AM69" i="18"/>
  <c r="Z69" i="18"/>
  <c r="AF69" i="18" s="1"/>
  <c r="AW68" i="18"/>
  <c r="AV68" i="18"/>
  <c r="AU68" i="18"/>
  <c r="AQ68" i="18"/>
  <c r="AP68" i="18"/>
  <c r="AO68" i="18"/>
  <c r="AN68" i="18"/>
  <c r="AM68" i="18"/>
  <c r="Z68" i="18"/>
  <c r="AC68" i="18" s="1"/>
  <c r="AW67" i="18"/>
  <c r="AV67" i="18"/>
  <c r="AU67" i="18"/>
  <c r="AQ67" i="18"/>
  <c r="AP67" i="18"/>
  <c r="AO67" i="18"/>
  <c r="AN67" i="18"/>
  <c r="AM67" i="18"/>
  <c r="Z67" i="18"/>
  <c r="AC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C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F61" i="18" s="1"/>
  <c r="AW60" i="18"/>
  <c r="AV60" i="18"/>
  <c r="AU60" i="18"/>
  <c r="AQ60" i="18"/>
  <c r="AP60" i="18"/>
  <c r="AO60" i="18"/>
  <c r="AN60" i="18"/>
  <c r="AM60" i="18"/>
  <c r="Z60" i="18"/>
  <c r="AF60" i="18" s="1"/>
  <c r="AW59" i="18"/>
  <c r="AV59" i="18"/>
  <c r="AU59" i="18"/>
  <c r="AQ59" i="18"/>
  <c r="AP59" i="18"/>
  <c r="AO59" i="18"/>
  <c r="AN59" i="18"/>
  <c r="AM59" i="18"/>
  <c r="Z59" i="18"/>
  <c r="AW58" i="18"/>
  <c r="AV58" i="18"/>
  <c r="AU58" i="18"/>
  <c r="AQ58" i="18"/>
  <c r="AP58" i="18"/>
  <c r="AO58" i="18"/>
  <c r="AN58" i="18"/>
  <c r="AM58" i="18"/>
  <c r="Z58" i="18"/>
  <c r="AC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C55" i="18" s="1"/>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F52" i="18" s="1"/>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F48" i="18" s="1"/>
  <c r="AW47" i="18"/>
  <c r="AV47" i="18"/>
  <c r="AU47" i="18"/>
  <c r="AQ47" i="18"/>
  <c r="AP47" i="18"/>
  <c r="AO47" i="18"/>
  <c r="AN47" i="18"/>
  <c r="AM47" i="18"/>
  <c r="Z47" i="18"/>
  <c r="AW46" i="18"/>
  <c r="AV46" i="18"/>
  <c r="AU46" i="18"/>
  <c r="AQ46" i="18"/>
  <c r="AP46" i="18"/>
  <c r="AO46" i="18"/>
  <c r="AN46" i="18"/>
  <c r="AM46" i="18"/>
  <c r="Z46" i="18"/>
  <c r="AB46" i="18" s="1"/>
  <c r="AW45" i="18"/>
  <c r="AV45" i="18"/>
  <c r="AU45" i="18"/>
  <c r="AQ45" i="18"/>
  <c r="AP45" i="18"/>
  <c r="AO45" i="18"/>
  <c r="AN45" i="18"/>
  <c r="AM45" i="18"/>
  <c r="Z45" i="18"/>
  <c r="AF45" i="18" s="1"/>
  <c r="AW44" i="18"/>
  <c r="AV44" i="18"/>
  <c r="AU44" i="18"/>
  <c r="AQ44" i="18"/>
  <c r="AP44" i="18"/>
  <c r="AO44" i="18"/>
  <c r="AN44" i="18"/>
  <c r="AM44" i="18"/>
  <c r="Z44" i="18"/>
  <c r="AF44" i="18" s="1"/>
  <c r="AW43" i="18"/>
  <c r="AV43" i="18"/>
  <c r="AU43" i="18"/>
  <c r="AQ43" i="18"/>
  <c r="AP43" i="18"/>
  <c r="AO43" i="18"/>
  <c r="AN43" i="18"/>
  <c r="AM43" i="18"/>
  <c r="Z43" i="18"/>
  <c r="AW42" i="18"/>
  <c r="AV42" i="18"/>
  <c r="AU42" i="18"/>
  <c r="AQ42" i="18"/>
  <c r="AP42" i="18"/>
  <c r="AO42" i="18"/>
  <c r="AN42" i="18"/>
  <c r="AM42" i="18"/>
  <c r="Z42" i="18"/>
  <c r="AC42" i="18" s="1"/>
  <c r="AW41" i="18"/>
  <c r="AV41" i="18"/>
  <c r="AU41" i="18"/>
  <c r="AQ41" i="18"/>
  <c r="AP41" i="18"/>
  <c r="AO41" i="18"/>
  <c r="AN41" i="18"/>
  <c r="AM41" i="18"/>
  <c r="Z41" i="18"/>
  <c r="AF41" i="18" s="1"/>
  <c r="AW40" i="18"/>
  <c r="AV40" i="18"/>
  <c r="AU40" i="18"/>
  <c r="AQ40" i="18"/>
  <c r="AP40" i="18"/>
  <c r="AO40" i="18"/>
  <c r="AN40" i="18"/>
  <c r="AM40" i="18"/>
  <c r="Z40" i="18"/>
  <c r="AF40" i="18" s="1"/>
  <c r="AW39" i="18"/>
  <c r="AV39" i="18"/>
  <c r="AU39" i="18"/>
  <c r="AQ39" i="18"/>
  <c r="AP39" i="18"/>
  <c r="AO39" i="18"/>
  <c r="AN39" i="18"/>
  <c r="AM39" i="18"/>
  <c r="Z39" i="18"/>
  <c r="AW38" i="18"/>
  <c r="AV38" i="18"/>
  <c r="AU38" i="18"/>
  <c r="AQ38" i="18"/>
  <c r="AP38" i="18"/>
  <c r="AO38" i="18"/>
  <c r="AN38" i="18"/>
  <c r="AM38" i="18"/>
  <c r="Z38" i="18"/>
  <c r="AC38" i="18" s="1"/>
  <c r="AW37" i="18"/>
  <c r="AV37" i="18"/>
  <c r="AU37" i="18"/>
  <c r="AQ37" i="18"/>
  <c r="AP37" i="18"/>
  <c r="AO37" i="18"/>
  <c r="AN37" i="18"/>
  <c r="AM37" i="18"/>
  <c r="Z37" i="18"/>
  <c r="AF37" i="18" s="1"/>
  <c r="AW36" i="18"/>
  <c r="AV36" i="18"/>
  <c r="AU36" i="18"/>
  <c r="AQ36" i="18"/>
  <c r="AP36" i="18"/>
  <c r="AO36" i="18"/>
  <c r="AN36" i="18"/>
  <c r="AM36" i="18"/>
  <c r="Z36" i="18"/>
  <c r="AF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F33" i="18" s="1"/>
  <c r="AW32" i="18"/>
  <c r="AV32" i="18"/>
  <c r="AU32" i="18"/>
  <c r="AQ32" i="18"/>
  <c r="AP32" i="18"/>
  <c r="AO32" i="18"/>
  <c r="AN32" i="18"/>
  <c r="AM32" i="18"/>
  <c r="Z32" i="18"/>
  <c r="AF32" i="18" s="1"/>
  <c r="AW31" i="18"/>
  <c r="AV31" i="18"/>
  <c r="AU31" i="18"/>
  <c r="AQ31" i="18"/>
  <c r="AP31" i="18"/>
  <c r="AO31" i="18"/>
  <c r="AN31" i="18"/>
  <c r="AM31" i="18"/>
  <c r="Z31" i="18"/>
  <c r="AW30" i="18"/>
  <c r="AV30" i="18"/>
  <c r="AU30" i="18"/>
  <c r="AQ30" i="18"/>
  <c r="AP30" i="18"/>
  <c r="AO30" i="18"/>
  <c r="AN30" i="18"/>
  <c r="AM30" i="18"/>
  <c r="Z30" i="18"/>
  <c r="AA30" i="18" s="1"/>
  <c r="AI30" i="18" s="1"/>
  <c r="AW29" i="18"/>
  <c r="AV29" i="18"/>
  <c r="AU29" i="18"/>
  <c r="AQ29" i="18"/>
  <c r="AP29" i="18"/>
  <c r="AO29" i="18"/>
  <c r="AN29" i="18"/>
  <c r="AM29" i="18"/>
  <c r="Z29" i="18"/>
  <c r="AF29" i="18" s="1"/>
  <c r="AW28" i="18"/>
  <c r="AV28" i="18"/>
  <c r="AU28" i="18"/>
  <c r="AQ28" i="18"/>
  <c r="AP28" i="18"/>
  <c r="AO28" i="18"/>
  <c r="AN28" i="18"/>
  <c r="AM28" i="18"/>
  <c r="Z28" i="18"/>
  <c r="AF28" i="18" s="1"/>
  <c r="AW27" i="18"/>
  <c r="AV27" i="18"/>
  <c r="AU27" i="18"/>
  <c r="AQ27" i="18"/>
  <c r="AP27" i="18"/>
  <c r="AO27" i="18"/>
  <c r="AN27" i="18"/>
  <c r="AM27" i="18"/>
  <c r="Z27" i="18"/>
  <c r="AW26" i="18"/>
  <c r="AV26" i="18"/>
  <c r="AU26" i="18"/>
  <c r="AQ26" i="18"/>
  <c r="AP26" i="18"/>
  <c r="AO26" i="18"/>
  <c r="AN26" i="18"/>
  <c r="AM26" i="18"/>
  <c r="Z26" i="18"/>
  <c r="AW25" i="18"/>
  <c r="AV25" i="18"/>
  <c r="AU25" i="18"/>
  <c r="AQ25" i="18"/>
  <c r="AP25" i="18"/>
  <c r="AO25" i="18"/>
  <c r="AN25" i="18"/>
  <c r="AM25" i="18"/>
  <c r="Z25" i="18"/>
  <c r="AF25" i="18" s="1"/>
  <c r="AW24" i="18"/>
  <c r="AV24" i="18"/>
  <c r="AU24" i="18"/>
  <c r="AQ24" i="18"/>
  <c r="AP24" i="18"/>
  <c r="AO24" i="18"/>
  <c r="AN24" i="18"/>
  <c r="AM24" i="18"/>
  <c r="Z24" i="18"/>
  <c r="AF24" i="18" s="1"/>
  <c r="AW23" i="18"/>
  <c r="AV23" i="18"/>
  <c r="AU23" i="18"/>
  <c r="AQ23" i="18"/>
  <c r="AP23" i="18"/>
  <c r="AO23" i="18"/>
  <c r="AN23" i="18"/>
  <c r="AM23" i="18"/>
  <c r="Z23" i="18"/>
  <c r="AW22" i="18"/>
  <c r="AV22" i="18"/>
  <c r="AU22" i="18"/>
  <c r="AQ22" i="18"/>
  <c r="AP22" i="18"/>
  <c r="AO22" i="18"/>
  <c r="AN22" i="18"/>
  <c r="AM22" i="18"/>
  <c r="Z22" i="18"/>
  <c r="AC22" i="18" s="1"/>
  <c r="AW21" i="18"/>
  <c r="AV21" i="18"/>
  <c r="AU21" i="18"/>
  <c r="AQ21" i="18"/>
  <c r="AP21" i="18"/>
  <c r="AO21" i="18"/>
  <c r="AN21" i="18"/>
  <c r="AM21" i="18"/>
  <c r="Z21" i="18"/>
  <c r="AF21" i="18" s="1"/>
  <c r="AW20" i="18"/>
  <c r="AV20" i="18"/>
  <c r="AU20" i="18"/>
  <c r="AQ20" i="18"/>
  <c r="AP20" i="18"/>
  <c r="AO20" i="18"/>
  <c r="AN20" i="18"/>
  <c r="AM20" i="18"/>
  <c r="Z20" i="18"/>
  <c r="AF20" i="18" s="1"/>
  <c r="AW19" i="18"/>
  <c r="AV19" i="18"/>
  <c r="AU19" i="18"/>
  <c r="AQ19" i="18"/>
  <c r="AP19" i="18"/>
  <c r="AO19" i="18"/>
  <c r="AN19" i="18"/>
  <c r="AM19" i="18"/>
  <c r="Z19" i="18"/>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T28" i="17"/>
  <c r="AS28" i="17"/>
  <c r="AR28" i="17"/>
  <c r="AQ28" i="17"/>
  <c r="AP28" i="17"/>
  <c r="AM28" i="17"/>
  <c r="AL28" i="17"/>
  <c r="AJ28" i="17"/>
  <c r="AT27" i="17"/>
  <c r="AS27" i="17"/>
  <c r="AR27" i="17"/>
  <c r="AQ27" i="17"/>
  <c r="AP27" i="17"/>
  <c r="AM27" i="17"/>
  <c r="AL27" i="17"/>
  <c r="AT26" i="17"/>
  <c r="AS26" i="17"/>
  <c r="AR26" i="17"/>
  <c r="AQ26" i="17"/>
  <c r="AP26" i="17"/>
  <c r="AM26" i="17"/>
  <c r="AL26" i="17"/>
  <c r="AJ26" i="17"/>
  <c r="AT25" i="17"/>
  <c r="AS25" i="17"/>
  <c r="AR25" i="17"/>
  <c r="AQ25" i="17"/>
  <c r="AP25" i="17"/>
  <c r="AM25" i="17"/>
  <c r="AL25" i="17"/>
  <c r="AT24" i="17"/>
  <c r="AS24" i="17"/>
  <c r="AR24" i="17"/>
  <c r="AQ24" i="17"/>
  <c r="AP24" i="17"/>
  <c r="AM24" i="17"/>
  <c r="AL24" i="17"/>
  <c r="AJ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J18" i="17"/>
  <c r="AT17" i="17"/>
  <c r="AS17" i="17"/>
  <c r="AR17" i="17"/>
  <c r="AQ17" i="17"/>
  <c r="AP17" i="17"/>
  <c r="AM17" i="17"/>
  <c r="AL17" i="17"/>
  <c r="AT16" i="17"/>
  <c r="AS16" i="17"/>
  <c r="AS14" i="17" s="1"/>
  <c r="AR16" i="17"/>
  <c r="AR14" i="17" s="1"/>
  <c r="AQ16" i="17"/>
  <c r="AP16" i="17"/>
  <c r="AP14" i="17" s="1"/>
  <c r="AM16" i="17"/>
  <c r="AL16" i="17"/>
  <c r="AT15" i="17"/>
  <c r="AS15" i="17"/>
  <c r="AR15" i="17"/>
  <c r="AQ15" i="17"/>
  <c r="AP15" i="17"/>
  <c r="AO15" i="17"/>
  <c r="AT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93" i="8"/>
  <c r="AE93" i="8" s="1"/>
  <c r="AE92" i="8"/>
  <c r="AC92" i="8"/>
  <c r="AC81" i="8"/>
  <c r="AE81" i="8" s="1"/>
  <c r="AC80" i="8"/>
  <c r="AC79" i="8"/>
  <c r="AE79" i="8" s="1"/>
  <c r="AE30" i="8"/>
  <c r="AC30" i="8"/>
  <c r="AD30" i="8" s="1"/>
  <c r="AE18" i="8"/>
  <c r="AC18" i="8"/>
  <c r="AE17" i="8"/>
  <c r="AC17" i="8"/>
  <c r="AE16" i="8"/>
  <c r="AC16" i="8"/>
  <c r="AE15" i="8"/>
  <c r="AC15" i="8"/>
  <c r="AM32" i="7"/>
  <c r="AL32" i="7"/>
  <c r="AM31" i="7"/>
  <c r="AL31" i="7"/>
  <c r="AM30" i="7"/>
  <c r="AL30" i="7"/>
  <c r="AM29" i="7"/>
  <c r="AL29" i="7"/>
  <c r="AM28" i="7"/>
  <c r="AL28" i="7"/>
  <c r="AE38" i="6"/>
  <c r="AF30" i="6"/>
  <c r="AG30" i="6" s="1"/>
  <c r="H60" i="3"/>
  <c r="E12" i="2"/>
  <c r="AW45" i="24" l="1"/>
  <c r="AX45" i="24"/>
  <c r="AB42" i="19"/>
  <c r="AM42" i="19" s="1"/>
  <c r="AD94" i="19"/>
  <c r="AD17" i="19"/>
  <c r="AE17" i="19" s="1"/>
  <c r="AF17" i="19" s="1"/>
  <c r="AC17" i="19"/>
  <c r="AB17" i="19"/>
  <c r="AL17" i="19" s="1"/>
  <c r="AC18" i="19"/>
  <c r="AB18" i="19"/>
  <c r="AH18" i="19" s="1"/>
  <c r="AB19" i="19"/>
  <c r="AM19" i="19" s="1"/>
  <c r="AC19" i="19"/>
  <c r="AB20" i="19"/>
  <c r="AC20" i="19"/>
  <c r="AB21" i="19"/>
  <c r="AC21" i="19"/>
  <c r="AD22" i="19"/>
  <c r="AB22" i="19"/>
  <c r="AC22" i="19"/>
  <c r="AB23" i="19"/>
  <c r="AC23" i="19"/>
  <c r="AG24" i="19"/>
  <c r="AB24" i="19"/>
  <c r="AC24" i="19"/>
  <c r="AB25" i="19"/>
  <c r="AC25" i="19"/>
  <c r="AD26" i="19"/>
  <c r="AB26" i="19"/>
  <c r="AC26" i="19"/>
  <c r="AE26" i="19" s="1"/>
  <c r="AF26" i="19" s="1"/>
  <c r="AB27" i="19"/>
  <c r="AC27" i="19"/>
  <c r="AG28" i="19"/>
  <c r="AB28" i="19"/>
  <c r="AM28" i="19" s="1"/>
  <c r="AC28" i="19"/>
  <c r="AB29" i="19"/>
  <c r="AC29" i="19"/>
  <c r="AD30" i="19"/>
  <c r="AB30" i="19"/>
  <c r="AC30" i="19"/>
  <c r="AB31" i="19"/>
  <c r="AM31" i="19" s="1"/>
  <c r="AC31" i="19"/>
  <c r="AD15" i="8"/>
  <c r="AY45" i="24"/>
  <c r="O11" i="20"/>
  <c r="O12" i="20" s="1"/>
  <c r="Z16" i="17"/>
  <c r="AG16" i="17" s="1"/>
  <c r="AO16" i="17" s="1"/>
  <c r="AO14" i="17" s="1"/>
  <c r="AO13" i="17" s="1"/>
  <c r="AU84" i="19"/>
  <c r="AU82" i="19"/>
  <c r="AD97" i="19"/>
  <c r="AB97" i="19"/>
  <c r="AC97" i="19"/>
  <c r="AE97" i="19" s="1"/>
  <c r="AF97" i="19" s="1"/>
  <c r="AB107" i="19"/>
  <c r="AJ107" i="19" s="1"/>
  <c r="AC107" i="19"/>
  <c r="AD108" i="19"/>
  <c r="AB108" i="19"/>
  <c r="AJ108" i="19" s="1"/>
  <c r="AC108" i="19"/>
  <c r="AB109" i="19"/>
  <c r="AH109" i="19" s="1"/>
  <c r="AC109" i="19"/>
  <c r="AB111" i="19"/>
  <c r="AC111" i="19"/>
  <c r="AD112" i="19"/>
  <c r="AB112" i="19"/>
  <c r="AL112" i="19" s="1"/>
  <c r="AC112" i="19"/>
  <c r="AB113" i="19"/>
  <c r="AH113" i="19" s="1"/>
  <c r="AC113" i="19"/>
  <c r="AB114" i="19"/>
  <c r="AH114" i="19" s="1"/>
  <c r="AC114" i="19"/>
  <c r="AB115" i="19"/>
  <c r="AC115" i="19"/>
  <c r="AB116" i="19"/>
  <c r="AJ116" i="19" s="1"/>
  <c r="AC116" i="19"/>
  <c r="AD95" i="19"/>
  <c r="AB95" i="19"/>
  <c r="AI95" i="19" s="1"/>
  <c r="AO95" i="19" s="1"/>
  <c r="AC95" i="19"/>
  <c r="AD96" i="19"/>
  <c r="AB96" i="19"/>
  <c r="AC96" i="19"/>
  <c r="AG98" i="19"/>
  <c r="AB98" i="19"/>
  <c r="AJ98" i="19" s="1"/>
  <c r="AC98" i="19"/>
  <c r="AD99" i="19"/>
  <c r="AB99" i="19"/>
  <c r="AI99" i="19" s="1"/>
  <c r="AO99" i="19" s="1"/>
  <c r="AC99" i="19"/>
  <c r="AB100" i="19"/>
  <c r="AH100" i="19" s="1"/>
  <c r="AC100" i="19"/>
  <c r="AB101" i="19"/>
  <c r="AM101" i="19" s="1"/>
  <c r="AC101" i="19"/>
  <c r="AD102" i="19"/>
  <c r="AB102" i="19"/>
  <c r="AC102" i="19"/>
  <c r="AB103" i="19"/>
  <c r="AL103" i="19" s="1"/>
  <c r="AC103" i="19"/>
  <c r="AB104" i="19"/>
  <c r="AL104" i="19" s="1"/>
  <c r="AC104" i="19"/>
  <c r="AB105" i="19"/>
  <c r="AC105" i="19"/>
  <c r="AB106" i="19"/>
  <c r="AC106" i="19"/>
  <c r="AG110" i="19"/>
  <c r="AC110" i="19"/>
  <c r="AB110" i="19"/>
  <c r="AJ110" i="19" s="1"/>
  <c r="AD32" i="19"/>
  <c r="AC32" i="19"/>
  <c r="AB32" i="19"/>
  <c r="AM32" i="19" s="1"/>
  <c r="AB33" i="19"/>
  <c r="AJ33" i="19" s="1"/>
  <c r="AC33" i="19"/>
  <c r="AG34" i="19"/>
  <c r="AB34" i="19"/>
  <c r="AI34" i="19" s="1"/>
  <c r="AO34" i="19" s="1"/>
  <c r="AC34" i="19"/>
  <c r="AB35" i="19"/>
  <c r="AL35" i="19" s="1"/>
  <c r="AC35" i="19"/>
  <c r="AG36" i="19"/>
  <c r="AC36" i="19"/>
  <c r="AB36" i="19"/>
  <c r="AJ36" i="19" s="1"/>
  <c r="AB37" i="19"/>
  <c r="AL37" i="19" s="1"/>
  <c r="AC37" i="19"/>
  <c r="AG38" i="19"/>
  <c r="AB38" i="19"/>
  <c r="AL38" i="19" s="1"/>
  <c r="AC38" i="19"/>
  <c r="AB39" i="19"/>
  <c r="AL39" i="19" s="1"/>
  <c r="AC39" i="19"/>
  <c r="AG40" i="19"/>
  <c r="AC40" i="19"/>
  <c r="AB40" i="19"/>
  <c r="AJ40" i="19" s="1"/>
  <c r="AB41" i="19"/>
  <c r="AL41" i="19" s="1"/>
  <c r="AC41" i="19"/>
  <c r="AC42" i="19"/>
  <c r="AB43" i="19"/>
  <c r="AL43" i="19" s="1"/>
  <c r="AC43" i="19"/>
  <c r="AD44" i="19"/>
  <c r="AC44" i="19"/>
  <c r="AB44" i="19"/>
  <c r="AM44" i="19" s="1"/>
  <c r="AB45" i="19"/>
  <c r="AH45" i="19" s="1"/>
  <c r="AC45" i="19"/>
  <c r="AG46" i="19"/>
  <c r="AB46" i="19"/>
  <c r="AC46" i="19"/>
  <c r="AB47" i="19"/>
  <c r="AL47" i="19" s="1"/>
  <c r="AC47" i="19"/>
  <c r="AD48" i="19"/>
  <c r="AC48" i="19"/>
  <c r="AB48" i="19"/>
  <c r="AI48" i="19" s="1"/>
  <c r="AO48" i="19" s="1"/>
  <c r="AB49" i="19"/>
  <c r="AL49" i="19" s="1"/>
  <c r="AC49" i="19"/>
  <c r="AB50" i="19"/>
  <c r="AC50" i="19"/>
  <c r="AB51" i="19"/>
  <c r="AJ51" i="19" s="1"/>
  <c r="AC51" i="19"/>
  <c r="AG52" i="19"/>
  <c r="AC52" i="19"/>
  <c r="AB52" i="19"/>
  <c r="AB53" i="19"/>
  <c r="AH53" i="19" s="1"/>
  <c r="AC53" i="19"/>
  <c r="AG54" i="19"/>
  <c r="AB54" i="19"/>
  <c r="AC54" i="19"/>
  <c r="AB55" i="19"/>
  <c r="AI55" i="19" s="1"/>
  <c r="AO55" i="19" s="1"/>
  <c r="AC55" i="19"/>
  <c r="AG56" i="19"/>
  <c r="AC56" i="19"/>
  <c r="AB56" i="19"/>
  <c r="AI56" i="19" s="1"/>
  <c r="AO56" i="19" s="1"/>
  <c r="AG57" i="19"/>
  <c r="AB57" i="19"/>
  <c r="AI57" i="19" s="1"/>
  <c r="AO57" i="19" s="1"/>
  <c r="AC57" i="19"/>
  <c r="AG58" i="19"/>
  <c r="AB58" i="19"/>
  <c r="AC58" i="19"/>
  <c r="AG59" i="19"/>
  <c r="AB59" i="19"/>
  <c r="AH59" i="19" s="1"/>
  <c r="AC59" i="19"/>
  <c r="AG60" i="19"/>
  <c r="AC60" i="19"/>
  <c r="AB60" i="19"/>
  <c r="AM60" i="19" s="1"/>
  <c r="AB61" i="19"/>
  <c r="AM61" i="19" s="1"/>
  <c r="AC61" i="19"/>
  <c r="AB62" i="19"/>
  <c r="AJ62" i="19" s="1"/>
  <c r="AC62" i="19"/>
  <c r="AB63" i="19"/>
  <c r="AI63" i="19" s="1"/>
  <c r="AO63" i="19" s="1"/>
  <c r="AC63" i="19"/>
  <c r="AG64" i="19"/>
  <c r="AC64" i="19"/>
  <c r="AB64" i="19"/>
  <c r="AM64" i="19" s="1"/>
  <c r="AB65" i="19"/>
  <c r="AI65" i="19" s="1"/>
  <c r="AO65" i="19" s="1"/>
  <c r="AC65" i="19"/>
  <c r="AB66" i="19"/>
  <c r="AI66" i="19" s="1"/>
  <c r="AO66" i="19" s="1"/>
  <c r="AC66" i="19"/>
  <c r="AB67" i="19"/>
  <c r="AH67" i="19" s="1"/>
  <c r="AC67" i="19"/>
  <c r="AC68" i="19"/>
  <c r="AB68" i="19"/>
  <c r="AB69" i="19"/>
  <c r="AI69" i="19" s="1"/>
  <c r="AO69" i="19" s="1"/>
  <c r="AC69" i="19"/>
  <c r="AB70" i="19"/>
  <c r="AJ70" i="19" s="1"/>
  <c r="AC70" i="19"/>
  <c r="AB71" i="19"/>
  <c r="AH71" i="19" s="1"/>
  <c r="AC71" i="19"/>
  <c r="AG72" i="19"/>
  <c r="AC72" i="19"/>
  <c r="AB72" i="19"/>
  <c r="AJ72" i="19" s="1"/>
  <c r="AB73" i="19"/>
  <c r="AC73" i="19"/>
  <c r="AB74" i="19"/>
  <c r="AH74" i="19" s="1"/>
  <c r="AC74" i="19"/>
  <c r="AB75" i="19"/>
  <c r="AL75" i="19" s="1"/>
  <c r="AC75" i="19"/>
  <c r="AC76" i="19"/>
  <c r="AB76" i="19"/>
  <c r="AH76" i="19" s="1"/>
  <c r="AD77" i="19"/>
  <c r="AB77" i="19"/>
  <c r="AH77" i="19" s="1"/>
  <c r="AC77" i="19"/>
  <c r="AD78" i="19"/>
  <c r="AB78" i="19"/>
  <c r="AC78" i="19"/>
  <c r="AD79" i="19"/>
  <c r="AB79" i="19"/>
  <c r="AH79" i="19" s="1"/>
  <c r="AC79" i="19"/>
  <c r="AC80" i="19"/>
  <c r="AB80" i="19"/>
  <c r="AI80" i="19" s="1"/>
  <c r="AO80" i="19" s="1"/>
  <c r="AD81" i="19"/>
  <c r="AB81" i="19"/>
  <c r="AC81" i="19"/>
  <c r="AD82" i="19"/>
  <c r="AB82" i="19"/>
  <c r="AL82" i="19" s="1"/>
  <c r="AC82" i="19"/>
  <c r="AD83" i="19"/>
  <c r="AB83" i="19"/>
  <c r="AC83" i="19"/>
  <c r="AC84" i="19"/>
  <c r="AB84" i="19"/>
  <c r="AI84" i="19" s="1"/>
  <c r="AO84" i="19" s="1"/>
  <c r="AD85" i="19"/>
  <c r="AB85" i="19"/>
  <c r="AH85" i="19" s="1"/>
  <c r="AC85" i="19"/>
  <c r="AD86" i="19"/>
  <c r="AB86" i="19"/>
  <c r="AI86" i="19" s="1"/>
  <c r="AO86" i="19" s="1"/>
  <c r="AC86" i="19"/>
  <c r="AD87" i="19"/>
  <c r="AB87" i="19"/>
  <c r="AH87" i="19" s="1"/>
  <c r="AC87" i="19"/>
  <c r="AC88" i="19"/>
  <c r="AB88" i="19"/>
  <c r="AJ88" i="19" s="1"/>
  <c r="AD89" i="19"/>
  <c r="AB89" i="19"/>
  <c r="AC89" i="19"/>
  <c r="AB90" i="19"/>
  <c r="AL90" i="19" s="1"/>
  <c r="AC90" i="19"/>
  <c r="AD91" i="19"/>
  <c r="AB91" i="19"/>
  <c r="AI91" i="19" s="1"/>
  <c r="AO91" i="19" s="1"/>
  <c r="AC91" i="19"/>
  <c r="AC92" i="19"/>
  <c r="AB92" i="19"/>
  <c r="AJ92" i="19" s="1"/>
  <c r="AD93" i="19"/>
  <c r="AB93" i="19"/>
  <c r="AM93" i="19" s="1"/>
  <c r="AC93" i="19"/>
  <c r="AB94" i="19"/>
  <c r="AL94" i="19" s="1"/>
  <c r="AC94" i="19"/>
  <c r="Z32" i="17"/>
  <c r="AA32" i="17"/>
  <c r="Z39" i="17"/>
  <c r="AA39" i="17"/>
  <c r="Z47" i="17"/>
  <c r="AA47" i="17"/>
  <c r="Z56" i="17"/>
  <c r="AF56" i="17" s="1"/>
  <c r="AA56" i="17"/>
  <c r="Z62" i="17"/>
  <c r="AA62" i="17"/>
  <c r="Z67" i="17"/>
  <c r="AA67" i="17"/>
  <c r="AB82" i="17"/>
  <c r="Z82" i="17"/>
  <c r="AA82" i="17"/>
  <c r="Z33" i="17"/>
  <c r="AA33" i="17"/>
  <c r="Z34" i="17"/>
  <c r="AA34" i="17"/>
  <c r="Z36" i="17"/>
  <c r="AA36" i="17"/>
  <c r="Z41" i="17"/>
  <c r="AK41" i="17" s="1"/>
  <c r="AA41" i="17"/>
  <c r="Z43" i="17"/>
  <c r="AA43" i="17"/>
  <c r="Z46" i="17"/>
  <c r="AA46" i="17"/>
  <c r="Z48" i="17"/>
  <c r="AA48" i="17"/>
  <c r="Z49" i="17"/>
  <c r="AK49" i="17" s="1"/>
  <c r="AA49" i="17"/>
  <c r="Z50" i="17"/>
  <c r="AA50" i="17"/>
  <c r="Z52" i="17"/>
  <c r="AA52" i="17"/>
  <c r="Z54" i="17"/>
  <c r="AA54" i="17"/>
  <c r="Z58" i="17"/>
  <c r="AK58" i="17" s="1"/>
  <c r="AA58" i="17"/>
  <c r="Z59" i="17"/>
  <c r="AA59" i="17"/>
  <c r="AB61" i="17"/>
  <c r="Z61" i="17"/>
  <c r="AA61" i="17"/>
  <c r="Z63" i="17"/>
  <c r="AA63" i="17"/>
  <c r="AB65" i="17"/>
  <c r="Z65" i="17"/>
  <c r="AA65" i="17"/>
  <c r="AB69" i="17"/>
  <c r="Z69" i="17"/>
  <c r="AA69" i="17"/>
  <c r="Z71" i="17"/>
  <c r="AA71" i="17"/>
  <c r="AB73" i="17"/>
  <c r="Z73" i="17"/>
  <c r="AA73" i="17"/>
  <c r="Z75" i="17"/>
  <c r="AA75" i="17"/>
  <c r="AB77" i="17"/>
  <c r="Z77" i="17"/>
  <c r="AA77" i="17"/>
  <c r="AB78" i="17"/>
  <c r="AC78" i="17" s="1"/>
  <c r="AD78" i="17" s="1"/>
  <c r="Z78" i="17"/>
  <c r="AA78" i="17"/>
  <c r="AB80" i="17"/>
  <c r="Z80" i="17"/>
  <c r="AA80" i="17"/>
  <c r="Z81" i="17"/>
  <c r="AA81" i="17"/>
  <c r="AE83" i="17"/>
  <c r="Z83" i="17"/>
  <c r="AA83" i="17"/>
  <c r="AE85" i="17"/>
  <c r="Z85" i="17"/>
  <c r="AK85" i="17" s="1"/>
  <c r="AA85" i="17"/>
  <c r="AE87" i="17"/>
  <c r="Z87" i="17"/>
  <c r="AK87" i="17" s="1"/>
  <c r="AA87" i="17"/>
  <c r="AB90" i="17"/>
  <c r="Z90" i="17"/>
  <c r="AA90" i="17"/>
  <c r="AB92" i="17"/>
  <c r="Z92" i="17"/>
  <c r="AA92" i="17"/>
  <c r="AB94" i="17"/>
  <c r="Z94" i="17"/>
  <c r="AA94" i="17"/>
  <c r="AB96" i="17"/>
  <c r="Z96" i="17"/>
  <c r="AA96" i="17"/>
  <c r="AB98" i="17"/>
  <c r="Z98" i="17"/>
  <c r="AA98" i="17"/>
  <c r="Z99" i="17"/>
  <c r="AF99" i="17" s="1"/>
  <c r="AA99" i="17"/>
  <c r="AE101" i="17"/>
  <c r="Z101" i="17"/>
  <c r="AA101" i="17"/>
  <c r="AB103" i="17"/>
  <c r="Z103" i="17"/>
  <c r="AA103" i="17"/>
  <c r="Z104" i="17"/>
  <c r="AF104" i="17" s="1"/>
  <c r="AA104" i="17"/>
  <c r="Z106" i="17"/>
  <c r="AA106" i="17"/>
  <c r="Z108" i="17"/>
  <c r="AA108" i="17"/>
  <c r="Z110" i="17"/>
  <c r="AA110" i="17"/>
  <c r="Z112" i="17"/>
  <c r="AJ112" i="17" s="1"/>
  <c r="AA112" i="17"/>
  <c r="AA114" i="17"/>
  <c r="Z114" i="17"/>
  <c r="Z31" i="17"/>
  <c r="AA31" i="17"/>
  <c r="Z35" i="17"/>
  <c r="AA35" i="17"/>
  <c r="Z37" i="17"/>
  <c r="AG37" i="17" s="1"/>
  <c r="AO37" i="17" s="1"/>
  <c r="AA37" i="17"/>
  <c r="Z38" i="17"/>
  <c r="AA38" i="17"/>
  <c r="Z40" i="17"/>
  <c r="AA40" i="17"/>
  <c r="Z42" i="17"/>
  <c r="AA42" i="17"/>
  <c r="Z44" i="17"/>
  <c r="AG44" i="17" s="1"/>
  <c r="AO44" i="17" s="1"/>
  <c r="AA44" i="17"/>
  <c r="Z45" i="17"/>
  <c r="AA45" i="17"/>
  <c r="Z51" i="17"/>
  <c r="AA51" i="17"/>
  <c r="Z53" i="17"/>
  <c r="AA53" i="17"/>
  <c r="Z55" i="17"/>
  <c r="AA55" i="17"/>
  <c r="Z57" i="17"/>
  <c r="AA57" i="17"/>
  <c r="Z60" i="17"/>
  <c r="AA60" i="17"/>
  <c r="Z64" i="17"/>
  <c r="AA64" i="17"/>
  <c r="Z66" i="17"/>
  <c r="AA66" i="17"/>
  <c r="Z68" i="17"/>
  <c r="AA68" i="17"/>
  <c r="Z70" i="17"/>
  <c r="AA70" i="17"/>
  <c r="Z72" i="17"/>
  <c r="AA72" i="17"/>
  <c r="Z74" i="17"/>
  <c r="AA74" i="17"/>
  <c r="Z76" i="17"/>
  <c r="AA76" i="17"/>
  <c r="Z79" i="17"/>
  <c r="AA79" i="17"/>
  <c r="AB84" i="17"/>
  <c r="Z84" i="17"/>
  <c r="AA84" i="17"/>
  <c r="AB86" i="17"/>
  <c r="Z86" i="17"/>
  <c r="AA86" i="17"/>
  <c r="AB88" i="17"/>
  <c r="Z88" i="17"/>
  <c r="AA88" i="17"/>
  <c r="Z89" i="17"/>
  <c r="AK89" i="17" s="1"/>
  <c r="AA89" i="17"/>
  <c r="Z91" i="17"/>
  <c r="AA91" i="17"/>
  <c r="AB93" i="17"/>
  <c r="Z93" i="17"/>
  <c r="AA93" i="17"/>
  <c r="Z95" i="17"/>
  <c r="AA95" i="17"/>
  <c r="AB97" i="17"/>
  <c r="Z97" i="17"/>
  <c r="AA97" i="17"/>
  <c r="AB100" i="17"/>
  <c r="Z100" i="17"/>
  <c r="AA100" i="17"/>
  <c r="AB102" i="17"/>
  <c r="Z102" i="17"/>
  <c r="AK102" i="17" s="1"/>
  <c r="AA102" i="17"/>
  <c r="AB105" i="17"/>
  <c r="Z105" i="17"/>
  <c r="AA105" i="17"/>
  <c r="Z107" i="17"/>
  <c r="AA107" i="17"/>
  <c r="AB109" i="17"/>
  <c r="Z109" i="17"/>
  <c r="AA109" i="17"/>
  <c r="AE111" i="17"/>
  <c r="Z111" i="17"/>
  <c r="AA111" i="17"/>
  <c r="AE113" i="17"/>
  <c r="Z113" i="17"/>
  <c r="AA113" i="17"/>
  <c r="AE115" i="17"/>
  <c r="Z115" i="17"/>
  <c r="AJ115" i="17" s="1"/>
  <c r="AA115" i="17"/>
  <c r="AR13" i="17"/>
  <c r="AU28" i="19"/>
  <c r="AC36" i="18"/>
  <c r="AU89" i="17"/>
  <c r="AY17" i="14"/>
  <c r="AT13" i="17"/>
  <c r="AE91" i="17"/>
  <c r="AU94" i="19"/>
  <c r="AU95" i="19"/>
  <c r="AU99" i="19"/>
  <c r="AU100" i="19"/>
  <c r="AU101" i="19"/>
  <c r="AU116" i="19"/>
  <c r="AU113" i="17"/>
  <c r="AU114" i="17"/>
  <c r="AC30" i="18"/>
  <c r="AD30" i="18" s="1"/>
  <c r="AE30" i="18" s="1"/>
  <c r="AR30" i="18"/>
  <c r="AU37" i="19"/>
  <c r="AU38" i="19"/>
  <c r="AU39" i="19"/>
  <c r="AU41" i="19"/>
  <c r="AU44" i="19"/>
  <c r="AS13" i="17"/>
  <c r="AC46" i="18"/>
  <c r="AR46" i="18"/>
  <c r="AR62" i="18"/>
  <c r="AB107" i="18"/>
  <c r="AV14" i="19"/>
  <c r="AG38" i="16"/>
  <c r="AU99" i="17"/>
  <c r="AU101" i="17"/>
  <c r="AR22" i="18"/>
  <c r="AR36" i="18"/>
  <c r="AR85" i="18"/>
  <c r="AR105" i="18"/>
  <c r="AC107" i="18"/>
  <c r="AG116" i="19"/>
  <c r="AA104" i="18"/>
  <c r="AI104" i="18" s="1"/>
  <c r="AP13" i="17"/>
  <c r="AR53" i="18"/>
  <c r="AR61" i="18"/>
  <c r="AA65" i="18"/>
  <c r="AI65" i="18" s="1"/>
  <c r="AA84" i="18"/>
  <c r="AR101" i="18"/>
  <c r="AB104" i="18"/>
  <c r="AD104" i="18" s="1"/>
  <c r="AE104" i="18" s="1"/>
  <c r="AQ14" i="19"/>
  <c r="AG62" i="19"/>
  <c r="AU70" i="19"/>
  <c r="AU72" i="19"/>
  <c r="AU76" i="19"/>
  <c r="AU113" i="19"/>
  <c r="C21" i="26"/>
  <c r="D16" i="3" s="1"/>
  <c r="BA12" i="14"/>
  <c r="AQ13" i="17"/>
  <c r="O13" i="20" s="1"/>
  <c r="AU16" i="17"/>
  <c r="AU17" i="17"/>
  <c r="AU18" i="17"/>
  <c r="AU19" i="17"/>
  <c r="AU20" i="17"/>
  <c r="AU21" i="17"/>
  <c r="AU22" i="17"/>
  <c r="AU23" i="17"/>
  <c r="AU24" i="17"/>
  <c r="AU25" i="17"/>
  <c r="AU26" i="17"/>
  <c r="AU27" i="17"/>
  <c r="AU28" i="17"/>
  <c r="AU29" i="17"/>
  <c r="AU30" i="17"/>
  <c r="AU31" i="17"/>
  <c r="AU32" i="17"/>
  <c r="AU33" i="17"/>
  <c r="AU34" i="17"/>
  <c r="AU35" i="17"/>
  <c r="AU36" i="17"/>
  <c r="AU37" i="17"/>
  <c r="AU38" i="17"/>
  <c r="AU39" i="17"/>
  <c r="AU40" i="17"/>
  <c r="AU41" i="17"/>
  <c r="AU42" i="17"/>
  <c r="AU43" i="17"/>
  <c r="AU61" i="17"/>
  <c r="AU63" i="17"/>
  <c r="AU65" i="17"/>
  <c r="AU67" i="17"/>
  <c r="AU95" i="17"/>
  <c r="AC24" i="18"/>
  <c r="AB25" i="18"/>
  <c r="AB30" i="18"/>
  <c r="AA36" i="18"/>
  <c r="AI36" i="18" s="1"/>
  <c r="AD46" i="18"/>
  <c r="AE46" i="18" s="1"/>
  <c r="AR63" i="18"/>
  <c r="AB65" i="18"/>
  <c r="AR65" i="18"/>
  <c r="AR69" i="18"/>
  <c r="AR88" i="18"/>
  <c r="AR92" i="18"/>
  <c r="AR14" i="19"/>
  <c r="AU85" i="19"/>
  <c r="AU86" i="19"/>
  <c r="AD116" i="19"/>
  <c r="M190" i="23"/>
  <c r="AF30" i="11"/>
  <c r="AF111" i="18"/>
  <c r="AA112" i="18"/>
  <c r="AG112" i="18" s="1"/>
  <c r="AB115" i="18"/>
  <c r="AD28" i="19"/>
  <c r="AU36" i="19"/>
  <c r="AG44" i="19"/>
  <c r="AG68" i="19"/>
  <c r="AU105" i="17"/>
  <c r="AU107" i="17"/>
  <c r="AA40" i="18"/>
  <c r="AI40" i="18" s="1"/>
  <c r="AA42" i="18"/>
  <c r="AI42" i="18" s="1"/>
  <c r="AA44" i="18"/>
  <c r="AI44" i="18" s="1"/>
  <c r="AA46" i="18"/>
  <c r="AI46" i="18" s="1"/>
  <c r="AR48" i="18"/>
  <c r="AB49" i="18"/>
  <c r="AR49" i="18"/>
  <c r="AR79" i="18"/>
  <c r="AB95" i="18"/>
  <c r="AR96" i="18"/>
  <c r="AR100" i="18"/>
  <c r="AR109" i="18"/>
  <c r="AB112" i="18"/>
  <c r="AA113" i="18"/>
  <c r="AI113" i="18" s="1"/>
  <c r="AR113" i="18"/>
  <c r="AC115" i="18"/>
  <c r="AR116" i="18"/>
  <c r="AO14" i="19"/>
  <c r="AU15" i="19"/>
  <c r="AD50" i="19"/>
  <c r="AD90" i="19"/>
  <c r="AG102" i="19"/>
  <c r="AU102" i="19"/>
  <c r="AU103" i="19"/>
  <c r="AU104" i="19"/>
  <c r="AU105" i="19"/>
  <c r="AU108" i="19"/>
  <c r="AU109" i="19"/>
  <c r="AU83" i="17"/>
  <c r="AU92" i="17"/>
  <c r="AO17" i="18"/>
  <c r="AT17" i="18"/>
  <c r="AR23" i="18"/>
  <c r="AR24" i="18"/>
  <c r="AR25" i="18"/>
  <c r="AR38" i="18"/>
  <c r="AC40" i="18"/>
  <c r="AR42" i="18"/>
  <c r="AC44" i="18"/>
  <c r="AR78" i="18"/>
  <c r="AC95" i="18"/>
  <c r="AR108" i="18"/>
  <c r="AU30" i="19"/>
  <c r="AU32" i="19"/>
  <c r="AG50" i="19"/>
  <c r="AU50" i="19"/>
  <c r="AU53" i="19"/>
  <c r="AU80" i="19"/>
  <c r="AC91" i="10"/>
  <c r="AQ46" i="13"/>
  <c r="AQ10" i="13"/>
  <c r="AB18" i="18"/>
  <c r="AA60" i="18"/>
  <c r="AG60" i="18" s="1"/>
  <c r="AA80" i="18"/>
  <c r="AG80" i="18" s="1"/>
  <c r="AA93" i="18"/>
  <c r="AI93" i="18" s="1"/>
  <c r="AA101" i="18"/>
  <c r="AI101" i="18" s="1"/>
  <c r="AA105" i="18"/>
  <c r="AI105" i="18" s="1"/>
  <c r="AG70" i="19"/>
  <c r="AG104" i="19"/>
  <c r="N24" i="23"/>
  <c r="AU77" i="17"/>
  <c r="AU85" i="17"/>
  <c r="AU97" i="17"/>
  <c r="AU103" i="17"/>
  <c r="AV17" i="18"/>
  <c r="AA52" i="18"/>
  <c r="AG52" i="18" s="1"/>
  <c r="AB60" i="18"/>
  <c r="AR73" i="18"/>
  <c r="AR77" i="18"/>
  <c r="AR95" i="18"/>
  <c r="AR99" i="18"/>
  <c r="AP14" i="19"/>
  <c r="AT14" i="19"/>
  <c r="AU40" i="19"/>
  <c r="AD46" i="19"/>
  <c r="AU88" i="19"/>
  <c r="AU96" i="19"/>
  <c r="AD110" i="19"/>
  <c r="AU111" i="19"/>
  <c r="AQ11" i="13"/>
  <c r="AQ13" i="13"/>
  <c r="AQ15" i="13"/>
  <c r="AY23" i="14"/>
  <c r="AU91" i="17"/>
  <c r="AU111" i="17"/>
  <c r="AU112" i="17"/>
  <c r="AN17" i="18"/>
  <c r="O17" i="20" s="1"/>
  <c r="AS17" i="18"/>
  <c r="AU21" i="15" s="1"/>
  <c r="AR20" i="18"/>
  <c r="AR26" i="18"/>
  <c r="AR50" i="18"/>
  <c r="AB52" i="18"/>
  <c r="AR52" i="18"/>
  <c r="AR56" i="18"/>
  <c r="AC60" i="18"/>
  <c r="AR72" i="18"/>
  <c r="AR76" i="18"/>
  <c r="AR117" i="18"/>
  <c r="AU22" i="19"/>
  <c r="AU24" i="19"/>
  <c r="AU34" i="19"/>
  <c r="AU35" i="19"/>
  <c r="AU77" i="19"/>
  <c r="AU78" i="19"/>
  <c r="AD16" i="8"/>
  <c r="AD92" i="8"/>
  <c r="AF13" i="11"/>
  <c r="AS45" i="13"/>
  <c r="AY19" i="14"/>
  <c r="AF17" i="16"/>
  <c r="AF38" i="16"/>
  <c r="AD17" i="8"/>
  <c r="AF12" i="11"/>
  <c r="AF16" i="11"/>
  <c r="AY22" i="14"/>
  <c r="AU78" i="17"/>
  <c r="AC18" i="18"/>
  <c r="AD18" i="18" s="1"/>
  <c r="AE18" i="18" s="1"/>
  <c r="AU17" i="18"/>
  <c r="AU20" i="15" s="1"/>
  <c r="AC20" i="18"/>
  <c r="AB21" i="18"/>
  <c r="AR34" i="18"/>
  <c r="AC56" i="18"/>
  <c r="AR57" i="18"/>
  <c r="AR58" i="18"/>
  <c r="AA61" i="18"/>
  <c r="AI61" i="18" s="1"/>
  <c r="AR66" i="18"/>
  <c r="AA77" i="18"/>
  <c r="AI77" i="18" s="1"/>
  <c r="AB80" i="18"/>
  <c r="AA81" i="18"/>
  <c r="AI81" i="18" s="1"/>
  <c r="AB84" i="18"/>
  <c r="AD84" i="18" s="1"/>
  <c r="AE84" i="18" s="1"/>
  <c r="AA92" i="18"/>
  <c r="AH92" i="18" s="1"/>
  <c r="AL92" i="18" s="1"/>
  <c r="AR93" i="18"/>
  <c r="AR104" i="18"/>
  <c r="AR112" i="18"/>
  <c r="AS14" i="19"/>
  <c r="AD36" i="19"/>
  <c r="AU46" i="19"/>
  <c r="AD54" i="19"/>
  <c r="AU63" i="19"/>
  <c r="AG74" i="19"/>
  <c r="AG90" i="19"/>
  <c r="AU107" i="19"/>
  <c r="P26" i="22"/>
  <c r="AU69" i="17"/>
  <c r="AU71" i="17"/>
  <c r="AU79" i="17"/>
  <c r="AU84" i="17"/>
  <c r="AU87" i="17"/>
  <c r="AU96" i="17"/>
  <c r="AU115" i="17"/>
  <c r="AP17" i="18"/>
  <c r="AR32" i="18"/>
  <c r="AR47" i="18"/>
  <c r="AR60" i="18"/>
  <c r="AB61" i="18"/>
  <c r="AR75" i="18"/>
  <c r="AR81" i="18"/>
  <c r="AR90" i="18"/>
  <c r="AB92" i="18"/>
  <c r="AD92" i="18" s="1"/>
  <c r="AE92" i="18" s="1"/>
  <c r="AR98" i="18"/>
  <c r="AU17" i="19"/>
  <c r="AD40" i="19"/>
  <c r="AD42" i="19"/>
  <c r="AU42" i="19"/>
  <c r="AG48" i="19"/>
  <c r="AU48" i="19"/>
  <c r="AU49" i="19"/>
  <c r="AD52" i="19"/>
  <c r="AU54" i="19"/>
  <c r="AU57" i="19"/>
  <c r="AU64" i="19"/>
  <c r="AU66" i="19"/>
  <c r="AU81" i="19"/>
  <c r="AU91" i="19"/>
  <c r="AU92" i="19"/>
  <c r="AD114" i="19"/>
  <c r="M192" i="22"/>
  <c r="N190" i="23"/>
  <c r="AX34" i="24"/>
  <c r="BB43" i="24" s="1"/>
  <c r="BB45" i="24" s="1"/>
  <c r="BB46" i="24" s="1"/>
  <c r="AU44" i="17"/>
  <c r="AU45" i="17"/>
  <c r="AU46" i="17"/>
  <c r="AU47" i="17"/>
  <c r="AU48" i="17"/>
  <c r="AU49" i="17"/>
  <c r="AU50" i="17"/>
  <c r="AU51" i="17"/>
  <c r="AU52" i="17"/>
  <c r="AU53" i="17"/>
  <c r="AU54" i="17"/>
  <c r="AU55" i="17"/>
  <c r="AU56" i="17"/>
  <c r="AU57" i="17"/>
  <c r="AU58" i="17"/>
  <c r="AU59" i="17"/>
  <c r="AU73" i="17"/>
  <c r="AU75" i="17"/>
  <c r="AU80" i="17"/>
  <c r="AU81" i="17"/>
  <c r="AU93" i="17"/>
  <c r="AU102" i="17"/>
  <c r="AU109" i="17"/>
  <c r="AU110" i="17"/>
  <c r="AR31" i="18"/>
  <c r="AR39" i="18"/>
  <c r="AR43" i="18"/>
  <c r="AR51" i="18"/>
  <c r="AR64" i="18"/>
  <c r="AR74" i="18"/>
  <c r="AR89" i="18"/>
  <c r="AR97" i="18"/>
  <c r="AR102" i="18"/>
  <c r="AR103" i="18"/>
  <c r="AR106" i="18"/>
  <c r="AR111" i="18"/>
  <c r="AR114" i="18"/>
  <c r="AD115" i="18"/>
  <c r="AE115" i="18" s="1"/>
  <c r="AU20" i="19"/>
  <c r="AD24" i="19"/>
  <c r="AU33" i="19"/>
  <c r="AU52" i="19"/>
  <c r="AU60" i="19"/>
  <c r="AU68" i="19"/>
  <c r="AD98" i="19"/>
  <c r="AE98" i="19" s="1"/>
  <c r="AF98" i="19" s="1"/>
  <c r="AD104" i="19"/>
  <c r="L192" i="22"/>
  <c r="M24" i="23"/>
  <c r="AC82" i="8"/>
  <c r="AE80" i="8"/>
  <c r="AE82" i="8" s="1"/>
  <c r="AS93" i="13"/>
  <c r="AE31" i="8"/>
  <c r="AD18" i="8"/>
  <c r="AG123" i="11"/>
  <c r="AS33" i="13"/>
  <c r="AY20" i="14"/>
  <c r="AE17" i="17"/>
  <c r="AK17" i="17" s="1"/>
  <c r="AE19" i="17"/>
  <c r="AK19" i="17" s="1"/>
  <c r="AE21" i="17"/>
  <c r="AK21" i="17" s="1"/>
  <c r="AE23" i="17"/>
  <c r="AK23" i="17" s="1"/>
  <c r="AE25" i="17"/>
  <c r="AK25" i="17" s="1"/>
  <c r="AE27" i="17"/>
  <c r="AK27" i="17" s="1"/>
  <c r="AE29" i="17"/>
  <c r="AK29" i="17" s="1"/>
  <c r="AE31" i="17"/>
  <c r="AE33" i="17"/>
  <c r="AE35" i="17"/>
  <c r="AE37" i="17"/>
  <c r="AE39" i="17"/>
  <c r="AE41" i="17"/>
  <c r="AE43" i="17"/>
  <c r="AE45" i="17"/>
  <c r="AE47" i="17"/>
  <c r="AE49" i="17"/>
  <c r="AE51" i="17"/>
  <c r="AE53" i="17"/>
  <c r="AE55" i="17"/>
  <c r="AE57" i="17"/>
  <c r="AE59" i="17"/>
  <c r="AE63" i="17"/>
  <c r="AE67" i="17"/>
  <c r="AE71" i="17"/>
  <c r="AE75" i="17"/>
  <c r="AE95" i="17"/>
  <c r="AE107" i="17"/>
  <c r="AF14" i="11"/>
  <c r="AY21" i="14"/>
  <c r="AY24" i="14"/>
  <c r="AF17" i="17"/>
  <c r="AF21" i="17"/>
  <c r="AG23" i="17"/>
  <c r="AO23" i="17" s="1"/>
  <c r="AF25" i="17"/>
  <c r="AF29" i="17"/>
  <c r="AF45" i="17"/>
  <c r="AG55" i="17"/>
  <c r="AO55" i="17" s="1"/>
  <c r="AU60" i="17"/>
  <c r="AU64" i="17"/>
  <c r="AU68" i="17"/>
  <c r="AU72" i="17"/>
  <c r="AU76" i="17"/>
  <c r="AE79" i="17"/>
  <c r="AU86" i="17"/>
  <c r="AU104" i="17"/>
  <c r="AE109" i="17"/>
  <c r="AA18" i="18"/>
  <c r="AI18" i="18" s="1"/>
  <c r="AL19" i="19"/>
  <c r="AF28" i="11"/>
  <c r="Y11" i="12"/>
  <c r="AS9" i="13"/>
  <c r="AQ12" i="13"/>
  <c r="AQ14" i="13"/>
  <c r="AY18" i="14"/>
  <c r="AY25" i="14"/>
  <c r="AG17" i="16"/>
  <c r="AE61" i="17"/>
  <c r="AE65" i="17"/>
  <c r="AE69" i="17"/>
  <c r="AE73" i="17"/>
  <c r="AU88" i="17"/>
  <c r="AE93" i="17"/>
  <c r="AU94" i="17"/>
  <c r="AE97" i="17"/>
  <c r="AU98" i="17"/>
  <c r="AE103" i="17"/>
  <c r="AU106" i="17"/>
  <c r="AR18" i="18"/>
  <c r="AF23" i="16"/>
  <c r="AB17" i="17"/>
  <c r="AB19" i="17"/>
  <c r="AB21" i="17"/>
  <c r="AB23" i="17"/>
  <c r="AB25" i="17"/>
  <c r="AB27" i="17"/>
  <c r="AB29" i="17"/>
  <c r="AB31" i="17"/>
  <c r="AB33" i="17"/>
  <c r="AB35" i="17"/>
  <c r="AB37" i="17"/>
  <c r="AB39" i="17"/>
  <c r="AB41" i="17"/>
  <c r="AB43" i="17"/>
  <c r="AB45" i="17"/>
  <c r="AB47" i="17"/>
  <c r="AB49" i="17"/>
  <c r="AB51" i="17"/>
  <c r="AB53" i="17"/>
  <c r="AB55" i="17"/>
  <c r="AB57" i="17"/>
  <c r="AB59" i="17"/>
  <c r="AU62" i="17"/>
  <c r="AB63" i="17"/>
  <c r="AU66" i="17"/>
  <c r="AB67" i="17"/>
  <c r="AU70" i="17"/>
  <c r="AB71" i="17"/>
  <c r="AU74" i="17"/>
  <c r="AB75" i="17"/>
  <c r="AE77" i="17"/>
  <c r="AE81" i="17"/>
  <c r="AU82" i="17"/>
  <c r="AE89" i="17"/>
  <c r="AU90" i="17"/>
  <c r="AB95" i="17"/>
  <c r="AE99" i="17"/>
  <c r="AU100" i="17"/>
  <c r="AE105" i="17"/>
  <c r="AB107" i="17"/>
  <c r="AU108" i="17"/>
  <c r="AB22" i="18"/>
  <c r="AD22" i="18" s="1"/>
  <c r="AE22" i="18" s="1"/>
  <c r="AA22" i="18"/>
  <c r="AI22" i="18" s="1"/>
  <c r="AC26" i="18"/>
  <c r="AA26" i="18"/>
  <c r="AI26" i="18" s="1"/>
  <c r="AF50" i="18"/>
  <c r="AI52" i="18"/>
  <c r="AF64" i="18"/>
  <c r="AF76" i="18"/>
  <c r="AF96" i="18"/>
  <c r="AF100" i="18"/>
  <c r="AC32" i="18"/>
  <c r="AB33" i="18"/>
  <c r="AB37" i="18"/>
  <c r="AA50" i="18"/>
  <c r="AI50" i="18" s="1"/>
  <c r="AA53" i="18"/>
  <c r="AI53" i="18" s="1"/>
  <c r="AF56" i="18"/>
  <c r="AA57" i="18"/>
  <c r="AI57" i="18" s="1"/>
  <c r="AA64" i="18"/>
  <c r="AG64" i="18" s="1"/>
  <c r="AF68" i="18"/>
  <c r="AF72" i="18"/>
  <c r="AA73" i="18"/>
  <c r="AI73" i="18" s="1"/>
  <c r="AA76" i="18"/>
  <c r="AH76" i="18" s="1"/>
  <c r="AL76" i="18" s="1"/>
  <c r="AD80" i="18"/>
  <c r="AE80" i="18" s="1"/>
  <c r="AF88" i="18"/>
  <c r="AA89" i="18"/>
  <c r="AI89" i="18" s="1"/>
  <c r="AB91" i="18"/>
  <c r="AA96" i="18"/>
  <c r="AG96" i="18" s="1"/>
  <c r="AA97" i="18"/>
  <c r="AI97" i="18" s="1"/>
  <c r="AA100" i="18"/>
  <c r="AH100" i="18" s="1"/>
  <c r="AL100" i="18" s="1"/>
  <c r="AF108" i="18"/>
  <c r="AD112" i="18"/>
  <c r="AE112" i="18" s="1"/>
  <c r="AF116" i="18"/>
  <c r="AG17" i="19"/>
  <c r="AD20" i="19"/>
  <c r="AD34" i="19"/>
  <c r="AD38" i="19"/>
  <c r="AG42" i="19"/>
  <c r="AU59" i="19"/>
  <c r="AG66" i="19"/>
  <c r="AU71" i="19"/>
  <c r="AU93" i="19"/>
  <c r="AG94" i="19"/>
  <c r="AG96" i="19"/>
  <c r="AG112" i="19"/>
  <c r="AU112" i="19"/>
  <c r="AG114" i="19"/>
  <c r="AU114" i="19"/>
  <c r="AU115" i="19"/>
  <c r="AM17" i="18"/>
  <c r="AR19" i="18"/>
  <c r="AR21" i="18"/>
  <c r="AR27" i="18"/>
  <c r="AC28" i="18"/>
  <c r="AR28" i="18"/>
  <c r="AB29" i="18"/>
  <c r="AR33" i="18"/>
  <c r="AA34" i="18"/>
  <c r="AI34" i="18" s="1"/>
  <c r="AR37" i="18"/>
  <c r="AA38" i="18"/>
  <c r="AI38" i="18" s="1"/>
  <c r="AG40" i="18"/>
  <c r="AJ40" i="18" s="1"/>
  <c r="AR40" i="18"/>
  <c r="AB41" i="18"/>
  <c r="AR44" i="18"/>
  <c r="AB45" i="18"/>
  <c r="AF46" i="18"/>
  <c r="AA48" i="18"/>
  <c r="AH48" i="18" s="1"/>
  <c r="AL48" i="18" s="1"/>
  <c r="AB50" i="18"/>
  <c r="AC52" i="18"/>
  <c r="AD52" i="18" s="1"/>
  <c r="AE52" i="18" s="1"/>
  <c r="AB53" i="18"/>
  <c r="AR54" i="18"/>
  <c r="AR55" i="18"/>
  <c r="AA56" i="18"/>
  <c r="AG56" i="18" s="1"/>
  <c r="AF57" i="18"/>
  <c r="AB64" i="18"/>
  <c r="AD64" i="18" s="1"/>
  <c r="AE64" i="18" s="1"/>
  <c r="AR67" i="18"/>
  <c r="AA68" i="18"/>
  <c r="AG68" i="18" s="1"/>
  <c r="AR68" i="18"/>
  <c r="AA69" i="18"/>
  <c r="AI69" i="18" s="1"/>
  <c r="AR70" i="18"/>
  <c r="AR71" i="18"/>
  <c r="AA72" i="18"/>
  <c r="AB76" i="18"/>
  <c r="AF84" i="18"/>
  <c r="AR84" i="18"/>
  <c r="AA85" i="18"/>
  <c r="AI85" i="18" s="1"/>
  <c r="AR86" i="18"/>
  <c r="AR87" i="18"/>
  <c r="AA88" i="18"/>
  <c r="AI88" i="18" s="1"/>
  <c r="AC91" i="18"/>
  <c r="AF92" i="18"/>
  <c r="AB96" i="18"/>
  <c r="AB100" i="18"/>
  <c r="AR107" i="18"/>
  <c r="AA108" i="18"/>
  <c r="AI108" i="18" s="1"/>
  <c r="AA109" i="18"/>
  <c r="AI109" i="18" s="1"/>
  <c r="AR110" i="18"/>
  <c r="AB111" i="18"/>
  <c r="AD111" i="18" s="1"/>
  <c r="AE111" i="18" s="1"/>
  <c r="AR115" i="18"/>
  <c r="AA116" i="18"/>
  <c r="AH116" i="18" s="1"/>
  <c r="AL116" i="18" s="1"/>
  <c r="AA117" i="18"/>
  <c r="AI117" i="18" s="1"/>
  <c r="AU18" i="19"/>
  <c r="AU21" i="19"/>
  <c r="AL23" i="19"/>
  <c r="AU23" i="19"/>
  <c r="AU25" i="19"/>
  <c r="AU26" i="19"/>
  <c r="AU45" i="19"/>
  <c r="AU47" i="19"/>
  <c r="AU55" i="19"/>
  <c r="AU62" i="19"/>
  <c r="AU67" i="19"/>
  <c r="AD92" i="19"/>
  <c r="AD100" i="19"/>
  <c r="AD106" i="19"/>
  <c r="AR29" i="18"/>
  <c r="AC34" i="18"/>
  <c r="AR35" i="18"/>
  <c r="AB38" i="18"/>
  <c r="AD38" i="18" s="1"/>
  <c r="AE38" i="18" s="1"/>
  <c r="AR41" i="18"/>
  <c r="AR45" i="18"/>
  <c r="AC48" i="18"/>
  <c r="AC50" i="18"/>
  <c r="AR59" i="18"/>
  <c r="AB68" i="18"/>
  <c r="AD68" i="18" s="1"/>
  <c r="AE68" i="18" s="1"/>
  <c r="AB72" i="18"/>
  <c r="AD72" i="18" s="1"/>
  <c r="AE72" i="18" s="1"/>
  <c r="AC76" i="18"/>
  <c r="AF80" i="18"/>
  <c r="AR80" i="18"/>
  <c r="AR82" i="18"/>
  <c r="AR83" i="18"/>
  <c r="AB88" i="18"/>
  <c r="AD88" i="18" s="1"/>
  <c r="AE88" i="18" s="1"/>
  <c r="AR91" i="18"/>
  <c r="AR94" i="18"/>
  <c r="AD95" i="18"/>
  <c r="AE95" i="18" s="1"/>
  <c r="AC96" i="18"/>
  <c r="AC100" i="18"/>
  <c r="AF104" i="18"/>
  <c r="AB108" i="18"/>
  <c r="AD108" i="18" s="1"/>
  <c r="AE108" i="18" s="1"/>
  <c r="AF112" i="18"/>
  <c r="AB116" i="18"/>
  <c r="AD116" i="18" s="1"/>
  <c r="AE116" i="18" s="1"/>
  <c r="AU16" i="19"/>
  <c r="AU19" i="19"/>
  <c r="AU29" i="19"/>
  <c r="AU74" i="19"/>
  <c r="AU75" i="19"/>
  <c r="AD76" i="19"/>
  <c r="AG76" i="19"/>
  <c r="AG78" i="19"/>
  <c r="AU79" i="19"/>
  <c r="AD80" i="19"/>
  <c r="AG80" i="19"/>
  <c r="AG82" i="19"/>
  <c r="AU83" i="19"/>
  <c r="AD84" i="19"/>
  <c r="AG84" i="19"/>
  <c r="AG86" i="19"/>
  <c r="AU87" i="19"/>
  <c r="AD88" i="19"/>
  <c r="AG88" i="19"/>
  <c r="AU90" i="19"/>
  <c r="AG92" i="19"/>
  <c r="AU98" i="19"/>
  <c r="AG100" i="19"/>
  <c r="AG106" i="19"/>
  <c r="AG108" i="19"/>
  <c r="P24" i="23"/>
  <c r="L26" i="22"/>
  <c r="AU27" i="19"/>
  <c r="AU31" i="19"/>
  <c r="AU43" i="19"/>
  <c r="AU51" i="19"/>
  <c r="AU61" i="19"/>
  <c r="AU65" i="19"/>
  <c r="AU69" i="19"/>
  <c r="AU73" i="19"/>
  <c r="AU89" i="19"/>
  <c r="AU97" i="19"/>
  <c r="AU106" i="19"/>
  <c r="AU110" i="19"/>
  <c r="O16" i="20"/>
  <c r="P191" i="23"/>
  <c r="P190" i="23" s="1"/>
  <c r="O190" i="23"/>
  <c r="AZ45" i="24"/>
  <c r="BA45" i="24" s="1"/>
  <c r="AZ46" i="24"/>
  <c r="AZ48" i="24" s="1"/>
  <c r="O49" i="20"/>
  <c r="S24" i="22"/>
  <c r="M26" i="22"/>
  <c r="O24" i="23"/>
  <c r="BA44" i="24"/>
  <c r="AW34" i="24"/>
  <c r="AW35" i="24" s="1"/>
  <c r="AW46" i="24"/>
  <c r="AC47" i="10"/>
  <c r="AC85" i="10"/>
  <c r="AG11" i="11"/>
  <c r="AC31" i="8"/>
  <c r="AD31" i="8" s="1"/>
  <c r="AF15" i="11"/>
  <c r="AG18" i="17"/>
  <c r="AO18" i="17" s="1"/>
  <c r="AG20" i="17"/>
  <c r="AO20" i="17" s="1"/>
  <c r="AG22" i="17"/>
  <c r="AO22" i="17" s="1"/>
  <c r="AG24" i="17"/>
  <c r="AO24" i="17" s="1"/>
  <c r="AG26" i="17"/>
  <c r="AO26" i="17" s="1"/>
  <c r="AG28" i="17"/>
  <c r="AO28" i="17" s="1"/>
  <c r="AG30" i="17"/>
  <c r="AO30" i="17" s="1"/>
  <c r="AG56" i="17"/>
  <c r="AO56" i="17" s="1"/>
  <c r="AH16" i="17"/>
  <c r="AH18" i="17"/>
  <c r="AH20" i="17"/>
  <c r="AH22" i="17"/>
  <c r="AH24" i="17"/>
  <c r="AH26" i="17"/>
  <c r="AH28" i="17"/>
  <c r="AH30" i="17"/>
  <c r="AE16" i="17"/>
  <c r="AG17" i="17"/>
  <c r="AO17" i="17" s="1"/>
  <c r="AE18" i="17"/>
  <c r="AK18" i="17" s="1"/>
  <c r="AG19" i="17"/>
  <c r="AO19" i="17" s="1"/>
  <c r="AE20" i="17"/>
  <c r="AK20" i="17" s="1"/>
  <c r="AG21" i="17"/>
  <c r="AO21" i="17" s="1"/>
  <c r="AE22" i="17"/>
  <c r="AK22" i="17" s="1"/>
  <c r="AE24" i="17"/>
  <c r="AK24" i="17" s="1"/>
  <c r="AG25" i="17"/>
  <c r="AO25" i="17" s="1"/>
  <c r="AE26" i="17"/>
  <c r="AK26" i="17" s="1"/>
  <c r="AG27" i="17"/>
  <c r="AO27" i="17" s="1"/>
  <c r="AE28" i="17"/>
  <c r="AK28" i="17" s="1"/>
  <c r="AG29" i="17"/>
  <c r="AO29" i="17" s="1"/>
  <c r="AE30" i="17"/>
  <c r="AK30" i="17" s="1"/>
  <c r="AE32" i="17"/>
  <c r="AE34" i="17"/>
  <c r="AE36" i="17"/>
  <c r="AE38" i="17"/>
  <c r="AE40" i="17"/>
  <c r="AE42" i="17"/>
  <c r="AE44" i="17"/>
  <c r="AE46" i="17"/>
  <c r="AE48" i="17"/>
  <c r="AE50" i="17"/>
  <c r="AE52" i="17"/>
  <c r="AE54" i="17"/>
  <c r="AE56" i="17"/>
  <c r="AE58" i="17"/>
  <c r="AE60" i="17"/>
  <c r="AE62" i="17"/>
  <c r="AE64" i="17"/>
  <c r="AE66" i="17"/>
  <c r="AE68" i="17"/>
  <c r="AE70" i="17"/>
  <c r="AE72" i="17"/>
  <c r="AE74" i="17"/>
  <c r="AE76" i="17"/>
  <c r="AB16" i="17"/>
  <c r="AF16" i="17"/>
  <c r="AB18" i="17"/>
  <c r="AF18" i="17"/>
  <c r="AB20" i="17"/>
  <c r="AF20" i="17"/>
  <c r="AH21" i="17"/>
  <c r="AB22" i="17"/>
  <c r="AF22" i="17"/>
  <c r="AH23" i="17"/>
  <c r="AB24" i="17"/>
  <c r="AF24" i="17"/>
  <c r="AH25" i="17"/>
  <c r="AB26" i="17"/>
  <c r="AF26" i="17"/>
  <c r="AH27" i="17"/>
  <c r="AB28" i="17"/>
  <c r="AF28" i="17"/>
  <c r="AH29" i="17"/>
  <c r="AB30" i="17"/>
  <c r="AF30" i="17"/>
  <c r="AB32" i="17"/>
  <c r="AB34" i="17"/>
  <c r="AB36" i="17"/>
  <c r="AB38" i="17"/>
  <c r="AB40" i="17"/>
  <c r="AB42" i="17"/>
  <c r="AH43" i="17"/>
  <c r="AB44" i="17"/>
  <c r="AB46" i="17"/>
  <c r="AB48" i="17"/>
  <c r="AB50" i="17"/>
  <c r="AB52" i="17"/>
  <c r="AB54" i="17"/>
  <c r="AB56" i="17"/>
  <c r="AB58" i="17"/>
  <c r="AB60" i="17"/>
  <c r="AB62" i="17"/>
  <c r="AB64" i="17"/>
  <c r="AB66" i="17"/>
  <c r="AB68" i="17"/>
  <c r="AB70" i="17"/>
  <c r="AB72" i="17"/>
  <c r="AB74" i="17"/>
  <c r="AB76" i="17"/>
  <c r="AB79" i="17"/>
  <c r="AB81" i="17"/>
  <c r="AJ81" i="17"/>
  <c r="AB83" i="17"/>
  <c r="AB85" i="17"/>
  <c r="AB87" i="17"/>
  <c r="AB89" i="17"/>
  <c r="AB91" i="17"/>
  <c r="AB99" i="17"/>
  <c r="AJ99" i="17"/>
  <c r="AB101" i="17"/>
  <c r="AJ106" i="17"/>
  <c r="AB111" i="17"/>
  <c r="AB113" i="17"/>
  <c r="AB115" i="17"/>
  <c r="AQ17" i="18"/>
  <c r="AR17" i="18" s="1"/>
  <c r="AA19" i="18"/>
  <c r="AG19" i="18" s="1"/>
  <c r="AC21" i="18"/>
  <c r="AF22" i="18"/>
  <c r="AA23" i="18"/>
  <c r="AH23" i="18" s="1"/>
  <c r="AL23" i="18" s="1"/>
  <c r="AC25" i="18"/>
  <c r="AD25" i="18" s="1"/>
  <c r="AE25" i="18" s="1"/>
  <c r="AB26" i="18"/>
  <c r="AD26" i="18" s="1"/>
  <c r="AE26" i="18" s="1"/>
  <c r="AF26" i="18"/>
  <c r="AA27" i="18"/>
  <c r="AI27" i="18" s="1"/>
  <c r="AC29" i="18"/>
  <c r="AD29" i="18" s="1"/>
  <c r="AE29" i="18" s="1"/>
  <c r="AF30" i="18"/>
  <c r="AA31" i="18"/>
  <c r="AI31" i="18" s="1"/>
  <c r="AC33" i="18"/>
  <c r="AD33" i="18" s="1"/>
  <c r="AE33" i="18" s="1"/>
  <c r="AB34" i="18"/>
  <c r="AF34" i="18"/>
  <c r="AA35" i="18"/>
  <c r="AI35" i="18" s="1"/>
  <c r="AH36" i="18"/>
  <c r="AL36" i="18" s="1"/>
  <c r="AC37" i="18"/>
  <c r="AD37" i="18" s="1"/>
  <c r="AE37" i="18" s="1"/>
  <c r="AF38" i="18"/>
  <c r="AA39" i="18"/>
  <c r="AH40" i="18"/>
  <c r="AL40" i="18" s="1"/>
  <c r="AC41" i="18"/>
  <c r="AB42" i="18"/>
  <c r="AD42" i="18" s="1"/>
  <c r="AE42" i="18" s="1"/>
  <c r="AF42" i="18"/>
  <c r="AA43" i="18"/>
  <c r="AH43" i="18" s="1"/>
  <c r="AL43" i="18" s="1"/>
  <c r="AC45" i="18"/>
  <c r="AA47" i="18"/>
  <c r="AG47" i="18" s="1"/>
  <c r="AC49" i="18"/>
  <c r="AB51" i="18"/>
  <c r="AA54" i="18"/>
  <c r="AI54" i="18" s="1"/>
  <c r="AD56" i="18"/>
  <c r="AE56" i="18" s="1"/>
  <c r="AC57" i="18"/>
  <c r="AB59" i="18"/>
  <c r="AH61" i="18"/>
  <c r="AL61" i="18" s="1"/>
  <c r="AA62" i="18"/>
  <c r="AI62" i="18" s="1"/>
  <c r="AG77" i="17"/>
  <c r="AO77" i="17" s="1"/>
  <c r="AE78" i="17"/>
  <c r="AE80" i="17"/>
  <c r="AG81" i="17"/>
  <c r="AO81" i="17" s="1"/>
  <c r="AE82" i="17"/>
  <c r="AE84" i="17"/>
  <c r="AE86" i="17"/>
  <c r="AE88" i="17"/>
  <c r="AE90" i="17"/>
  <c r="AE92" i="17"/>
  <c r="AE94" i="17"/>
  <c r="AE96" i="17"/>
  <c r="AE98" i="17"/>
  <c r="AE100" i="17"/>
  <c r="AE102" i="17"/>
  <c r="AG103" i="17"/>
  <c r="AO103" i="17" s="1"/>
  <c r="AE104" i="17"/>
  <c r="AE106" i="17"/>
  <c r="AE108" i="17"/>
  <c r="AE110" i="17"/>
  <c r="AE112" i="17"/>
  <c r="AE114" i="17"/>
  <c r="AB19" i="18"/>
  <c r="AF19" i="18"/>
  <c r="AA20" i="18"/>
  <c r="AI20" i="18" s="1"/>
  <c r="AB23" i="18"/>
  <c r="AF23" i="18"/>
  <c r="AA24" i="18"/>
  <c r="AI24" i="18" s="1"/>
  <c r="AG26" i="18"/>
  <c r="AJ26" i="18" s="1"/>
  <c r="AB27" i="18"/>
  <c r="AF27" i="18"/>
  <c r="AA28" i="18"/>
  <c r="AI28" i="18" s="1"/>
  <c r="AG30" i="18"/>
  <c r="AJ30" i="18" s="1"/>
  <c r="AB31" i="18"/>
  <c r="AF31" i="18"/>
  <c r="AA32" i="18"/>
  <c r="AB35" i="18"/>
  <c r="AF35" i="18"/>
  <c r="AB39" i="18"/>
  <c r="AF39" i="18"/>
  <c r="AG42" i="18"/>
  <c r="AJ42" i="18" s="1"/>
  <c r="AB43" i="18"/>
  <c r="AF43" i="18"/>
  <c r="AG46" i="18"/>
  <c r="AJ46" i="18" s="1"/>
  <c r="AB47" i="18"/>
  <c r="AF47" i="18"/>
  <c r="AC51" i="18"/>
  <c r="AC54" i="18"/>
  <c r="AA55" i="18"/>
  <c r="AH55" i="18" s="1"/>
  <c r="AL55" i="18" s="1"/>
  <c r="AF55" i="18"/>
  <c r="AF58" i="18"/>
  <c r="AB58" i="18"/>
  <c r="AD58" i="18" s="1"/>
  <c r="AE58" i="18" s="1"/>
  <c r="AC59" i="18"/>
  <c r="AC62" i="18"/>
  <c r="AA63" i="18"/>
  <c r="AH63" i="18" s="1"/>
  <c r="AL63" i="18" s="1"/>
  <c r="AF63" i="18"/>
  <c r="AA66" i="18"/>
  <c r="AC66" i="18"/>
  <c r="AF66" i="18"/>
  <c r="AB66" i="18"/>
  <c r="AH91" i="17"/>
  <c r="AB104" i="17"/>
  <c r="AB106" i="17"/>
  <c r="AB108" i="17"/>
  <c r="AF108" i="17"/>
  <c r="AB110" i="17"/>
  <c r="AB112" i="17"/>
  <c r="AF112" i="17"/>
  <c r="AB114" i="17"/>
  <c r="AC19" i="18"/>
  <c r="AB20" i="18"/>
  <c r="AA21" i="18"/>
  <c r="AC23" i="18"/>
  <c r="AB24" i="18"/>
  <c r="AA25" i="18"/>
  <c r="AH26" i="18"/>
  <c r="AL26" i="18" s="1"/>
  <c r="AC27" i="18"/>
  <c r="AB28" i="18"/>
  <c r="AD28" i="18" s="1"/>
  <c r="AE28" i="18" s="1"/>
  <c r="AA29" i="18"/>
  <c r="AG29" i="18" s="1"/>
  <c r="AH30" i="18"/>
  <c r="AL30" i="18" s="1"/>
  <c r="AC31" i="18"/>
  <c r="AB32" i="18"/>
  <c r="AA33" i="18"/>
  <c r="AG33" i="18" s="1"/>
  <c r="AH34" i="18"/>
  <c r="AL34" i="18" s="1"/>
  <c r="AC35" i="18"/>
  <c r="AB36" i="18"/>
  <c r="AD36" i="18" s="1"/>
  <c r="AE36" i="18" s="1"/>
  <c r="AA37" i="18"/>
  <c r="AG37" i="18" s="1"/>
  <c r="AC39" i="18"/>
  <c r="AG39" i="18"/>
  <c r="AB40" i="18"/>
  <c r="AA41" i="18"/>
  <c r="AH42" i="18"/>
  <c r="AL42" i="18" s="1"/>
  <c r="AC43" i="18"/>
  <c r="AB44" i="18"/>
  <c r="AA45" i="18"/>
  <c r="AI45" i="18" s="1"/>
  <c r="AC47" i="18"/>
  <c r="AB48" i="18"/>
  <c r="AA49" i="18"/>
  <c r="AI49" i="18" s="1"/>
  <c r="AH50" i="18"/>
  <c r="AL50" i="18" s="1"/>
  <c r="AC53" i="18"/>
  <c r="AD53" i="18" s="1"/>
  <c r="AE53" i="18" s="1"/>
  <c r="AB55" i="18"/>
  <c r="AD55" i="18" s="1"/>
  <c r="AE55" i="18" s="1"/>
  <c r="AB57" i="18"/>
  <c r="AH57" i="18"/>
  <c r="AL57" i="18" s="1"/>
  <c r="AA58" i="18"/>
  <c r="AH58" i="18" s="1"/>
  <c r="AL58" i="18" s="1"/>
  <c r="AC61" i="18"/>
  <c r="AD61" i="18" s="1"/>
  <c r="AE61" i="18" s="1"/>
  <c r="AB63" i="18"/>
  <c r="AD63" i="18" s="1"/>
  <c r="AE63" i="18" s="1"/>
  <c r="AG112" i="17"/>
  <c r="AO112" i="17" s="1"/>
  <c r="AH31" i="18"/>
  <c r="AL31" i="18" s="1"/>
  <c r="AH35" i="18"/>
  <c r="AL35" i="18" s="1"/>
  <c r="AH39" i="18"/>
  <c r="AL39" i="18" s="1"/>
  <c r="AH47" i="18"/>
  <c r="AL47" i="18" s="1"/>
  <c r="AA51" i="18"/>
  <c r="AG51" i="18" s="1"/>
  <c r="AF51" i="18"/>
  <c r="AF54" i="18"/>
  <c r="AB54" i="18"/>
  <c r="AA59" i="18"/>
  <c r="AG59" i="18" s="1"/>
  <c r="AF59" i="18"/>
  <c r="AF62" i="18"/>
  <c r="AB62" i="18"/>
  <c r="AI64" i="18"/>
  <c r="AH52" i="18"/>
  <c r="AL52" i="18" s="1"/>
  <c r="AH60" i="18"/>
  <c r="AL60" i="18" s="1"/>
  <c r="AH64" i="18"/>
  <c r="AL64" i="18" s="1"/>
  <c r="AC65" i="18"/>
  <c r="AA67" i="18"/>
  <c r="AI67" i="18" s="1"/>
  <c r="AC69" i="18"/>
  <c r="AB70" i="18"/>
  <c r="AF70" i="18"/>
  <c r="AA71" i="18"/>
  <c r="AI71" i="18" s="1"/>
  <c r="AH72" i="18"/>
  <c r="AL72" i="18" s="1"/>
  <c r="AC73" i="18"/>
  <c r="AB74" i="18"/>
  <c r="AF74" i="18"/>
  <c r="AA75" i="18"/>
  <c r="AH75" i="18" s="1"/>
  <c r="AL75" i="18" s="1"/>
  <c r="AC77" i="18"/>
  <c r="AB78" i="18"/>
  <c r="AF78" i="18"/>
  <c r="AA79" i="18"/>
  <c r="AI79" i="18" s="1"/>
  <c r="AH80" i="18"/>
  <c r="AL80" i="18" s="1"/>
  <c r="AC81" i="18"/>
  <c r="AG81" i="18"/>
  <c r="AJ81" i="18" s="1"/>
  <c r="AB82" i="18"/>
  <c r="AF82" i="18"/>
  <c r="AA83" i="18"/>
  <c r="AI83" i="18" s="1"/>
  <c r="AH84" i="18"/>
  <c r="AL84" i="18" s="1"/>
  <c r="AC85" i="18"/>
  <c r="AG85" i="18"/>
  <c r="AJ85" i="18" s="1"/>
  <c r="AB86" i="18"/>
  <c r="AF86" i="18"/>
  <c r="AA87" i="18"/>
  <c r="AI87" i="18" s="1"/>
  <c r="AC89" i="18"/>
  <c r="AB90" i="18"/>
  <c r="AF90" i="18"/>
  <c r="AA91" i="18"/>
  <c r="AI91" i="18" s="1"/>
  <c r="AC93" i="18"/>
  <c r="AB94" i="18"/>
  <c r="AF94" i="18"/>
  <c r="AA95" i="18"/>
  <c r="AI95" i="18" s="1"/>
  <c r="AC97" i="18"/>
  <c r="AG97" i="18"/>
  <c r="AJ97" i="18" s="1"/>
  <c r="AB98" i="18"/>
  <c r="AF98" i="18"/>
  <c r="AA99" i="18"/>
  <c r="AH99" i="18" s="1"/>
  <c r="AL99" i="18" s="1"/>
  <c r="AC101" i="18"/>
  <c r="AG101" i="18"/>
  <c r="AJ101" i="18" s="1"/>
  <c r="AB102" i="18"/>
  <c r="AF102" i="18"/>
  <c r="AA103" i="18"/>
  <c r="AI103" i="18" s="1"/>
  <c r="AC105" i="18"/>
  <c r="AG105" i="18"/>
  <c r="AJ105" i="18" s="1"/>
  <c r="AB106" i="18"/>
  <c r="AF106" i="18"/>
  <c r="AA107" i="18"/>
  <c r="AH107" i="18" s="1"/>
  <c r="AL107" i="18" s="1"/>
  <c r="AC109" i="18"/>
  <c r="AB110" i="18"/>
  <c r="AF110" i="18"/>
  <c r="AA111" i="18"/>
  <c r="AI111" i="18" s="1"/>
  <c r="AC113" i="18"/>
  <c r="AB114" i="18"/>
  <c r="AF114" i="18"/>
  <c r="AA115" i="18"/>
  <c r="AH115" i="18" s="1"/>
  <c r="AL115" i="18" s="1"/>
  <c r="AC117" i="18"/>
  <c r="AI17" i="19"/>
  <c r="AO17" i="19" s="1"/>
  <c r="AG18" i="19"/>
  <c r="AJ23" i="19"/>
  <c r="AB67" i="18"/>
  <c r="AD67" i="18" s="1"/>
  <c r="AE67" i="18" s="1"/>
  <c r="AF67" i="18"/>
  <c r="AC70" i="18"/>
  <c r="AB71" i="18"/>
  <c r="AD71" i="18" s="1"/>
  <c r="AE71" i="18" s="1"/>
  <c r="AF71" i="18"/>
  <c r="AI72" i="18"/>
  <c r="AC74" i="18"/>
  <c r="AB75" i="18"/>
  <c r="AD75" i="18" s="1"/>
  <c r="AE75" i="18" s="1"/>
  <c r="AF75" i="18"/>
  <c r="AC78" i="18"/>
  <c r="AB79" i="18"/>
  <c r="AD79" i="18" s="1"/>
  <c r="AE79" i="18" s="1"/>
  <c r="AF79" i="18"/>
  <c r="AH81" i="18"/>
  <c r="AL81" i="18" s="1"/>
  <c r="AC82" i="18"/>
  <c r="AB83" i="18"/>
  <c r="AD83" i="18" s="1"/>
  <c r="AE83" i="18" s="1"/>
  <c r="AF83" i="18"/>
  <c r="AI84" i="18"/>
  <c r="AH85" i="18"/>
  <c r="AL85" i="18" s="1"/>
  <c r="AC86" i="18"/>
  <c r="AB87" i="18"/>
  <c r="AD87" i="18" s="1"/>
  <c r="AE87" i="18" s="1"/>
  <c r="AF87" i="18"/>
  <c r="AC90" i="18"/>
  <c r="AC94" i="18"/>
  <c r="AH97" i="18"/>
  <c r="AL97" i="18" s="1"/>
  <c r="AC98" i="18"/>
  <c r="AB99" i="18"/>
  <c r="AD99" i="18" s="1"/>
  <c r="AE99" i="18" s="1"/>
  <c r="AF99" i="18"/>
  <c r="AH101" i="18"/>
  <c r="AL101" i="18" s="1"/>
  <c r="AC102" i="18"/>
  <c r="AB103" i="18"/>
  <c r="AD103" i="18" s="1"/>
  <c r="AE103" i="18" s="1"/>
  <c r="AF103" i="18"/>
  <c r="AH105" i="18"/>
  <c r="AL105" i="18" s="1"/>
  <c r="AC106" i="18"/>
  <c r="AC110" i="18"/>
  <c r="AC114" i="18"/>
  <c r="AH117" i="18"/>
  <c r="AL117" i="18" s="1"/>
  <c r="AJ17" i="19"/>
  <c r="AD18" i="19"/>
  <c r="AI18" i="19"/>
  <c r="AO18" i="19" s="1"/>
  <c r="AB69" i="18"/>
  <c r="AA70" i="18"/>
  <c r="AI70" i="18" s="1"/>
  <c r="AG72" i="18"/>
  <c r="AB73" i="18"/>
  <c r="AA74" i="18"/>
  <c r="AB77" i="18"/>
  <c r="AA78" i="18"/>
  <c r="AI78" i="18" s="1"/>
  <c r="AB81" i="18"/>
  <c r="AA82" i="18"/>
  <c r="AG84" i="18"/>
  <c r="AB85" i="18"/>
  <c r="AA86" i="18"/>
  <c r="AH86" i="18" s="1"/>
  <c r="AL86" i="18" s="1"/>
  <c r="AG88" i="18"/>
  <c r="AB89" i="18"/>
  <c r="AA90" i="18"/>
  <c r="AB93" i="18"/>
  <c r="AA94" i="18"/>
  <c r="AI94" i="18" s="1"/>
  <c r="AB97" i="18"/>
  <c r="AA98" i="18"/>
  <c r="AI98" i="18" s="1"/>
  <c r="AB101" i="18"/>
  <c r="AA102" i="18"/>
  <c r="AI102" i="18" s="1"/>
  <c r="AH103" i="18"/>
  <c r="AL103" i="18" s="1"/>
  <c r="AB105" i="18"/>
  <c r="AA106" i="18"/>
  <c r="AG108" i="18"/>
  <c r="AB109" i="18"/>
  <c r="AA110" i="18"/>
  <c r="AG110" i="18" s="1"/>
  <c r="AB113" i="18"/>
  <c r="AA114" i="18"/>
  <c r="AI114" i="18" s="1"/>
  <c r="AB117" i="18"/>
  <c r="AJ18" i="19"/>
  <c r="AG61" i="19"/>
  <c r="AL61" i="19"/>
  <c r="AD61" i="19"/>
  <c r="AG63" i="19"/>
  <c r="AD63" i="19"/>
  <c r="AG65" i="19"/>
  <c r="AD65" i="19"/>
  <c r="AG67" i="19"/>
  <c r="AD67" i="19"/>
  <c r="AG69" i="19"/>
  <c r="AD69" i="19"/>
  <c r="AG71" i="19"/>
  <c r="AD71" i="19"/>
  <c r="AG19" i="19"/>
  <c r="AG21" i="19"/>
  <c r="AG23" i="19"/>
  <c r="AG25" i="19"/>
  <c r="AI26" i="19"/>
  <c r="AO26" i="19" s="1"/>
  <c r="AG27" i="19"/>
  <c r="AG29" i="19"/>
  <c r="AG31" i="19"/>
  <c r="AG33" i="19"/>
  <c r="AG35" i="19"/>
  <c r="AG37" i="19"/>
  <c r="AG39" i="19"/>
  <c r="AG41" i="19"/>
  <c r="AG43" i="19"/>
  <c r="AG45" i="19"/>
  <c r="AG47" i="19"/>
  <c r="AG49" i="19"/>
  <c r="AG51" i="19"/>
  <c r="AG53" i="19"/>
  <c r="AM53" i="19" s="1"/>
  <c r="AG55" i="19"/>
  <c r="AD56" i="19"/>
  <c r="AD57" i="19"/>
  <c r="AD58" i="19"/>
  <c r="AI58" i="19"/>
  <c r="AO58" i="19" s="1"/>
  <c r="AD59" i="19"/>
  <c r="AD60" i="19"/>
  <c r="AD19" i="19"/>
  <c r="AH19" i="19"/>
  <c r="AJ20" i="19"/>
  <c r="AD21" i="19"/>
  <c r="AD23" i="19"/>
  <c r="AH23" i="19"/>
  <c r="AD25" i="19"/>
  <c r="AJ26" i="19"/>
  <c r="AD27" i="19"/>
  <c r="AD29" i="19"/>
  <c r="AH29" i="19"/>
  <c r="AD31" i="19"/>
  <c r="AD33" i="19"/>
  <c r="AH33" i="19"/>
  <c r="AD35" i="19"/>
  <c r="AD37" i="19"/>
  <c r="AH37" i="19"/>
  <c r="AD39" i="19"/>
  <c r="AD41" i="19"/>
  <c r="AD43" i="19"/>
  <c r="AH43" i="19"/>
  <c r="AD45" i="19"/>
  <c r="AD47" i="19"/>
  <c r="AD49" i="19"/>
  <c r="AD51" i="19"/>
  <c r="AD53" i="19"/>
  <c r="AD55" i="19"/>
  <c r="AI19" i="19"/>
  <c r="AO19" i="19" s="1"/>
  <c r="AG20" i="19"/>
  <c r="AI21" i="19"/>
  <c r="AO21" i="19" s="1"/>
  <c r="AG22" i="19"/>
  <c r="AI23" i="19"/>
  <c r="AO23" i="19" s="1"/>
  <c r="AG26" i="19"/>
  <c r="AI29" i="19"/>
  <c r="AO29" i="19" s="1"/>
  <c r="AG30" i="19"/>
  <c r="AG32" i="19"/>
  <c r="AI37" i="19"/>
  <c r="AO37" i="19" s="1"/>
  <c r="AI41" i="19"/>
  <c r="AO41" i="19" s="1"/>
  <c r="AU56" i="19"/>
  <c r="AU58" i="19"/>
  <c r="AH64" i="19"/>
  <c r="AD73" i="19"/>
  <c r="AD75" i="19"/>
  <c r="AG91" i="19"/>
  <c r="AG95" i="19"/>
  <c r="AG99" i="19"/>
  <c r="AG105" i="19"/>
  <c r="AD105" i="19"/>
  <c r="AJ94" i="19"/>
  <c r="AG103" i="19"/>
  <c r="AD103" i="19"/>
  <c r="AJ112" i="19"/>
  <c r="AD62" i="19"/>
  <c r="AD64" i="19"/>
  <c r="AD66" i="19"/>
  <c r="AD68" i="19"/>
  <c r="AD70" i="19"/>
  <c r="AD72" i="19"/>
  <c r="AE72" i="19" s="1"/>
  <c r="AF72" i="19" s="1"/>
  <c r="AL73" i="19"/>
  <c r="AD74" i="19"/>
  <c r="AG89" i="19"/>
  <c r="AG93" i="19"/>
  <c r="AG97" i="19"/>
  <c r="AG101" i="19"/>
  <c r="AD101" i="19"/>
  <c r="AH102" i="19"/>
  <c r="AG73" i="19"/>
  <c r="AG75" i="19"/>
  <c r="AG77" i="19"/>
  <c r="AM77" i="19" s="1"/>
  <c r="AG79" i="19"/>
  <c r="AG81" i="19"/>
  <c r="AG83" i="19"/>
  <c r="AG85" i="19"/>
  <c r="AG87" i="19"/>
  <c r="AJ100" i="19"/>
  <c r="AL102" i="19"/>
  <c r="AG107" i="19"/>
  <c r="AD107" i="19"/>
  <c r="AG109" i="19"/>
  <c r="AM109" i="19" s="1"/>
  <c r="AG111" i="19"/>
  <c r="AG113" i="19"/>
  <c r="AG115" i="19"/>
  <c r="AH115" i="19"/>
  <c r="AD109" i="19"/>
  <c r="AD111" i="19"/>
  <c r="AD113" i="19"/>
  <c r="AD115" i="19"/>
  <c r="AI78" i="19"/>
  <c r="AO78" i="19" s="1"/>
  <c r="AI100" i="19"/>
  <c r="AO100" i="19" s="1"/>
  <c r="AI102" i="19"/>
  <c r="AO102" i="19" s="1"/>
  <c r="AI106" i="19"/>
  <c r="AO106" i="19" s="1"/>
  <c r="O26" i="22"/>
  <c r="P193" i="22"/>
  <c r="P192" i="22" s="1"/>
  <c r="O192" i="22"/>
  <c r="AX46" i="24"/>
  <c r="AX48" i="24" s="1"/>
  <c r="BA43" i="24"/>
  <c r="AY46" i="24"/>
  <c r="AY48" i="24" s="1"/>
  <c r="AW47" i="24"/>
  <c r="BA47" i="24" s="1"/>
  <c r="AM68" i="19" l="1"/>
  <c r="AM58" i="19"/>
  <c r="AM20" i="19"/>
  <c r="AM26" i="19"/>
  <c r="AM23" i="19"/>
  <c r="BA46" i="24"/>
  <c r="AW48" i="24"/>
  <c r="AK84" i="17"/>
  <c r="AH104" i="18"/>
  <c r="AL104" i="18" s="1"/>
  <c r="AD40" i="18"/>
  <c r="AE40" i="18" s="1"/>
  <c r="AH37" i="17"/>
  <c r="AM81" i="19"/>
  <c r="AM78" i="19"/>
  <c r="AM96" i="19"/>
  <c r="AM115" i="19"/>
  <c r="AM29" i="19"/>
  <c r="AH104" i="19"/>
  <c r="AH113" i="18"/>
  <c r="AL113" i="18" s="1"/>
  <c r="AI80" i="18"/>
  <c r="AG61" i="18"/>
  <c r="AJ61" i="18" s="1"/>
  <c r="AI56" i="18"/>
  <c r="AF37" i="17"/>
  <c r="AM54" i="19"/>
  <c r="AM111" i="19"/>
  <c r="AM22" i="19"/>
  <c r="AK109" i="17"/>
  <c r="AI60" i="18"/>
  <c r="AJ60" i="18" s="1"/>
  <c r="AK100" i="17"/>
  <c r="AK70" i="17"/>
  <c r="AK60" i="17"/>
  <c r="AK51" i="17"/>
  <c r="AK31" i="17"/>
  <c r="AK69" i="17"/>
  <c r="AM89" i="19"/>
  <c r="AM83" i="19"/>
  <c r="AM97" i="19"/>
  <c r="AM25" i="19"/>
  <c r="AC89" i="17"/>
  <c r="AD89" i="17" s="1"/>
  <c r="AE76" i="19"/>
  <c r="AF76" i="19" s="1"/>
  <c r="AU32" i="15"/>
  <c r="AM50" i="19"/>
  <c r="AM106" i="19"/>
  <c r="AM102" i="19"/>
  <c r="AU37" i="15"/>
  <c r="AK82" i="17"/>
  <c r="AD49" i="18"/>
  <c r="AE49" i="18" s="1"/>
  <c r="AC87" i="17"/>
  <c r="AD87" i="17" s="1"/>
  <c r="AL26" i="19"/>
  <c r="AK111" i="17"/>
  <c r="AM73" i="19"/>
  <c r="AM46" i="19"/>
  <c r="AM24" i="19"/>
  <c r="AM21" i="19"/>
  <c r="AL110" i="19"/>
  <c r="AG104" i="18"/>
  <c r="AG113" i="18"/>
  <c r="AJ113" i="18" s="1"/>
  <c r="AD65" i="18"/>
  <c r="AE65" i="18" s="1"/>
  <c r="AK83" i="17"/>
  <c r="AM52" i="19"/>
  <c r="AM105" i="19"/>
  <c r="AM30" i="19"/>
  <c r="AM27" i="19"/>
  <c r="AM85" i="19"/>
  <c r="AM69" i="19"/>
  <c r="AM34" i="19"/>
  <c r="AM110" i="19"/>
  <c r="AM94" i="19"/>
  <c r="AM86" i="19"/>
  <c r="AM70" i="19"/>
  <c r="AM62" i="19"/>
  <c r="AM45" i="19"/>
  <c r="AM33" i="19"/>
  <c r="AM116" i="19"/>
  <c r="AM108" i="19"/>
  <c r="AM100" i="19"/>
  <c r="AM92" i="19"/>
  <c r="AM84" i="19"/>
  <c r="AM76" i="19"/>
  <c r="AM51" i="19"/>
  <c r="AM43" i="19"/>
  <c r="AM107" i="19"/>
  <c r="AM99" i="19"/>
  <c r="AM91" i="19"/>
  <c r="AM75" i="19"/>
  <c r="AM67" i="19"/>
  <c r="AM59" i="19"/>
  <c r="AM114" i="19"/>
  <c r="AM98" i="19"/>
  <c r="AM90" i="19"/>
  <c r="AM82" i="19"/>
  <c r="AM74" i="19"/>
  <c r="AM66" i="19"/>
  <c r="AM49" i="19"/>
  <c r="AM40" i="19"/>
  <c r="AM41" i="19"/>
  <c r="AM113" i="19"/>
  <c r="AM65" i="19"/>
  <c r="AM57" i="19"/>
  <c r="AM48" i="19"/>
  <c r="AM39" i="19"/>
  <c r="AM38" i="19"/>
  <c r="AM112" i="19"/>
  <c r="AM104" i="19"/>
  <c r="AM88" i="19"/>
  <c r="AM80" i="19"/>
  <c r="AM72" i="19"/>
  <c r="AM56" i="19"/>
  <c r="AM47" i="19"/>
  <c r="AM37" i="19"/>
  <c r="AM18" i="19"/>
  <c r="AM36" i="19"/>
  <c r="AM103" i="19"/>
  <c r="AM95" i="19"/>
  <c r="AM87" i="19"/>
  <c r="AM79" i="19"/>
  <c r="AM71" i="19"/>
  <c r="AM63" i="19"/>
  <c r="AM55" i="19"/>
  <c r="AM35" i="19"/>
  <c r="AM17" i="19"/>
  <c r="AE66" i="19"/>
  <c r="AF66" i="19" s="1"/>
  <c r="AE89" i="19"/>
  <c r="AF89" i="19" s="1"/>
  <c r="AI92" i="19"/>
  <c r="AO92" i="19" s="1"/>
  <c r="AE59" i="19"/>
  <c r="AF59" i="19" s="1"/>
  <c r="AH92" i="19"/>
  <c r="AK92" i="19" s="1"/>
  <c r="AE94" i="19"/>
  <c r="AF94" i="19" s="1"/>
  <c r="AH63" i="19"/>
  <c r="AL80" i="19"/>
  <c r="AJ114" i="19"/>
  <c r="AJ80" i="19"/>
  <c r="AK113" i="17"/>
  <c r="AK88" i="17"/>
  <c r="AK92" i="17"/>
  <c r="AK54" i="17"/>
  <c r="AH48" i="17"/>
  <c r="AK48" i="17"/>
  <c r="AK36" i="17"/>
  <c r="AG80" i="17"/>
  <c r="AO80" i="17" s="1"/>
  <c r="AK80" i="17"/>
  <c r="AH61" i="17"/>
  <c r="AK61" i="17"/>
  <c r="AH67" i="17"/>
  <c r="AK67" i="17"/>
  <c r="AK39" i="17"/>
  <c r="AK114" i="17"/>
  <c r="AK101" i="17"/>
  <c r="AK96" i="17"/>
  <c r="AK75" i="17"/>
  <c r="AK52" i="17"/>
  <c r="AK46" i="17"/>
  <c r="AK34" i="17"/>
  <c r="AF93" i="17"/>
  <c r="AI93" i="17" s="1"/>
  <c r="AK93" i="17"/>
  <c r="AK105" i="17"/>
  <c r="AK86" i="17"/>
  <c r="AK76" i="17"/>
  <c r="AK68" i="17"/>
  <c r="AK57" i="17"/>
  <c r="AK45" i="17"/>
  <c r="AK38" i="17"/>
  <c r="AK106" i="17"/>
  <c r="AK90" i="17"/>
  <c r="AK62" i="17"/>
  <c r="AK32" i="17"/>
  <c r="AJ107" i="17"/>
  <c r="AK107" i="17"/>
  <c r="AF79" i="17"/>
  <c r="AK79" i="17"/>
  <c r="AK40" i="17"/>
  <c r="AG108" i="17"/>
  <c r="AO108" i="17" s="1"/>
  <c r="AK108" i="17"/>
  <c r="AH69" i="17"/>
  <c r="AK97" i="17"/>
  <c r="AK91" i="17"/>
  <c r="AK78" i="17"/>
  <c r="AK73" i="17"/>
  <c r="AK65" i="17"/>
  <c r="AK59" i="17"/>
  <c r="AK50" i="17"/>
  <c r="AK43" i="17"/>
  <c r="AK33" i="17"/>
  <c r="AK115" i="17"/>
  <c r="AK74" i="17"/>
  <c r="AK66" i="17"/>
  <c r="AK55" i="17"/>
  <c r="AK44" i="17"/>
  <c r="AK37" i="17"/>
  <c r="AK112" i="17"/>
  <c r="AK104" i="17"/>
  <c r="AK99" i="17"/>
  <c r="AK94" i="17"/>
  <c r="AK56" i="17"/>
  <c r="AJ16" i="17"/>
  <c r="AK16" i="17"/>
  <c r="AJ95" i="17"/>
  <c r="AK95" i="17"/>
  <c r="AK72" i="17"/>
  <c r="AK64" i="17"/>
  <c r="AK53" i="17"/>
  <c r="AK42" i="17"/>
  <c r="AK35" i="17"/>
  <c r="AK110" i="17"/>
  <c r="AK103" i="17"/>
  <c r="AK98" i="17"/>
  <c r="AK81" i="17"/>
  <c r="AK77" i="17"/>
  <c r="AK71" i="17"/>
  <c r="AK63" i="17"/>
  <c r="AK47" i="17"/>
  <c r="AC84" i="17"/>
  <c r="AD84" i="17" s="1"/>
  <c r="AH39" i="17"/>
  <c r="AG67" i="17"/>
  <c r="AO67" i="17" s="1"/>
  <c r="AH93" i="17"/>
  <c r="AG39" i="17"/>
  <c r="AO39" i="17" s="1"/>
  <c r="AL51" i="19"/>
  <c r="AI25" i="19"/>
  <c r="AO25" i="19" s="1"/>
  <c r="AL20" i="19"/>
  <c r="AJ37" i="19"/>
  <c r="AH31" i="19"/>
  <c r="AH26" i="19"/>
  <c r="AL27" i="19"/>
  <c r="AH108" i="19"/>
  <c r="AL29" i="19"/>
  <c r="AJ24" i="19"/>
  <c r="AJ19" i="19"/>
  <c r="AE32" i="19"/>
  <c r="AF32" i="19" s="1"/>
  <c r="AJ89" i="17"/>
  <c r="AH84" i="17"/>
  <c r="AF87" i="17"/>
  <c r="AG75" i="17"/>
  <c r="AO75" i="17" s="1"/>
  <c r="AJ52" i="17"/>
  <c r="AG49" i="17"/>
  <c r="AO49" i="17" s="1"/>
  <c r="AG46" i="17"/>
  <c r="AO46" i="17" s="1"/>
  <c r="AG41" i="17"/>
  <c r="AO41" i="17" s="1"/>
  <c r="AJ34" i="17"/>
  <c r="AF111" i="17"/>
  <c r="AG95" i="17"/>
  <c r="AO95" i="17" s="1"/>
  <c r="AG86" i="17"/>
  <c r="AO86" i="17" s="1"/>
  <c r="AJ76" i="17"/>
  <c r="AJ72" i="17"/>
  <c r="AF68" i="17"/>
  <c r="AJ64" i="17"/>
  <c r="AF53" i="17"/>
  <c r="AJ42" i="17"/>
  <c r="AJ38" i="17"/>
  <c r="AG35" i="17"/>
  <c r="AO35" i="17" s="1"/>
  <c r="AF110" i="17"/>
  <c r="AG98" i="17"/>
  <c r="AO98" i="17" s="1"/>
  <c r="AH81" i="17"/>
  <c r="AJ77" i="17"/>
  <c r="AF71" i="17"/>
  <c r="AF63" i="17"/>
  <c r="AJ62" i="17"/>
  <c r="AG47" i="17"/>
  <c r="AO47" i="17" s="1"/>
  <c r="AJ32" i="17"/>
  <c r="AF113" i="17"/>
  <c r="AF97" i="17"/>
  <c r="AF91" i="17"/>
  <c r="AI91" i="17" s="1"/>
  <c r="AG88" i="17"/>
  <c r="AO88" i="17" s="1"/>
  <c r="AG92" i="17"/>
  <c r="AO92" i="17" s="1"/>
  <c r="AJ83" i="17"/>
  <c r="AG73" i="17"/>
  <c r="AO73" i="17" s="1"/>
  <c r="AG65" i="17"/>
  <c r="AO65" i="17" s="1"/>
  <c r="AG59" i="17"/>
  <c r="AO59" i="17" s="1"/>
  <c r="AG54" i="17"/>
  <c r="AO54" i="17" s="1"/>
  <c r="AJ48" i="17"/>
  <c r="AG43" i="17"/>
  <c r="AO43" i="17" s="1"/>
  <c r="AJ36" i="17"/>
  <c r="AG33" i="17"/>
  <c r="AO33" i="17" s="1"/>
  <c r="AF109" i="17"/>
  <c r="AG102" i="17"/>
  <c r="AO102" i="17" s="1"/>
  <c r="AF114" i="17"/>
  <c r="AF101" i="17"/>
  <c r="AH96" i="17"/>
  <c r="AJ58" i="17"/>
  <c r="AG82" i="17"/>
  <c r="AO82" i="17" s="1"/>
  <c r="AJ103" i="17"/>
  <c r="AH82" i="17"/>
  <c r="AH41" i="17"/>
  <c r="AF77" i="17"/>
  <c r="AG115" i="17"/>
  <c r="AO115" i="17" s="1"/>
  <c r="AG107" i="17"/>
  <c r="AO107" i="17" s="1"/>
  <c r="AH100" i="17"/>
  <c r="AJ93" i="17"/>
  <c r="AJ79" i="17"/>
  <c r="AJ74" i="17"/>
  <c r="AJ70" i="17"/>
  <c r="AJ66" i="17"/>
  <c r="AJ60" i="17"/>
  <c r="AH55" i="17"/>
  <c r="AG51" i="17"/>
  <c r="AO51" i="17" s="1"/>
  <c r="AJ40" i="17"/>
  <c r="AH31" i="17"/>
  <c r="AJ108" i="17"/>
  <c r="AJ104" i="17"/>
  <c r="AH99" i="17"/>
  <c r="AI99" i="17" s="1"/>
  <c r="AH94" i="17"/>
  <c r="AF85" i="17"/>
  <c r="AH80" i="17"/>
  <c r="AG69" i="17"/>
  <c r="AO69" i="17" s="1"/>
  <c r="AG61" i="17"/>
  <c r="AO61" i="17" s="1"/>
  <c r="AF67" i="17"/>
  <c r="AI67" i="17" s="1"/>
  <c r="AJ56" i="17"/>
  <c r="AJ110" i="17"/>
  <c r="AF103" i="17"/>
  <c r="AF81" i="17"/>
  <c r="AF58" i="17"/>
  <c r="AF42" i="17"/>
  <c r="AG53" i="17"/>
  <c r="AO53" i="17" s="1"/>
  <c r="AG38" i="17"/>
  <c r="AO38" i="17" s="1"/>
  <c r="AG110" i="17"/>
  <c r="AO110" i="17" s="1"/>
  <c r="AG96" i="17"/>
  <c r="AO96" i="17" s="1"/>
  <c r="AH103" i="17"/>
  <c r="AI103" i="17" s="1"/>
  <c r="AG105" i="17"/>
  <c r="AO105" i="17" s="1"/>
  <c r="AG90" i="17"/>
  <c r="AO90" i="17" s="1"/>
  <c r="AH98" i="17"/>
  <c r="AH90" i="17"/>
  <c r="AH53" i="17"/>
  <c r="AF38" i="17"/>
  <c r="AH35" i="17"/>
  <c r="AH77" i="17"/>
  <c r="AG34" i="17"/>
  <c r="AO34" i="17" s="1"/>
  <c r="AJ102" i="19"/>
  <c r="AE56" i="19"/>
  <c r="AF56" i="19" s="1"/>
  <c r="AI20" i="19"/>
  <c r="AO20" i="19" s="1"/>
  <c r="AJ31" i="19"/>
  <c r="AL31" i="19"/>
  <c r="AH20" i="19"/>
  <c r="AK20" i="19" s="1"/>
  <c r="AE54" i="19"/>
  <c r="AF54" i="19" s="1"/>
  <c r="AI104" i="19"/>
  <c r="AO104" i="19" s="1"/>
  <c r="AI96" i="19"/>
  <c r="AO96" i="19" s="1"/>
  <c r="AJ96" i="19"/>
  <c r="AL78" i="19"/>
  <c r="AH106" i="19"/>
  <c r="AH96" i="19"/>
  <c r="AI43" i="19"/>
  <c r="AO43" i="19" s="1"/>
  <c r="AI31" i="19"/>
  <c r="AO31" i="19" s="1"/>
  <c r="AH41" i="19"/>
  <c r="AJ43" i="19"/>
  <c r="AJ29" i="19"/>
  <c r="AK29" i="19" s="1"/>
  <c r="AL25" i="19"/>
  <c r="AE24" i="19"/>
  <c r="AF24" i="19" s="1"/>
  <c r="AE110" i="19"/>
  <c r="AF110" i="19" s="1"/>
  <c r="AE22" i="19"/>
  <c r="AF22" i="19" s="1"/>
  <c r="AJ104" i="19"/>
  <c r="AI110" i="19"/>
  <c r="AO110" i="19" s="1"/>
  <c r="AI53" i="19"/>
  <c r="AO53" i="19" s="1"/>
  <c r="AJ41" i="19"/>
  <c r="AE36" i="19"/>
  <c r="AF36" i="19" s="1"/>
  <c r="AE90" i="19"/>
  <c r="AF90" i="19" s="1"/>
  <c r="AE48" i="19"/>
  <c r="AF48" i="19" s="1"/>
  <c r="AE30" i="19"/>
  <c r="AF30" i="19" s="1"/>
  <c r="AE28" i="19"/>
  <c r="AF28" i="19" s="1"/>
  <c r="AE20" i="19"/>
  <c r="AF20" i="19" s="1"/>
  <c r="AH66" i="19"/>
  <c r="AL116" i="19"/>
  <c r="AI114" i="19"/>
  <c r="AO114" i="19" s="1"/>
  <c r="AH116" i="19"/>
  <c r="AI27" i="19"/>
  <c r="AO27" i="19" s="1"/>
  <c r="AJ38" i="19"/>
  <c r="AI38" i="19"/>
  <c r="AO38" i="19" s="1"/>
  <c r="AJ45" i="19"/>
  <c r="AL18" i="19"/>
  <c r="AJ84" i="19"/>
  <c r="AH112" i="19"/>
  <c r="AK112" i="19" s="1"/>
  <c r="AH84" i="19"/>
  <c r="AE85" i="19"/>
  <c r="AF85" i="19" s="1"/>
  <c r="AE82" i="19"/>
  <c r="AF82" i="19" s="1"/>
  <c r="AE77" i="19"/>
  <c r="AF77" i="19" s="1"/>
  <c r="AD60" i="18"/>
  <c r="AE60" i="18" s="1"/>
  <c r="AH96" i="18"/>
  <c r="AL96" i="18" s="1"/>
  <c r="AI96" i="18"/>
  <c r="AD32" i="18"/>
  <c r="AE32" i="18" s="1"/>
  <c r="AI116" i="18"/>
  <c r="AG69" i="18"/>
  <c r="AJ69" i="18" s="1"/>
  <c r="AG53" i="18"/>
  <c r="AJ53" i="18" s="1"/>
  <c r="AG38" i="18"/>
  <c r="AJ38" i="18" s="1"/>
  <c r="AG109" i="18"/>
  <c r="AJ109" i="18" s="1"/>
  <c r="AH38" i="18"/>
  <c r="AL38" i="18" s="1"/>
  <c r="AH53" i="18"/>
  <c r="AL53" i="18" s="1"/>
  <c r="AD113" i="18"/>
  <c r="AE113" i="18" s="1"/>
  <c r="AH108" i="18"/>
  <c r="AL108" i="18" s="1"/>
  <c r="AH19" i="18"/>
  <c r="AL19" i="18" s="1"/>
  <c r="AD20" i="18"/>
  <c r="AE20" i="18" s="1"/>
  <c r="AD101" i="18"/>
  <c r="AE101" i="18" s="1"/>
  <c r="AG76" i="18"/>
  <c r="AH77" i="18"/>
  <c r="AL77" i="18" s="1"/>
  <c r="AD24" i="18"/>
  <c r="AE24" i="18" s="1"/>
  <c r="AI76" i="18"/>
  <c r="AH69" i="18"/>
  <c r="AL69" i="18" s="1"/>
  <c r="AG50" i="18"/>
  <c r="AJ50" i="18" s="1"/>
  <c r="AH44" i="18"/>
  <c r="AL44" i="18" s="1"/>
  <c r="AD41" i="18"/>
  <c r="AE41" i="18" s="1"/>
  <c r="AD34" i="18"/>
  <c r="AE34" i="18" s="1"/>
  <c r="AJ97" i="17"/>
  <c r="AG97" i="17"/>
  <c r="AO97" i="17" s="1"/>
  <c r="AG57" i="17"/>
  <c r="AO57" i="17" s="1"/>
  <c r="AG45" i="17"/>
  <c r="AO45" i="17" s="1"/>
  <c r="AJ68" i="17"/>
  <c r="AG36" i="17"/>
  <c r="AO36" i="17" s="1"/>
  <c r="AF33" i="17"/>
  <c r="AC115" i="17"/>
  <c r="AD115" i="17" s="1"/>
  <c r="AH83" i="17"/>
  <c r="AF36" i="17"/>
  <c r="AH33" i="17"/>
  <c r="AJ91" i="17"/>
  <c r="AC79" i="17"/>
  <c r="AD79" i="17" s="1"/>
  <c r="AF50" i="17"/>
  <c r="AH50" i="17"/>
  <c r="AG50" i="17"/>
  <c r="AO50" i="17" s="1"/>
  <c r="AJ113" i="17"/>
  <c r="AL40" i="19"/>
  <c r="AL92" i="19"/>
  <c r="AE40" i="19"/>
  <c r="AF40" i="19" s="1"/>
  <c r="AE93" i="19"/>
  <c r="AF93" i="19" s="1"/>
  <c r="AE81" i="19"/>
  <c r="AF81" i="19" s="1"/>
  <c r="AI82" i="19"/>
  <c r="AO82" i="19" s="1"/>
  <c r="AI67" i="19"/>
  <c r="AO67" i="19" s="1"/>
  <c r="AH82" i="19"/>
  <c r="AI116" i="19"/>
  <c r="AO116" i="19" s="1"/>
  <c r="AI112" i="19"/>
  <c r="AO112" i="19" s="1"/>
  <c r="AI108" i="19"/>
  <c r="AO108" i="19" s="1"/>
  <c r="AI94" i="19"/>
  <c r="AO94" i="19" s="1"/>
  <c r="AL114" i="19"/>
  <c r="AH110" i="19"/>
  <c r="AH94" i="19"/>
  <c r="AL86" i="19"/>
  <c r="AL76" i="19"/>
  <c r="AE70" i="19"/>
  <c r="AF70" i="19" s="1"/>
  <c r="AJ106" i="19"/>
  <c r="AI39" i="19"/>
  <c r="AO39" i="19" s="1"/>
  <c r="AH21" i="19"/>
  <c r="AK21" i="19" s="1"/>
  <c r="AI24" i="19"/>
  <c r="AO24" i="19" s="1"/>
  <c r="AJ76" i="19"/>
  <c r="AJ21" i="19"/>
  <c r="AL108" i="19"/>
  <c r="AL21" i="19"/>
  <c r="AH80" i="19"/>
  <c r="AL98" i="19"/>
  <c r="AE116" i="19"/>
  <c r="AF116" i="19" s="1"/>
  <c r="AE86" i="19"/>
  <c r="AF86" i="19" s="1"/>
  <c r="AE83" i="19"/>
  <c r="AF83" i="19" s="1"/>
  <c r="AE78" i="19"/>
  <c r="AF78" i="19" s="1"/>
  <c r="AL106" i="19"/>
  <c r="AE99" i="19"/>
  <c r="AF99" i="19" s="1"/>
  <c r="AE96" i="19"/>
  <c r="AF96" i="19" s="1"/>
  <c r="AE112" i="19"/>
  <c r="AF112" i="19" s="1"/>
  <c r="AE114" i="19"/>
  <c r="AF114" i="19" s="1"/>
  <c r="AI98" i="19"/>
  <c r="AO98" i="19" s="1"/>
  <c r="AI76" i="19"/>
  <c r="AO76" i="19" s="1"/>
  <c r="AH98" i="19"/>
  <c r="AE74" i="19"/>
  <c r="AF74" i="19" s="1"/>
  <c r="AI49" i="19"/>
  <c r="AO49" i="19" s="1"/>
  <c r="AH49" i="19"/>
  <c r="AH27" i="19"/>
  <c r="AJ49" i="19"/>
  <c r="AJ39" i="19"/>
  <c r="AJ27" i="19"/>
  <c r="AL36" i="19"/>
  <c r="AE104" i="19"/>
  <c r="AF104" i="19" s="1"/>
  <c r="AE50" i="19"/>
  <c r="AF50" i="19" s="1"/>
  <c r="AE87" i="19"/>
  <c r="AF87" i="19" s="1"/>
  <c r="AE102" i="19"/>
  <c r="AF102" i="19" s="1"/>
  <c r="AE95" i="19"/>
  <c r="AF95" i="19" s="1"/>
  <c r="AD77" i="18"/>
  <c r="AE77" i="18" s="1"/>
  <c r="AG23" i="18"/>
  <c r="AD107" i="18"/>
  <c r="AE107" i="18" s="1"/>
  <c r="AD93" i="18"/>
  <c r="AE93" i="18" s="1"/>
  <c r="AG43" i="18"/>
  <c r="AH34" i="17"/>
  <c r="AC96" i="17"/>
  <c r="AD96" i="17" s="1"/>
  <c r="AC92" i="17"/>
  <c r="AD92" i="17" s="1"/>
  <c r="AG89" i="17"/>
  <c r="AO89" i="17" s="1"/>
  <c r="AF46" i="17"/>
  <c r="AF41" i="17"/>
  <c r="AC90" i="17"/>
  <c r="AD90" i="17" s="1"/>
  <c r="AJ25" i="16"/>
  <c r="AU22" i="15"/>
  <c r="AU12" i="15" s="1"/>
  <c r="AX35" i="24"/>
  <c r="BB47" i="24"/>
  <c r="BB48" i="24" s="1"/>
  <c r="AF115" i="17"/>
  <c r="AF83" i="17"/>
  <c r="AH65" i="17"/>
  <c r="AG31" i="17"/>
  <c r="AO31" i="17" s="1"/>
  <c r="AC109" i="17"/>
  <c r="AD109" i="17" s="1"/>
  <c r="AC102" i="17"/>
  <c r="AD102" i="17" s="1"/>
  <c r="AC82" i="17"/>
  <c r="AD82" i="17" s="1"/>
  <c r="AG93" i="17"/>
  <c r="AO93" i="17" s="1"/>
  <c r="AF107" i="17"/>
  <c r="AJ44" i="17"/>
  <c r="AJ50" i="17"/>
  <c r="AG100" i="17"/>
  <c r="AO100" i="17" s="1"/>
  <c r="AG78" i="17"/>
  <c r="AO78" i="17" s="1"/>
  <c r="AH115" i="17"/>
  <c r="AH107" i="17"/>
  <c r="AH89" i="17"/>
  <c r="AG99" i="17"/>
  <c r="AO99" i="17" s="1"/>
  <c r="AG85" i="17"/>
  <c r="AO85" i="17" s="1"/>
  <c r="AG79" i="17"/>
  <c r="AO79" i="17" s="1"/>
  <c r="AC101" i="17"/>
  <c r="AD101" i="17" s="1"/>
  <c r="AJ85" i="17"/>
  <c r="AH79" i="17"/>
  <c r="AI79" i="17" s="1"/>
  <c r="AF48" i="17"/>
  <c r="AI48" i="17" s="1"/>
  <c r="AF44" i="17"/>
  <c r="AH44" i="17"/>
  <c r="AG48" i="17"/>
  <c r="AO48" i="17" s="1"/>
  <c r="AG104" i="17"/>
  <c r="AO104" i="17" s="1"/>
  <c r="AH85" i="17"/>
  <c r="AF70" i="17"/>
  <c r="AF54" i="17"/>
  <c r="AH51" i="17"/>
  <c r="AH36" i="17"/>
  <c r="AC73" i="17"/>
  <c r="AD73" i="17" s="1"/>
  <c r="AC65" i="17"/>
  <c r="AD65" i="17" s="1"/>
  <c r="AG114" i="17"/>
  <c r="AO114" i="17" s="1"/>
  <c r="AH105" i="17"/>
  <c r="AG111" i="17"/>
  <c r="AO111" i="17" s="1"/>
  <c r="AJ114" i="17"/>
  <c r="AJ111" i="17"/>
  <c r="AJ105" i="17"/>
  <c r="AF95" i="17"/>
  <c r="AH86" i="17"/>
  <c r="AH75" i="17"/>
  <c r="AF52" i="17"/>
  <c r="AH58" i="17"/>
  <c r="AF57" i="17"/>
  <c r="AJ101" i="17"/>
  <c r="AH111" i="17"/>
  <c r="AH97" i="17"/>
  <c r="AG91" i="17"/>
  <c r="AO91" i="17" s="1"/>
  <c r="AF105" i="17"/>
  <c r="AJ87" i="17"/>
  <c r="AC83" i="17"/>
  <c r="AD83" i="17" s="1"/>
  <c r="AH57" i="17"/>
  <c r="AH49" i="17"/>
  <c r="AF34" i="17"/>
  <c r="AH56" i="17"/>
  <c r="AI56" i="17" s="1"/>
  <c r="AC97" i="17"/>
  <c r="AD97" i="17" s="1"/>
  <c r="AC88" i="17"/>
  <c r="AD88" i="17" s="1"/>
  <c r="AC103" i="17"/>
  <c r="AD103" i="17" s="1"/>
  <c r="AC98" i="17"/>
  <c r="AD98" i="17" s="1"/>
  <c r="AC77" i="17"/>
  <c r="AD77" i="17" s="1"/>
  <c r="AH95" i="17"/>
  <c r="AH87" i="17"/>
  <c r="AG87" i="17"/>
  <c r="AO87" i="17" s="1"/>
  <c r="AC91" i="17"/>
  <c r="AD91" i="17" s="1"/>
  <c r="AH45" i="17"/>
  <c r="AI45" i="17" s="1"/>
  <c r="AH52" i="17"/>
  <c r="AI52" i="17" s="1"/>
  <c r="AH42" i="17"/>
  <c r="AG58" i="17"/>
  <c r="AO58" i="17" s="1"/>
  <c r="AG52" i="17"/>
  <c r="AO52" i="17" s="1"/>
  <c r="AG42" i="17"/>
  <c r="AO42" i="17" s="1"/>
  <c r="AC100" i="17"/>
  <c r="AD100" i="17" s="1"/>
  <c r="AC93" i="17"/>
  <c r="AD93" i="17" s="1"/>
  <c r="AG84" i="17"/>
  <c r="AO84" i="17" s="1"/>
  <c r="AJ102" i="17"/>
  <c r="AC85" i="17"/>
  <c r="AD85" i="17" s="1"/>
  <c r="AH78" i="17"/>
  <c r="AH59" i="17"/>
  <c r="AF40" i="17"/>
  <c r="AF32" i="17"/>
  <c r="AH40" i="17"/>
  <c r="AH32" i="17"/>
  <c r="AG40" i="17"/>
  <c r="AO40" i="17" s="1"/>
  <c r="AG32" i="17"/>
  <c r="AO32" i="17" s="1"/>
  <c r="AJ109" i="17"/>
  <c r="AJ54" i="17"/>
  <c r="AJ46" i="17"/>
  <c r="AG83" i="17"/>
  <c r="AO83" i="17" s="1"/>
  <c r="AH54" i="17"/>
  <c r="AH46" i="17"/>
  <c r="AH38" i="17"/>
  <c r="AF49" i="17"/>
  <c r="AC105" i="17"/>
  <c r="AD105" i="17" s="1"/>
  <c r="AC86" i="17"/>
  <c r="AD86" i="17" s="1"/>
  <c r="AC94" i="17"/>
  <c r="AD94" i="17" s="1"/>
  <c r="AC80" i="17"/>
  <c r="AD80" i="17" s="1"/>
  <c r="AC69" i="17"/>
  <c r="AD69" i="17" s="1"/>
  <c r="AC61" i="17"/>
  <c r="AD61" i="17" s="1"/>
  <c r="AC99" i="17"/>
  <c r="AD99" i="17" s="1"/>
  <c r="AH73" i="17"/>
  <c r="AH47" i="17"/>
  <c r="AU13" i="17"/>
  <c r="AA16" i="17"/>
  <c r="AJ52" i="18"/>
  <c r="AD44" i="18"/>
  <c r="AE44" i="18" s="1"/>
  <c r="AD48" i="18"/>
  <c r="AE48" i="18" s="1"/>
  <c r="AK26" i="19"/>
  <c r="AE46" i="19"/>
  <c r="AF46" i="19" s="1"/>
  <c r="AE91" i="19"/>
  <c r="AF91" i="19" s="1"/>
  <c r="AE79" i="19"/>
  <c r="AF79" i="19" s="1"/>
  <c r="AE60" i="19"/>
  <c r="AF60" i="19" s="1"/>
  <c r="AE108" i="19"/>
  <c r="AF108" i="19" s="1"/>
  <c r="AE44" i="19"/>
  <c r="AF44" i="19" s="1"/>
  <c r="AE42" i="19"/>
  <c r="AF42" i="19" s="1"/>
  <c r="AL84" i="19"/>
  <c r="AL100" i="19"/>
  <c r="AE64" i="19"/>
  <c r="AF64" i="19" s="1"/>
  <c r="AI33" i="19"/>
  <c r="AO33" i="19" s="1"/>
  <c r="AH39" i="19"/>
  <c r="AK39" i="19" s="1"/>
  <c r="AJ53" i="19"/>
  <c r="AK53" i="19" s="1"/>
  <c r="AJ35" i="19"/>
  <c r="AL55" i="19"/>
  <c r="AE34" i="19"/>
  <c r="AF34" i="19" s="1"/>
  <c r="AL96" i="19"/>
  <c r="AH88" i="19"/>
  <c r="AK88" i="19" s="1"/>
  <c r="AL53" i="19"/>
  <c r="AL45" i="19"/>
  <c r="AL33" i="19"/>
  <c r="AI36" i="19"/>
  <c r="AO36" i="19" s="1"/>
  <c r="AJ55" i="19"/>
  <c r="AE80" i="19"/>
  <c r="AF80" i="19" s="1"/>
  <c r="AI88" i="19"/>
  <c r="AO88" i="19" s="1"/>
  <c r="AL88" i="19"/>
  <c r="AE68" i="19"/>
  <c r="AF68" i="19" s="1"/>
  <c r="AE62" i="19"/>
  <c r="AF62" i="19" s="1"/>
  <c r="AI45" i="19"/>
  <c r="AO45" i="19" s="1"/>
  <c r="AE84" i="19"/>
  <c r="AF84" i="19" s="1"/>
  <c r="AU14" i="19"/>
  <c r="AJ90" i="19"/>
  <c r="AI51" i="19"/>
  <c r="AO51" i="19" s="1"/>
  <c r="AI47" i="19"/>
  <c r="AO47" i="19" s="1"/>
  <c r="AI35" i="19"/>
  <c r="AO35" i="19" s="1"/>
  <c r="AH47" i="19"/>
  <c r="AH25" i="19"/>
  <c r="AJ25" i="19"/>
  <c r="AI90" i="19"/>
  <c r="AO90" i="19" s="1"/>
  <c r="AH90" i="19"/>
  <c r="AK19" i="19"/>
  <c r="AJ47" i="19"/>
  <c r="AE38" i="19"/>
  <c r="AF38" i="19" s="1"/>
  <c r="AH51" i="19"/>
  <c r="AK51" i="19" s="1"/>
  <c r="AH35" i="19"/>
  <c r="AI40" i="19"/>
  <c r="AO40" i="19" s="1"/>
  <c r="AI112" i="18"/>
  <c r="AJ112" i="18" s="1"/>
  <c r="AH89" i="18"/>
  <c r="AL89" i="18" s="1"/>
  <c r="AH112" i="18"/>
  <c r="AL112" i="18" s="1"/>
  <c r="AG93" i="18"/>
  <c r="AJ93" i="18" s="1"/>
  <c r="AH88" i="18"/>
  <c r="AL88" i="18" s="1"/>
  <c r="AG65" i="18"/>
  <c r="AJ65" i="18" s="1"/>
  <c r="AH56" i="18"/>
  <c r="AL56" i="18" s="1"/>
  <c r="AG34" i="18"/>
  <c r="AJ34" i="18" s="1"/>
  <c r="AG22" i="18"/>
  <c r="AJ22" i="18" s="1"/>
  <c r="AG18" i="18"/>
  <c r="AJ18" i="18" s="1"/>
  <c r="AG116" i="18"/>
  <c r="AJ116" i="18" s="1"/>
  <c r="AH109" i="18"/>
  <c r="AL109" i="18" s="1"/>
  <c r="AH93" i="18"/>
  <c r="AL93" i="18" s="1"/>
  <c r="AH65" i="18"/>
  <c r="AL65" i="18" s="1"/>
  <c r="AH27" i="18"/>
  <c r="AL27" i="18" s="1"/>
  <c r="AH46" i="18"/>
  <c r="AL46" i="18" s="1"/>
  <c r="AH22" i="18"/>
  <c r="AL22" i="18" s="1"/>
  <c r="AG57" i="18"/>
  <c r="AJ57" i="18" s="1"/>
  <c r="AG44" i="18"/>
  <c r="AJ44" i="18" s="1"/>
  <c r="AG36" i="18"/>
  <c r="AJ36" i="18" s="1"/>
  <c r="AG92" i="18"/>
  <c r="AH73" i="18"/>
  <c r="AL73" i="18" s="1"/>
  <c r="AG117" i="18"/>
  <c r="AJ117" i="18" s="1"/>
  <c r="AG77" i="18"/>
  <c r="AJ77" i="18" s="1"/>
  <c r="AG100" i="18"/>
  <c r="AI100" i="18"/>
  <c r="AI92" i="18"/>
  <c r="AI68" i="18"/>
  <c r="AG89" i="18"/>
  <c r="AJ89" i="18" s="1"/>
  <c r="AG73" i="18"/>
  <c r="AJ73" i="18" s="1"/>
  <c r="AH68" i="18"/>
  <c r="AL68" i="18" s="1"/>
  <c r="AG27" i="18"/>
  <c r="AH18" i="18"/>
  <c r="AL18" i="18" s="1"/>
  <c r="AD45" i="18"/>
  <c r="AE45" i="18" s="1"/>
  <c r="AD21" i="18"/>
  <c r="AE21" i="18" s="1"/>
  <c r="AH109" i="17"/>
  <c r="AI109" i="17" s="1"/>
  <c r="AC113" i="17"/>
  <c r="AD113" i="17" s="1"/>
  <c r="AC111" i="17"/>
  <c r="AD111" i="17" s="1"/>
  <c r="AF89" i="17"/>
  <c r="AG94" i="17"/>
  <c r="AO94" i="17" s="1"/>
  <c r="AH101" i="17"/>
  <c r="AG113" i="17"/>
  <c r="AO113" i="17" s="1"/>
  <c r="AG109" i="17"/>
  <c r="AO109" i="17" s="1"/>
  <c r="AG101" i="17"/>
  <c r="AO101" i="17" s="1"/>
  <c r="AC81" i="17"/>
  <c r="AD81" i="17" s="1"/>
  <c r="AF66" i="17"/>
  <c r="AH63" i="17"/>
  <c r="AG106" i="17"/>
  <c r="AO106" i="17" s="1"/>
  <c r="AH113" i="17"/>
  <c r="AF74" i="17"/>
  <c r="AH71" i="17"/>
  <c r="AI71" i="17" s="1"/>
  <c r="AG71" i="17"/>
  <c r="AO71" i="17" s="1"/>
  <c r="AG63" i="17"/>
  <c r="AO63" i="17" s="1"/>
  <c r="AG31" i="18"/>
  <c r="AH62" i="18"/>
  <c r="AL62" i="18" s="1"/>
  <c r="AG35" i="18"/>
  <c r="AJ35" i="18" s="1"/>
  <c r="AH72" i="19"/>
  <c r="AK72" i="19" s="1"/>
  <c r="AI81" i="17"/>
  <c r="AF62" i="17"/>
  <c r="AK76" i="19"/>
  <c r="AJ77" i="19"/>
  <c r="AK77" i="19" s="1"/>
  <c r="AI61" i="19"/>
  <c r="AO61" i="19" s="1"/>
  <c r="AD105" i="18"/>
  <c r="AE105" i="18" s="1"/>
  <c r="AE75" i="19"/>
  <c r="AF75" i="19" s="1"/>
  <c r="AD97" i="18"/>
  <c r="AE97" i="18" s="1"/>
  <c r="AD81" i="18"/>
  <c r="AE81" i="18" s="1"/>
  <c r="AH54" i="18"/>
  <c r="AL54" i="18" s="1"/>
  <c r="AF76" i="17"/>
  <c r="AJ83" i="19"/>
  <c r="AH62" i="19"/>
  <c r="AK62" i="19" s="1"/>
  <c r="AH83" i="19"/>
  <c r="AI71" i="19"/>
  <c r="AO71" i="19" s="1"/>
  <c r="AD89" i="18"/>
  <c r="AE89" i="18" s="1"/>
  <c r="AD73" i="18"/>
  <c r="AE73" i="18" s="1"/>
  <c r="AH67" i="18"/>
  <c r="AL67" i="18" s="1"/>
  <c r="AD57" i="18"/>
  <c r="AE57" i="18" s="1"/>
  <c r="AF102" i="17"/>
  <c r="AF60" i="17"/>
  <c r="AJ105" i="19"/>
  <c r="AI72" i="19"/>
  <c r="AO72" i="19" s="1"/>
  <c r="AI64" i="19"/>
  <c r="AO64" i="19" s="1"/>
  <c r="AD109" i="18"/>
  <c r="AE109" i="18" s="1"/>
  <c r="AH95" i="18"/>
  <c r="AL95" i="18" s="1"/>
  <c r="AD85" i="18"/>
  <c r="AE85" i="18" s="1"/>
  <c r="AD69" i="18"/>
  <c r="AE69" i="18" s="1"/>
  <c r="AF72" i="17"/>
  <c r="AF64" i="17"/>
  <c r="AH40" i="19"/>
  <c r="AK40" i="19" s="1"/>
  <c r="AH36" i="19"/>
  <c r="AK36" i="19" s="1"/>
  <c r="AJ87" i="19"/>
  <c r="AK87" i="19" s="1"/>
  <c r="AD117" i="18"/>
  <c r="AE117" i="18" s="1"/>
  <c r="AF106" i="17"/>
  <c r="AG63" i="18"/>
  <c r="AG55" i="18"/>
  <c r="AJ56" i="18"/>
  <c r="AI25" i="17"/>
  <c r="AH81" i="19"/>
  <c r="AD82" i="8"/>
  <c r="AH70" i="19"/>
  <c r="AK70" i="19" s="1"/>
  <c r="AI70" i="19"/>
  <c r="AO70" i="19" s="1"/>
  <c r="AI62" i="19"/>
  <c r="AO62" i="19" s="1"/>
  <c r="AJ85" i="19"/>
  <c r="AK85" i="19" s="1"/>
  <c r="AJ81" i="19"/>
  <c r="AH111" i="18"/>
  <c r="AL111" i="18" s="1"/>
  <c r="AH91" i="18"/>
  <c r="AL91" i="18" s="1"/>
  <c r="AH87" i="18"/>
  <c r="AL87" i="18" s="1"/>
  <c r="AH83" i="18"/>
  <c r="AL83" i="18" s="1"/>
  <c r="AH79" i="18"/>
  <c r="AL79" i="18" s="1"/>
  <c r="AH71" i="18"/>
  <c r="AL71" i="18" s="1"/>
  <c r="AD62" i="18"/>
  <c r="AE62" i="18" s="1"/>
  <c r="AD54" i="18"/>
  <c r="AE54" i="18" s="1"/>
  <c r="AH68" i="17"/>
  <c r="AE73" i="19"/>
  <c r="AF73" i="19" s="1"/>
  <c r="AK102" i="19"/>
  <c r="AJ79" i="19"/>
  <c r="AK79" i="19" s="1"/>
  <c r="AH68" i="19"/>
  <c r="AE57" i="19"/>
  <c r="AF57" i="19" s="1"/>
  <c r="AE69" i="19"/>
  <c r="AF69" i="19" s="1"/>
  <c r="AJ63" i="19"/>
  <c r="AK63" i="19" s="1"/>
  <c r="AH102" i="17"/>
  <c r="AH38" i="19"/>
  <c r="AH17" i="19"/>
  <c r="AK17" i="19" s="1"/>
  <c r="AI113" i="19"/>
  <c r="AO113" i="19" s="1"/>
  <c r="AE103" i="19"/>
  <c r="AF103" i="19" s="1"/>
  <c r="AH105" i="19"/>
  <c r="AH106" i="17"/>
  <c r="AH60" i="17"/>
  <c r="AI29" i="17"/>
  <c r="AE105" i="19"/>
  <c r="AF105" i="19" s="1"/>
  <c r="AI39" i="18"/>
  <c r="AH110" i="17"/>
  <c r="AJ64" i="19"/>
  <c r="AK64" i="19" s="1"/>
  <c r="AI107" i="18"/>
  <c r="AI75" i="18"/>
  <c r="AI51" i="18"/>
  <c r="AJ51" i="18" s="1"/>
  <c r="AG54" i="18"/>
  <c r="AJ54" i="18" s="1"/>
  <c r="AI47" i="18"/>
  <c r="AE52" i="19"/>
  <c r="AF52" i="19" s="1"/>
  <c r="AI111" i="19"/>
  <c r="AO111" i="19" s="1"/>
  <c r="AH111" i="19"/>
  <c r="AH103" i="19"/>
  <c r="AI103" i="19"/>
  <c r="AO103" i="19" s="1"/>
  <c r="AI105" i="19"/>
  <c r="AO105" i="19" s="1"/>
  <c r="AJ66" i="19"/>
  <c r="AK66" i="19" s="1"/>
  <c r="AJ44" i="19"/>
  <c r="AJ42" i="19"/>
  <c r="AJ30" i="19"/>
  <c r="AJ64" i="18"/>
  <c r="AI32" i="18"/>
  <c r="AI37" i="17"/>
  <c r="AI21" i="17"/>
  <c r="AH86" i="19"/>
  <c r="AH24" i="19"/>
  <c r="AL24" i="19"/>
  <c r="AK18" i="19"/>
  <c r="AJ68" i="18"/>
  <c r="AH76" i="17"/>
  <c r="AJ78" i="19"/>
  <c r="AE100" i="19"/>
  <c r="AF100" i="19" s="1"/>
  <c r="AE88" i="19"/>
  <c r="AF88" i="19" s="1"/>
  <c r="AH55" i="19"/>
  <c r="AJ73" i="17"/>
  <c r="AJ69" i="17"/>
  <c r="AJ65" i="17"/>
  <c r="AJ61" i="17"/>
  <c r="AC71" i="17"/>
  <c r="AD71" i="17" s="1"/>
  <c r="AC53" i="17"/>
  <c r="AD53" i="17" s="1"/>
  <c r="AC45" i="17"/>
  <c r="AD45" i="17" s="1"/>
  <c r="AC37" i="17"/>
  <c r="AD37" i="17" s="1"/>
  <c r="AC29" i="17"/>
  <c r="AD29" i="17" s="1"/>
  <c r="AC21" i="17"/>
  <c r="AD21" i="17" s="1"/>
  <c r="AJ75" i="17"/>
  <c r="AJ59" i="17"/>
  <c r="AJ55" i="17"/>
  <c r="AJ51" i="17"/>
  <c r="AJ47" i="17"/>
  <c r="AJ43" i="17"/>
  <c r="AJ39" i="17"/>
  <c r="AJ35" i="17"/>
  <c r="AJ31" i="17"/>
  <c r="AJ27" i="17"/>
  <c r="AJ23" i="17"/>
  <c r="AH19" i="17"/>
  <c r="AJ19" i="17"/>
  <c r="AH101" i="19"/>
  <c r="AI101" i="19"/>
  <c r="AO101" i="19" s="1"/>
  <c r="AK104" i="19"/>
  <c r="AI59" i="19"/>
  <c r="AO59" i="19" s="1"/>
  <c r="AJ59" i="19"/>
  <c r="AK59" i="19" s="1"/>
  <c r="AJ58" i="19"/>
  <c r="AE53" i="19"/>
  <c r="AF53" i="19" s="1"/>
  <c r="AE31" i="19"/>
  <c r="AF31" i="19" s="1"/>
  <c r="AE27" i="19"/>
  <c r="AF27" i="19" s="1"/>
  <c r="AJ67" i="19"/>
  <c r="AK67" i="19" s="1"/>
  <c r="AD100" i="18"/>
  <c r="AE100" i="18" s="1"/>
  <c r="AD76" i="18"/>
  <c r="AE76" i="18" s="1"/>
  <c r="AD50" i="18"/>
  <c r="AE50" i="18" s="1"/>
  <c r="AC75" i="17"/>
  <c r="AD75" i="17" s="1"/>
  <c r="AC59" i="17"/>
  <c r="AD59" i="17" s="1"/>
  <c r="AC51" i="17"/>
  <c r="AD51" i="17" s="1"/>
  <c r="AC43" i="17"/>
  <c r="AD43" i="17" s="1"/>
  <c r="AC35" i="17"/>
  <c r="AD35" i="17" s="1"/>
  <c r="AC27" i="17"/>
  <c r="AD27" i="17" s="1"/>
  <c r="AC19" i="17"/>
  <c r="AD19" i="17" s="1"/>
  <c r="AJ63" i="17"/>
  <c r="AK100" i="19"/>
  <c r="AE107" i="19"/>
  <c r="AF107" i="19" s="1"/>
  <c r="AE101" i="19"/>
  <c r="AF101" i="19" s="1"/>
  <c r="AK106" i="19"/>
  <c r="AJ52" i="19"/>
  <c r="AJ50" i="19"/>
  <c r="AJ48" i="19"/>
  <c r="AJ71" i="19"/>
  <c r="AK71" i="19" s="1"/>
  <c r="AE61" i="19"/>
  <c r="AF61" i="19" s="1"/>
  <c r="AI59" i="18"/>
  <c r="AJ59" i="18" s="1"/>
  <c r="AJ86" i="19"/>
  <c r="AJ34" i="19"/>
  <c r="AL34" i="19"/>
  <c r="AD96" i="18"/>
  <c r="AE96" i="18" s="1"/>
  <c r="AI48" i="18"/>
  <c r="AG48" i="18"/>
  <c r="AE106" i="19"/>
  <c r="AF106" i="19" s="1"/>
  <c r="AE92" i="19"/>
  <c r="AF92" i="19" s="1"/>
  <c r="AD91" i="18"/>
  <c r="AE91" i="18" s="1"/>
  <c r="AC107" i="17"/>
  <c r="AD107" i="17" s="1"/>
  <c r="AC95" i="17"/>
  <c r="AD95" i="17" s="1"/>
  <c r="AC63" i="17"/>
  <c r="AD63" i="17" s="1"/>
  <c r="AC57" i="17"/>
  <c r="AD57" i="17" s="1"/>
  <c r="AC49" i="17"/>
  <c r="AD49" i="17" s="1"/>
  <c r="AC41" i="17"/>
  <c r="AD41" i="17" s="1"/>
  <c r="AC33" i="17"/>
  <c r="AD33" i="17" s="1"/>
  <c r="AC25" i="17"/>
  <c r="AD25" i="17" s="1"/>
  <c r="AC17" i="17"/>
  <c r="AD17" i="17" s="1"/>
  <c r="AJ67" i="17"/>
  <c r="AJ57" i="17"/>
  <c r="AJ53" i="17"/>
  <c r="AJ49" i="17"/>
  <c r="AJ45" i="17"/>
  <c r="AJ41" i="17"/>
  <c r="AJ37" i="17"/>
  <c r="AJ33" i="17"/>
  <c r="AJ29" i="17"/>
  <c r="AJ25" i="17"/>
  <c r="AJ21" i="17"/>
  <c r="AH17" i="17"/>
  <c r="AI17" i="17" s="1"/>
  <c r="AJ17" i="17"/>
  <c r="AJ75" i="19"/>
  <c r="AE45" i="19"/>
  <c r="AF45" i="19" s="1"/>
  <c r="AE65" i="19"/>
  <c r="AF65" i="19" s="1"/>
  <c r="AI115" i="18"/>
  <c r="AI99" i="18"/>
  <c r="AG62" i="18"/>
  <c r="AJ62" i="18" s="1"/>
  <c r="AI43" i="18"/>
  <c r="AJ43" i="18" s="1"/>
  <c r="AH112" i="17"/>
  <c r="AI112" i="17" s="1"/>
  <c r="AH92" i="17"/>
  <c r="AH74" i="17"/>
  <c r="AH66" i="17"/>
  <c r="AJ82" i="19"/>
  <c r="AH78" i="19"/>
  <c r="AH34" i="19"/>
  <c r="AF73" i="17"/>
  <c r="AF69" i="17"/>
  <c r="AI69" i="17" s="1"/>
  <c r="AF65" i="17"/>
  <c r="AI65" i="17" s="1"/>
  <c r="AF61" i="17"/>
  <c r="AI61" i="17" s="1"/>
  <c r="AC67" i="17"/>
  <c r="AD67" i="17" s="1"/>
  <c r="AC55" i="17"/>
  <c r="AD55" i="17" s="1"/>
  <c r="AC47" i="17"/>
  <c r="AD47" i="17" s="1"/>
  <c r="AC39" i="17"/>
  <c r="AD39" i="17" s="1"/>
  <c r="AC31" i="17"/>
  <c r="AD31" i="17" s="1"/>
  <c r="AC23" i="17"/>
  <c r="AD23" i="17" s="1"/>
  <c r="AF75" i="17"/>
  <c r="AJ71" i="17"/>
  <c r="AF59" i="17"/>
  <c r="AF55" i="17"/>
  <c r="AF51" i="17"/>
  <c r="AF47" i="17"/>
  <c r="AF43" i="17"/>
  <c r="AI43" i="17" s="1"/>
  <c r="AF39" i="17"/>
  <c r="AI39" i="17" s="1"/>
  <c r="AF35" i="17"/>
  <c r="AF31" i="17"/>
  <c r="AI31" i="17" s="1"/>
  <c r="AF27" i="17"/>
  <c r="AI27" i="17" s="1"/>
  <c r="AF23" i="17"/>
  <c r="AI23" i="17" s="1"/>
  <c r="AF19" i="17"/>
  <c r="AJ97" i="19"/>
  <c r="AL97" i="19"/>
  <c r="AJ93" i="19"/>
  <c r="AL93" i="19"/>
  <c r="AJ89" i="19"/>
  <c r="AL89" i="19"/>
  <c r="AK98" i="19"/>
  <c r="AH75" i="19"/>
  <c r="AL74" i="19"/>
  <c r="AL68" i="19"/>
  <c r="AL54" i="19"/>
  <c r="AH54" i="19"/>
  <c r="AL46" i="19"/>
  <c r="AH46" i="19"/>
  <c r="AL32" i="19"/>
  <c r="AH32" i="19"/>
  <c r="AL28" i="19"/>
  <c r="AH28" i="19"/>
  <c r="AL22" i="19"/>
  <c r="AH22" i="19"/>
  <c r="AL60" i="19"/>
  <c r="AH60" i="19"/>
  <c r="AE55" i="19"/>
  <c r="AF55" i="19" s="1"/>
  <c r="AE51" i="19"/>
  <c r="AF51" i="19" s="1"/>
  <c r="AE47" i="19"/>
  <c r="AF47" i="19" s="1"/>
  <c r="AE43" i="19"/>
  <c r="AF43" i="19" s="1"/>
  <c r="AE39" i="19"/>
  <c r="AF39" i="19" s="1"/>
  <c r="AE35" i="19"/>
  <c r="AF35" i="19" s="1"/>
  <c r="AE23" i="19"/>
  <c r="AF23" i="19" s="1"/>
  <c r="AE19" i="19"/>
  <c r="AF19" i="19" s="1"/>
  <c r="AK43" i="19"/>
  <c r="AH114" i="18"/>
  <c r="AL114" i="18" s="1"/>
  <c r="AH106" i="18"/>
  <c r="AL106" i="18" s="1"/>
  <c r="AH98" i="18"/>
  <c r="AL98" i="18" s="1"/>
  <c r="AH90" i="18"/>
  <c r="AL90" i="18" s="1"/>
  <c r="AH82" i="18"/>
  <c r="AL82" i="18" s="1"/>
  <c r="AH74" i="18"/>
  <c r="AL74" i="18" s="1"/>
  <c r="AD114" i="18"/>
  <c r="AE114" i="18" s="1"/>
  <c r="AD110" i="18"/>
  <c r="AE110" i="18" s="1"/>
  <c r="AD106" i="18"/>
  <c r="AE106" i="18" s="1"/>
  <c r="AD102" i="18"/>
  <c r="AE102" i="18" s="1"/>
  <c r="AD98" i="18"/>
  <c r="AE98" i="18" s="1"/>
  <c r="AD94" i="18"/>
  <c r="AE94" i="18" s="1"/>
  <c r="AD90" i="18"/>
  <c r="AE90" i="18" s="1"/>
  <c r="AD86" i="18"/>
  <c r="AE86" i="18" s="1"/>
  <c r="AD82" i="18"/>
  <c r="AE82" i="18" s="1"/>
  <c r="AD78" i="18"/>
  <c r="AE78" i="18" s="1"/>
  <c r="AD74" i="18"/>
  <c r="AE74" i="18" s="1"/>
  <c r="AD70" i="18"/>
  <c r="AE70" i="18" s="1"/>
  <c r="AI74" i="18"/>
  <c r="AG58" i="18"/>
  <c r="AD66" i="18"/>
  <c r="AE66" i="18" s="1"/>
  <c r="AH49" i="18"/>
  <c r="AL49" i="18" s="1"/>
  <c r="AD43" i="18"/>
  <c r="AE43" i="18" s="1"/>
  <c r="AH41" i="18"/>
  <c r="AL41" i="18" s="1"/>
  <c r="AD35" i="18"/>
  <c r="AE35" i="18" s="1"/>
  <c r="AH33" i="18"/>
  <c r="AL33" i="18" s="1"/>
  <c r="AD31" i="18"/>
  <c r="AE31" i="18" s="1"/>
  <c r="AH29" i="18"/>
  <c r="AL29" i="18" s="1"/>
  <c r="AD27" i="18"/>
  <c r="AE27" i="18" s="1"/>
  <c r="AH25" i="18"/>
  <c r="AL25" i="18" s="1"/>
  <c r="AD23" i="18"/>
  <c r="AE23" i="18" s="1"/>
  <c r="AH21" i="18"/>
  <c r="AL21" i="18" s="1"/>
  <c r="AD19" i="18"/>
  <c r="AE19" i="18" s="1"/>
  <c r="AC112" i="17"/>
  <c r="AD112" i="17" s="1"/>
  <c r="AC104" i="17"/>
  <c r="AD104" i="17" s="1"/>
  <c r="AI86" i="18"/>
  <c r="AD51" i="18"/>
  <c r="AE51" i="18" s="1"/>
  <c r="AG25" i="18"/>
  <c r="AI23" i="18"/>
  <c r="AG21" i="18"/>
  <c r="AI19" i="18"/>
  <c r="AJ19" i="18" s="1"/>
  <c r="AH114" i="17"/>
  <c r="AH108" i="17"/>
  <c r="AI108" i="17" s="1"/>
  <c r="AH104" i="17"/>
  <c r="AI104" i="17" s="1"/>
  <c r="AH88" i="17"/>
  <c r="AJ86" i="17"/>
  <c r="AF86" i="17"/>
  <c r="AI29" i="18"/>
  <c r="AJ29" i="18" s="1"/>
  <c r="AI21" i="18"/>
  <c r="AC74" i="17"/>
  <c r="AD74" i="17" s="1"/>
  <c r="AC66" i="17"/>
  <c r="AD66" i="17" s="1"/>
  <c r="AC58" i="17"/>
  <c r="AD58" i="17" s="1"/>
  <c r="AC50" i="17"/>
  <c r="AD50" i="17" s="1"/>
  <c r="AC42" i="17"/>
  <c r="AD42" i="17" s="1"/>
  <c r="AC34" i="17"/>
  <c r="AD34" i="17" s="1"/>
  <c r="AC26" i="17"/>
  <c r="AD26" i="17" s="1"/>
  <c r="AI41" i="18"/>
  <c r="AI25" i="18"/>
  <c r="AJ25" i="18" s="1"/>
  <c r="AH72" i="17"/>
  <c r="AH64" i="17"/>
  <c r="AI58" i="18"/>
  <c r="AG76" i="17"/>
  <c r="AO76" i="17" s="1"/>
  <c r="AG72" i="17"/>
  <c r="AO72" i="17" s="1"/>
  <c r="AG64" i="17"/>
  <c r="AO64" i="17" s="1"/>
  <c r="AL113" i="19"/>
  <c r="AJ113" i="19"/>
  <c r="AK113" i="19" s="1"/>
  <c r="AL109" i="19"/>
  <c r="AJ109" i="19"/>
  <c r="AK109" i="19" s="1"/>
  <c r="AH97" i="19"/>
  <c r="AH93" i="19"/>
  <c r="AH89" i="19"/>
  <c r="AL70" i="19"/>
  <c r="AL62" i="19"/>
  <c r="AL52" i="19"/>
  <c r="AH52" i="19"/>
  <c r="AL44" i="19"/>
  <c r="AH44" i="19"/>
  <c r="AJ60" i="19"/>
  <c r="AL57" i="19"/>
  <c r="AL56" i="19"/>
  <c r="AH56" i="19"/>
  <c r="AI52" i="19"/>
  <c r="AO52" i="19" s="1"/>
  <c r="AI44" i="19"/>
  <c r="AO44" i="19" s="1"/>
  <c r="AI32" i="19"/>
  <c r="AO32" i="19" s="1"/>
  <c r="AI28" i="19"/>
  <c r="AO28" i="19" s="1"/>
  <c r="AJ103" i="19"/>
  <c r="AL69" i="19"/>
  <c r="AL65" i="19"/>
  <c r="AG114" i="18"/>
  <c r="AJ114" i="18" s="1"/>
  <c r="AG106" i="18"/>
  <c r="AJ104" i="18"/>
  <c r="AG102" i="18"/>
  <c r="AJ102" i="18" s="1"/>
  <c r="AG98" i="18"/>
  <c r="AJ98" i="18" s="1"/>
  <c r="AJ96" i="18"/>
  <c r="AG90" i="18"/>
  <c r="AJ88" i="18"/>
  <c r="AG86" i="18"/>
  <c r="AJ84" i="18"/>
  <c r="AG82" i="18"/>
  <c r="AJ80" i="18"/>
  <c r="AG78" i="18"/>
  <c r="AJ78" i="18" s="1"/>
  <c r="AG74" i="18"/>
  <c r="AJ72" i="18"/>
  <c r="AG70" i="18"/>
  <c r="AJ70" i="18" s="1"/>
  <c r="AK23" i="19"/>
  <c r="AI90" i="18"/>
  <c r="AI106" i="18"/>
  <c r="AI82" i="18"/>
  <c r="AH66" i="18"/>
  <c r="AL66" i="18" s="1"/>
  <c r="AC110" i="17"/>
  <c r="AD110" i="17" s="1"/>
  <c r="AI110" i="18"/>
  <c r="AJ110" i="18" s="1"/>
  <c r="AG45" i="18"/>
  <c r="AJ45" i="18" s="1"/>
  <c r="AJ98" i="17"/>
  <c r="AF98" i="17"/>
  <c r="AI98" i="17" s="1"/>
  <c r="AJ94" i="17"/>
  <c r="AF94" i="17"/>
  <c r="AI94" i="17" s="1"/>
  <c r="AJ88" i="17"/>
  <c r="AF88" i="17"/>
  <c r="AF80" i="17"/>
  <c r="AJ80" i="17"/>
  <c r="AI37" i="18"/>
  <c r="AJ37" i="18" s="1"/>
  <c r="AI33" i="18"/>
  <c r="AJ33" i="18" s="1"/>
  <c r="AC72" i="17"/>
  <c r="AD72" i="17" s="1"/>
  <c r="AC64" i="17"/>
  <c r="AD64" i="17" s="1"/>
  <c r="AC56" i="17"/>
  <c r="AD56" i="17" s="1"/>
  <c r="AC48" i="17"/>
  <c r="AD48" i="17" s="1"/>
  <c r="AC40" i="17"/>
  <c r="AD40" i="17" s="1"/>
  <c r="AC32" i="17"/>
  <c r="AD32" i="17" s="1"/>
  <c r="AC24" i="17"/>
  <c r="AD24" i="17" s="1"/>
  <c r="AC18" i="17"/>
  <c r="AD18" i="17" s="1"/>
  <c r="AI30" i="17"/>
  <c r="AI26" i="17"/>
  <c r="AI22" i="17"/>
  <c r="AI18" i="17"/>
  <c r="AG74" i="17"/>
  <c r="AO74" i="17" s="1"/>
  <c r="AG66" i="17"/>
  <c r="AO66" i="17" s="1"/>
  <c r="AL115" i="19"/>
  <c r="AJ115" i="19"/>
  <c r="AK115" i="19" s="1"/>
  <c r="AK114" i="19"/>
  <c r="AK116" i="19"/>
  <c r="AK94" i="19"/>
  <c r="AI75" i="19"/>
  <c r="AO75" i="19" s="1"/>
  <c r="AI73" i="19"/>
  <c r="AO73" i="19" s="1"/>
  <c r="AL99" i="19"/>
  <c r="AJ99" i="19"/>
  <c r="AL95" i="19"/>
  <c r="AJ95" i="19"/>
  <c r="AL91" i="19"/>
  <c r="AJ91" i="19"/>
  <c r="AL87" i="19"/>
  <c r="AI87" i="19"/>
  <c r="AO87" i="19" s="1"/>
  <c r="AL85" i="19"/>
  <c r="AI85" i="19"/>
  <c r="AO85" i="19" s="1"/>
  <c r="AL83" i="19"/>
  <c r="AI83" i="19"/>
  <c r="AO83" i="19" s="1"/>
  <c r="AL81" i="19"/>
  <c r="AI81" i="19"/>
  <c r="AO81" i="19" s="1"/>
  <c r="AL79" i="19"/>
  <c r="AI79" i="19"/>
  <c r="AO79" i="19" s="1"/>
  <c r="AL77" i="19"/>
  <c r="AI77" i="19"/>
  <c r="AO77" i="19" s="1"/>
  <c r="AH73" i="19"/>
  <c r="AL72" i="19"/>
  <c r="AL64" i="19"/>
  <c r="AL50" i="19"/>
  <c r="AH50" i="19"/>
  <c r="AL42" i="19"/>
  <c r="AH42" i="19"/>
  <c r="AK42" i="19" s="1"/>
  <c r="AL30" i="19"/>
  <c r="AH30" i="19"/>
  <c r="AJ57" i="19"/>
  <c r="AJ56" i="19"/>
  <c r="AE49" i="19"/>
  <c r="AF49" i="19" s="1"/>
  <c r="AE41" i="19"/>
  <c r="AF41" i="19" s="1"/>
  <c r="AE37" i="19"/>
  <c r="AF37" i="19" s="1"/>
  <c r="AE33" i="19"/>
  <c r="AF33" i="19" s="1"/>
  <c r="AE29" i="19"/>
  <c r="AF29" i="19" s="1"/>
  <c r="AE25" i="19"/>
  <c r="AF25" i="19" s="1"/>
  <c r="AE21" i="19"/>
  <c r="AF21" i="19" s="1"/>
  <c r="AE71" i="19"/>
  <c r="AF71" i="19" s="1"/>
  <c r="AJ69" i="19"/>
  <c r="AE67" i="19"/>
  <c r="AF67" i="19" s="1"/>
  <c r="AJ65" i="19"/>
  <c r="AE63" i="19"/>
  <c r="AF63" i="19" s="1"/>
  <c r="AJ61" i="19"/>
  <c r="AK49" i="19"/>
  <c r="AK45" i="19"/>
  <c r="AK37" i="19"/>
  <c r="AK33" i="19"/>
  <c r="AH110" i="18"/>
  <c r="AL110" i="18" s="1"/>
  <c r="AH102" i="18"/>
  <c r="AL102" i="18" s="1"/>
  <c r="AH94" i="18"/>
  <c r="AL94" i="18" s="1"/>
  <c r="AH78" i="18"/>
  <c r="AL78" i="18" s="1"/>
  <c r="AH70" i="18"/>
  <c r="AL70" i="18" s="1"/>
  <c r="AE18" i="19"/>
  <c r="AF18" i="19" s="1"/>
  <c r="AG115" i="18"/>
  <c r="AG111" i="18"/>
  <c r="AJ111" i="18" s="1"/>
  <c r="AG107" i="18"/>
  <c r="AJ107" i="18" s="1"/>
  <c r="AG103" i="18"/>
  <c r="AJ103" i="18" s="1"/>
  <c r="AG99" i="18"/>
  <c r="AG95" i="18"/>
  <c r="AJ95" i="18" s="1"/>
  <c r="AG91" i="18"/>
  <c r="AJ91" i="18" s="1"/>
  <c r="AG87" i="18"/>
  <c r="AJ87" i="18" s="1"/>
  <c r="AG83" i="18"/>
  <c r="AJ83" i="18" s="1"/>
  <c r="AG79" i="18"/>
  <c r="AJ79" i="18" s="1"/>
  <c r="AG75" i="18"/>
  <c r="AJ75" i="18" s="1"/>
  <c r="AG71" i="18"/>
  <c r="AJ71" i="18" s="1"/>
  <c r="AG67" i="18"/>
  <c r="AJ67" i="18" s="1"/>
  <c r="AI66" i="18"/>
  <c r="AI63" i="18"/>
  <c r="AJ63" i="18" s="1"/>
  <c r="AH59" i="18"/>
  <c r="AL59" i="18" s="1"/>
  <c r="AD47" i="18"/>
  <c r="AE47" i="18" s="1"/>
  <c r="AH45" i="18"/>
  <c r="AL45" i="18" s="1"/>
  <c r="AD39" i="18"/>
  <c r="AE39" i="18" s="1"/>
  <c r="AH37" i="18"/>
  <c r="AL37" i="18" s="1"/>
  <c r="AG32" i="18"/>
  <c r="AG28" i="18"/>
  <c r="AJ28" i="18" s="1"/>
  <c r="AG24" i="18"/>
  <c r="AJ24" i="18" s="1"/>
  <c r="AG20" i="18"/>
  <c r="AJ20" i="18" s="1"/>
  <c r="AC108" i="17"/>
  <c r="AD108" i="17" s="1"/>
  <c r="AG49" i="18"/>
  <c r="AJ49" i="18" s="1"/>
  <c r="AJ47" i="18"/>
  <c r="AG41" i="18"/>
  <c r="AJ39" i="18"/>
  <c r="AH32" i="18"/>
  <c r="AL32" i="18" s="1"/>
  <c r="AH28" i="18"/>
  <c r="AL28" i="18" s="1"/>
  <c r="AJ100" i="17"/>
  <c r="AF100" i="17"/>
  <c r="AJ90" i="17"/>
  <c r="AF90" i="17"/>
  <c r="AJ82" i="17"/>
  <c r="AF82" i="17"/>
  <c r="AC70" i="17"/>
  <c r="AD70" i="17" s="1"/>
  <c r="AC62" i="17"/>
  <c r="AD62" i="17" s="1"/>
  <c r="AC54" i="17"/>
  <c r="AD54" i="17" s="1"/>
  <c r="AC46" i="17"/>
  <c r="AD46" i="17" s="1"/>
  <c r="AC38" i="17"/>
  <c r="AD38" i="17" s="1"/>
  <c r="AC30" i="17"/>
  <c r="AD30" i="17" s="1"/>
  <c r="AC22" i="17"/>
  <c r="AD22" i="17" s="1"/>
  <c r="AG68" i="17"/>
  <c r="AO68" i="17" s="1"/>
  <c r="AG60" i="17"/>
  <c r="AO60" i="17" s="1"/>
  <c r="AC92" i="10"/>
  <c r="AL111" i="19"/>
  <c r="AJ111" i="19"/>
  <c r="AI115" i="19"/>
  <c r="AO115" i="19" s="1"/>
  <c r="AL107" i="19"/>
  <c r="BA48" i="24"/>
  <c r="AI109" i="19"/>
  <c r="AO109" i="19" s="1"/>
  <c r="AE115" i="19"/>
  <c r="AF115" i="19" s="1"/>
  <c r="AE113" i="19"/>
  <c r="AF113" i="19" s="1"/>
  <c r="AE111" i="19"/>
  <c r="AF111" i="19" s="1"/>
  <c r="AE109" i="19"/>
  <c r="AF109" i="19" s="1"/>
  <c r="AK110" i="19"/>
  <c r="AK108" i="19"/>
  <c r="AH107" i="19"/>
  <c r="AK107" i="19" s="1"/>
  <c r="AI107" i="19"/>
  <c r="AO107" i="19" s="1"/>
  <c r="AI74" i="19"/>
  <c r="AO74" i="19" s="1"/>
  <c r="AI68" i="19"/>
  <c r="AO68" i="19" s="1"/>
  <c r="AL101" i="19"/>
  <c r="AJ101" i="19"/>
  <c r="AI97" i="19"/>
  <c r="AO97" i="19" s="1"/>
  <c r="AI93" i="19"/>
  <c r="AO93" i="19" s="1"/>
  <c r="AI89" i="19"/>
  <c r="AO89" i="19" s="1"/>
  <c r="AJ73" i="19"/>
  <c r="AL105" i="19"/>
  <c r="AH99" i="19"/>
  <c r="AH95" i="19"/>
  <c r="AH91" i="19"/>
  <c r="AJ74" i="19"/>
  <c r="AK74" i="19" s="1"/>
  <c r="AJ68" i="19"/>
  <c r="AL66" i="19"/>
  <c r="AE58" i="19"/>
  <c r="AF58" i="19" s="1"/>
  <c r="AJ54" i="19"/>
  <c r="AK54" i="19" s="1"/>
  <c r="AL48" i="19"/>
  <c r="AH48" i="19"/>
  <c r="AJ46" i="19"/>
  <c r="AJ32" i="19"/>
  <c r="AJ28" i="19"/>
  <c r="AJ22" i="19"/>
  <c r="AI60" i="19"/>
  <c r="AO60" i="19" s="1"/>
  <c r="AL59" i="19"/>
  <c r="AL58" i="19"/>
  <c r="AH58" i="19"/>
  <c r="AH57" i="19"/>
  <c r="AI54" i="19"/>
  <c r="AO54" i="19" s="1"/>
  <c r="AI50" i="19"/>
  <c r="AO50" i="19" s="1"/>
  <c r="AI46" i="19"/>
  <c r="AO46" i="19" s="1"/>
  <c r="AI42" i="19"/>
  <c r="AO42" i="19" s="1"/>
  <c r="AI30" i="19"/>
  <c r="AO30" i="19" s="1"/>
  <c r="AI22" i="19"/>
  <c r="AO22" i="19" s="1"/>
  <c r="AL71" i="19"/>
  <c r="AH69" i="19"/>
  <c r="AL67" i="19"/>
  <c r="AH65" i="19"/>
  <c r="AL63" i="19"/>
  <c r="AH61" i="19"/>
  <c r="AJ108" i="18"/>
  <c r="AG94" i="18"/>
  <c r="AJ94" i="18" s="1"/>
  <c r="AG66" i="18"/>
  <c r="AI55" i="18"/>
  <c r="AH51" i="18"/>
  <c r="AL51" i="18" s="1"/>
  <c r="AC114" i="17"/>
  <c r="AD114" i="17" s="1"/>
  <c r="AC106" i="17"/>
  <c r="AD106" i="17" s="1"/>
  <c r="AD59" i="18"/>
  <c r="AE59" i="18" s="1"/>
  <c r="AJ31" i="18"/>
  <c r="AJ27" i="18"/>
  <c r="AH24" i="18"/>
  <c r="AL24" i="18" s="1"/>
  <c r="AH20" i="18"/>
  <c r="AL20" i="18" s="1"/>
  <c r="AJ96" i="17"/>
  <c r="AF96" i="17"/>
  <c r="AJ92" i="17"/>
  <c r="AF92" i="17"/>
  <c r="AJ84" i="17"/>
  <c r="AF84" i="17"/>
  <c r="AI84" i="17" s="1"/>
  <c r="AF78" i="17"/>
  <c r="AJ78" i="17"/>
  <c r="AC76" i="17"/>
  <c r="AD76" i="17" s="1"/>
  <c r="AC68" i="17"/>
  <c r="AD68" i="17" s="1"/>
  <c r="AC60" i="17"/>
  <c r="AD60" i="17" s="1"/>
  <c r="AC52" i="17"/>
  <c r="AD52" i="17" s="1"/>
  <c r="AC44" i="17"/>
  <c r="AD44" i="17" s="1"/>
  <c r="AC36" i="17"/>
  <c r="AD36" i="17" s="1"/>
  <c r="AC28" i="17"/>
  <c r="AD28" i="17" s="1"/>
  <c r="AC20" i="17"/>
  <c r="AD20" i="17" s="1"/>
  <c r="AC16" i="17"/>
  <c r="AD16" i="17" s="1"/>
  <c r="AH70" i="17"/>
  <c r="AI70" i="17" s="1"/>
  <c r="AH62" i="17"/>
  <c r="AI28" i="17"/>
  <c r="AI24" i="17"/>
  <c r="AI20" i="17"/>
  <c r="AI16" i="17"/>
  <c r="AG70" i="17"/>
  <c r="AO70" i="17" s="1"/>
  <c r="AG62" i="17"/>
  <c r="AO62" i="17" s="1"/>
  <c r="AJ99" i="18" l="1"/>
  <c r="AU43" i="15"/>
  <c r="AI53" i="17"/>
  <c r="AJ76" i="18"/>
  <c r="AK32" i="19"/>
  <c r="AI85" i="17"/>
  <c r="AK31" i="19"/>
  <c r="AK24" i="19"/>
  <c r="AK80" i="19"/>
  <c r="AI77" i="17"/>
  <c r="AI54" i="17"/>
  <c r="AI114" i="17"/>
  <c r="AI100" i="17"/>
  <c r="AI73" i="17"/>
  <c r="AI80" i="17"/>
  <c r="AI97" i="17"/>
  <c r="AI44" i="17"/>
  <c r="AI110" i="17"/>
  <c r="AI87" i="17"/>
  <c r="AI111" i="17"/>
  <c r="AI36" i="17"/>
  <c r="AI82" i="17"/>
  <c r="AI68" i="17"/>
  <c r="AI113" i="17"/>
  <c r="AI101" i="17"/>
  <c r="AI55" i="17"/>
  <c r="AI63" i="17"/>
  <c r="AI35" i="17"/>
  <c r="AI96" i="17"/>
  <c r="AI115" i="17"/>
  <c r="AI58" i="17"/>
  <c r="AI89" i="17"/>
  <c r="AI41" i="17"/>
  <c r="AK105" i="19"/>
  <c r="AK27" i="19"/>
  <c r="AK41" i="19"/>
  <c r="AK96" i="19"/>
  <c r="AI90" i="17"/>
  <c r="AI78" i="17"/>
  <c r="AI59" i="17"/>
  <c r="AI38" i="17"/>
  <c r="AI83" i="17"/>
  <c r="AI50" i="17"/>
  <c r="AI33" i="17"/>
  <c r="AI42" i="17"/>
  <c r="AK84" i="19"/>
  <c r="AK101" i="19"/>
  <c r="AK52" i="19"/>
  <c r="AK56" i="19"/>
  <c r="AK82" i="19"/>
  <c r="AK38" i="19"/>
  <c r="AJ92" i="18"/>
  <c r="AJ55" i="18"/>
  <c r="AI34" i="17"/>
  <c r="AI92" i="17"/>
  <c r="AI46" i="17"/>
  <c r="AI95" i="17"/>
  <c r="AJ32" i="18"/>
  <c r="AJ23" i="18"/>
  <c r="AI105" i="17"/>
  <c r="AI107" i="17"/>
  <c r="AI32" i="17"/>
  <c r="AI66" i="17"/>
  <c r="AI49" i="17"/>
  <c r="AI57" i="17"/>
  <c r="AI51" i="17"/>
  <c r="AI75" i="17"/>
  <c r="AI74" i="17"/>
  <c r="AI72" i="17"/>
  <c r="AI86" i="17"/>
  <c r="AI40" i="17"/>
  <c r="AI47" i="17"/>
  <c r="AI106" i="17"/>
  <c r="AI60" i="17"/>
  <c r="AI102" i="17"/>
  <c r="AJ100" i="18"/>
  <c r="AK47" i="19"/>
  <c r="AJ115" i="18"/>
  <c r="AK58" i="19"/>
  <c r="AK44" i="19"/>
  <c r="AK90" i="19"/>
  <c r="AK35" i="19"/>
  <c r="AK111" i="19"/>
  <c r="AK30" i="19"/>
  <c r="AK75" i="19"/>
  <c r="AK55" i="19"/>
  <c r="AK22" i="19"/>
  <c r="AK86" i="19"/>
  <c r="AK83" i="19"/>
  <c r="AK103" i="19"/>
  <c r="AK48" i="19"/>
  <c r="AK73" i="19"/>
  <c r="AK25" i="19"/>
  <c r="AK28" i="19"/>
  <c r="AK68" i="19"/>
  <c r="AK60" i="19"/>
  <c r="AK81" i="19"/>
  <c r="AK50" i="19"/>
  <c r="AK46" i="19"/>
  <c r="AI64" i="17"/>
  <c r="AI76" i="17"/>
  <c r="AI62" i="17"/>
  <c r="AJ82" i="18"/>
  <c r="AL17" i="18"/>
  <c r="AJ58" i="18"/>
  <c r="AJ21" i="18"/>
  <c r="AJ48" i="18"/>
  <c r="AK78" i="19"/>
  <c r="AK34" i="19"/>
  <c r="AI19" i="17"/>
  <c r="AJ90" i="18"/>
  <c r="AK69" i="19"/>
  <c r="AK95" i="19"/>
  <c r="AI88" i="17"/>
  <c r="AJ74" i="18"/>
  <c r="AK93" i="19"/>
  <c r="AK65" i="19"/>
  <c r="AK91" i="19"/>
  <c r="AJ41" i="18"/>
  <c r="AK89" i="19"/>
  <c r="AK61" i="19"/>
  <c r="AK57" i="19"/>
  <c r="AJ66" i="18"/>
  <c r="AK99" i="19"/>
  <c r="AJ106" i="18"/>
  <c r="AJ86" i="18"/>
  <c r="AK9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<sst xmlns="http://schemas.openxmlformats.org/spreadsheetml/2006/main" count="2386" uniqueCount="1342">
  <si>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</si>
  <si>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</si>
  <si>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</si>
  <si>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</si>
  <si>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</si>
  <si>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</si>
  <si>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</si>
  <si>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</si>
  <si>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</si>
  <si>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</si>
  <si>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</si>
  <si>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[82]大豆</t>
    <rPh sb="4" eb="6">
      <t>ダイズ</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</si>
  <si>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</si>
  <si>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</si>
  <si>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</si>
  <si>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</si>
  <si>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</si>
  <si>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</si>
  <si>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</si>
  <si>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別記様式第14号</t>
    <phoneticPr fontId="6"/>
  </si>
  <si>
    <t>秘</t>
    <rPh sb="0" eb="1">
      <t>ヒ</t>
    </rPh>
    <phoneticPr fontId="6"/>
  </si>
  <si>
    <t>農林水産省</t>
    <rPh sb="0" eb="2">
      <t>ノウリン</t>
    </rPh>
    <rPh sb="2" eb="5">
      <t>スイサンショウ</t>
    </rPh>
    <phoneticPr fontId="6"/>
  </si>
  <si>
    <t>農業経営統計調査</t>
    <phoneticPr fontId="6"/>
  </si>
  <si>
    <t>（組織法人経営体用）</t>
    <phoneticPr fontId="6"/>
  </si>
  <si>
    <t>【入力上の留意事項】</t>
    <phoneticPr fontId="6"/>
  </si>
  <si>
    <t>１．2019年産の大豆生産費について入力してください。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</si>
  <si>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</si>
  <si>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</si>
  <si>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</si>
  <si>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</si>
  <si>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</si>
  <si>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</si>
  <si>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</si>
  <si>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</si>
  <si>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</si>
  <si>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</si>
  <si>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</si>
  <si>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</si>
  <si>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</si>
  <si>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6"/>
  </si>
  <si>
    <t>　　調査票には、2019年産の大豆の生産（※２）のためにかかった経費や労働時</t>
    <phoneticPr fontId="6"/>
  </si>
  <si>
    <t>　間等について記入をお願いします。</t>
  </si>
  <si>
    <t>※１　大豆とは</t>
    <rPh sb="3" eb="5">
      <t>ダイズ</t>
    </rPh>
    <phoneticPr fontId="6"/>
  </si>
  <si>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6"/>
  </si>
  <si>
    <t>　　が該当します。</t>
    <rPh sb="3" eb="5">
      <t>ガイトウ</t>
    </rPh>
    <phoneticPr fontId="6"/>
  </si>
  <si>
    <t>※２　この調査での大豆の生産とは</t>
    <rPh sb="5" eb="7">
      <t>チョウサ</t>
    </rPh>
    <rPh sb="9" eb="11">
      <t>ダイズ</t>
    </rPh>
    <rPh sb="12" eb="14">
      <t>セイサン</t>
    </rPh>
    <phoneticPr fontId="6"/>
  </si>
  <si>
    <t>　　　組織内での生産のことをいい、受託による生産は含みません。</t>
    <phoneticPr fontId="6"/>
  </si>
  <si>
    <t>　【調査票の記入方法（大豆負担割合について）】</t>
    <rPh sb="2" eb="5">
      <t>チョウサヒョウ</t>
    </rPh>
    <rPh sb="8" eb="10">
      <t>ホウホウ</t>
    </rPh>
    <rPh sb="11" eb="13">
      <t>ダイズ</t>
    </rPh>
    <rPh sb="13" eb="15">
      <t>フタン</t>
    </rPh>
    <rPh sb="15" eb="17">
      <t>ワリアイ</t>
    </rPh>
    <phoneticPr fontId="6"/>
  </si>
  <si>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</si>
  <si>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ら大豆負担分の経費を分けて記入していただく必要があります。</t>
    <rPh sb="2" eb="4">
      <t>ダイズ</t>
    </rPh>
    <rPh sb="4" eb="7">
      <t>フタンブン</t>
    </rPh>
    <rPh sb="22" eb="24">
      <t>ヒツヨウ</t>
    </rPh>
    <phoneticPr fontId="6"/>
  </si>
  <si>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6"/>
  </si>
  <si>
    <t>　（記入例）</t>
    <rPh sb="4" eb="5">
      <t>レイ</t>
    </rPh>
    <phoneticPr fontId="6"/>
  </si>
  <si>
    <t>　　「10万円」で購入した肥料「1,000㎏」を、大豆「２ha」、水稲「８ha」</t>
    <rPh sb="5" eb="7">
      <t>マンエン</t>
    </rPh>
    <rPh sb="9" eb="11">
      <t>コウニュウ</t>
    </rPh>
    <rPh sb="13" eb="15">
      <t>ヒリョウ</t>
    </rPh>
    <rPh sb="25" eb="27">
      <t>ダイズ</t>
    </rPh>
    <rPh sb="33" eb="35">
      <t>スイトウ</t>
    </rPh>
    <phoneticPr fontId="6"/>
  </si>
  <si>
    <t>　の作付地に施肥した場合</t>
    <rPh sb="2" eb="4">
      <t>サクツ</t>
    </rPh>
    <rPh sb="4" eb="5">
      <t>チ</t>
    </rPh>
    <rPh sb="6" eb="8">
      <t>セヒ</t>
    </rPh>
    <rPh sb="10" eb="12">
      <t>バアイ</t>
    </rPh>
    <phoneticPr fontId="6"/>
  </si>
  <si>
    <t>例１　大豆に施肥した数量、金額を記入する方法</t>
    <rPh sb="0" eb="1">
      <t>レイ</t>
    </rPh>
    <rPh sb="3" eb="5">
      <t>ダイズ</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</si>
  <si>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</si>
  <si>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</si>
  <si>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</si>
  <si>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大豆
負担割合（％）</t>
    <rPh sb="0" eb="2">
      <t>ダイズ</t>
    </rPh>
    <rPh sb="3" eb="5">
      <t>フタン</t>
    </rPh>
    <rPh sb="5" eb="7">
      <t>ワリアイ</t>
    </rPh>
    <phoneticPr fontId="6"/>
  </si>
  <si>
    <t>肥料（購入）計</t>
    <rPh sb="0" eb="2">
      <t>ヒリョウ</t>
    </rPh>
    <rPh sb="3" eb="5">
      <t>コウニュウ</t>
    </rPh>
    <rPh sb="6" eb="7">
      <t>ケイ</t>
    </rPh>
    <phoneticPr fontId="6"/>
  </si>
  <si>
    <t>200</t>
    <phoneticPr fontId="6"/>
  </si>
  <si>
    <t>100</t>
    <phoneticPr fontId="6"/>
  </si>
  <si>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6"/>
  </si>
  <si>
    <t xml:space="preserve">  　　大豆と水稲の作付面積割合「２：８」を目安に大豆負担割合</t>
    <rPh sb="4" eb="6">
      <t>ダイズ</t>
    </rPh>
    <rPh sb="7" eb="9">
      <t>スイトウ</t>
    </rPh>
    <rPh sb="25" eb="27">
      <t>ダイズ</t>
    </rPh>
    <rPh sb="27" eb="29">
      <t>フタン</t>
    </rPh>
    <rPh sb="29" eb="31">
      <t>ワリアイ</t>
    </rPh>
    <phoneticPr fontId="6"/>
  </si>
  <si>
    <t>　  を「２０％」と記入してください。</t>
  </si>
  <si>
    <t>20</t>
    <phoneticPr fontId="6"/>
  </si>
  <si>
    <t xml:space="preserve"> 【大豆負担割合の設定方法】</t>
    <rPh sb="4" eb="6">
      <t>フタン</t>
    </rPh>
    <rPh sb="6" eb="8">
      <t>ワリアイ</t>
    </rPh>
    <rPh sb="9" eb="11">
      <t>セッテイ</t>
    </rPh>
    <rPh sb="11" eb="13">
      <t>ホウホウ</t>
    </rPh>
    <phoneticPr fontId="6"/>
  </si>
  <si>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</si>
  <si>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</si>
  <si>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</si>
  <si>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6"/>
  </si>
  <si>
    <t>担割合」とします。</t>
    <phoneticPr fontId="6"/>
  </si>
  <si>
    <t>大豆負担割合 ＝</t>
    <rPh sb="2" eb="4">
      <t>フタン</t>
    </rPh>
    <rPh sb="4" eb="6">
      <t>ワリアイ</t>
    </rPh>
    <phoneticPr fontId="6"/>
  </si>
  <si>
    <t>大豆に使用した倉庫の面積</t>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</si>
  <si>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</si>
  <si>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</si>
  <si>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</si>
  <si>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</si>
  <si>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大豆に使用
(210㎡)</t>
    <rPh sb="3" eb="5">
      <t>シヨウ</t>
    </rPh>
    <phoneticPr fontId="6"/>
  </si>
  <si>
    <t>大豆以外に使用
(90㎡)</t>
    <rPh sb="2" eb="4">
      <t>イガイ</t>
    </rPh>
    <rPh sb="5" eb="7">
      <t>シヨウ</t>
    </rPh>
    <phoneticPr fontId="6"/>
  </si>
  <si>
    <r>
      <t>大豆負担割合：</t>
    </r>
    <r>
      <rPr>
        <sz val="14"/>
        <color rgb="FFFF0000"/>
        <rFont val="ＭＳ 明朝"/>
        <family val="1"/>
        <charset val="128"/>
      </rPr>
      <t>７０％</t>
    </r>
    <rPh sb="2" eb="4">
      <t>フタン</t>
    </rPh>
    <rPh sb="4" eb="6">
      <t>ワリアイ</t>
    </rPh>
    <phoneticPr fontId="6"/>
  </si>
  <si>
    <t>（２）農機具（トラクター）の場合</t>
    <rPh sb="3" eb="6">
      <t>ノウキグ</t>
    </rPh>
    <rPh sb="14" eb="16">
      <t>バアイ</t>
    </rPh>
    <phoneticPr fontId="6"/>
  </si>
  <si>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6"/>
  </si>
  <si>
    <t>を「大豆負担割合」とします。</t>
    <rPh sb="5" eb="6">
      <t>カツ</t>
    </rPh>
    <rPh sb="6" eb="8">
      <t>ワリアイ</t>
    </rPh>
    <phoneticPr fontId="6"/>
  </si>
  <si>
    <t>大豆に使用したトラクターの使用時間</t>
    <rPh sb="3" eb="5">
      <t>シヨウ</t>
    </rPh>
    <rPh sb="13" eb="16">
      <t>シヨウジ</t>
    </rPh>
    <rPh sb="16" eb="17">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</si>
  <si>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</si>
  <si>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</si>
  <si>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</si>
  <si>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</si>
  <si>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</si>
  <si>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</si>
  <si>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</si>
  <si>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</si>
  <si>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</si>
  <si>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</si>
  <si>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</si>
  <si>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</si>
  <si>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</si>
  <si>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</si>
  <si>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</si>
  <si>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</si>
  <si>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</si>
  <si>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</si>
  <si>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</si>
  <si>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</si>
  <si>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</si>
  <si>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</si>
  <si>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</si>
  <si>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</si>
  <si>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</si>
  <si>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</si>
  <si>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</si>
  <si>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</si>
  <si>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</si>
  <si>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</si>
  <si>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</si>
  <si>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</si>
  <si>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</si>
  <si>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</si>
  <si>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</si>
  <si>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</si>
  <si>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</si>
  <si>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</si>
  <si>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</si>
  <si>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</si>
  <si>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</si>
  <si>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</si>
  <si>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</si>
  <si>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</si>
  <si>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</si>
  <si>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</si>
  <si>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</si>
  <si>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</si>
  <si>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</si>
  <si>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</si>
  <si>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</si>
  <si>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</si>
  <si>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</si>
  <si>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</si>
  <si>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</si>
  <si>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</si>
  <si>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</si>
  <si>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</si>
  <si>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</si>
  <si>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</si>
  <si>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</si>
  <si>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</si>
  <si>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</si>
  <si>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</si>
  <si>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</si>
  <si>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</si>
  <si>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</si>
  <si>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</si>
  <si>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</si>
  <si>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</si>
  <si>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</si>
  <si>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</si>
  <si>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</si>
  <si>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</si>
  <si>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</si>
  <si>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</si>
  <si>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</si>
  <si>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</si>
  <si>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</si>
  <si>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</si>
  <si>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</si>
  <si>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</si>
  <si>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防除</t>
    <rPh sb="0" eb="1">
      <t>ボウ</t>
    </rPh>
    <rPh sb="1" eb="2">
      <t>ジョ</t>
    </rPh>
    <phoneticPr fontId="6"/>
  </si>
  <si>
    <t>ａ</t>
    <phoneticPr fontId="6"/>
  </si>
  <si>
    <t>刈取・脱穀</t>
    <rPh sb="0" eb="1">
      <t>カ</t>
    </rPh>
    <rPh sb="1" eb="2">
      <t>ト</t>
    </rPh>
    <rPh sb="3" eb="4">
      <t>ダツ</t>
    </rPh>
    <rPh sb="4" eb="5">
      <t>コク</t>
    </rPh>
    <phoneticPr fontId="6"/>
  </si>
  <si>
    <t>ａ</t>
    <phoneticPr fontId="6"/>
  </si>
  <si>
    <t>乾燥・調製</t>
    <rPh sb="0" eb="1">
      <t>イヌイ</t>
    </rPh>
    <rPh sb="1" eb="2">
      <t>ソウ</t>
    </rPh>
    <rPh sb="3" eb="4">
      <t>チョウ</t>
    </rPh>
    <rPh sb="4" eb="5">
      <t>セイ</t>
    </rPh>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</si>
  <si>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</si>
  <si>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</si>
  <si>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</si>
  <si>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</si>
  <si>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</si>
  <si>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</si>
  <si>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</si>
  <si>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</si>
  <si>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</si>
  <si>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</si>
  <si>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</si>
  <si>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</si>
  <si>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</si>
  <si>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</si>
  <si>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</si>
  <si>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</si>
  <si>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</si>
  <si>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</si>
  <si>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</si>
  <si>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</si>
  <si>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</si>
  <si>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</si>
  <si>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</si>
  <si>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</si>
  <si>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</si>
  <si>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</si>
  <si>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</si>
  <si>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</si>
  <si>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</si>
  <si>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</si>
  <si>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</si>
  <si>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6"/>
  </si>
  <si>
    <t xml:space="preserve">  １　大豆の品質・用途別の販売状況等</t>
    <rPh sb="7" eb="9">
      <t>ヒンシツ</t>
    </rPh>
    <rPh sb="10" eb="13">
      <t>ヨウトベツ</t>
    </rPh>
    <rPh sb="14" eb="16">
      <t>ハンバイ</t>
    </rPh>
    <rPh sb="16" eb="18">
      <t>ジョウキョウ</t>
    </rPh>
    <rPh sb="18" eb="19">
      <t>ナド</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</si>
  <si>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6"/>
  </si>
  <si>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6"/>
  </si>
  <si>
    <t xml:space="preserve">  訳を記入する場合は、その合計が「計」となるよう記入してください。</t>
    <rPh sb="8" eb="10">
      <t>バアイ</t>
    </rPh>
    <phoneticPr fontId="6"/>
  </si>
  <si>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</si>
  <si>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</si>
  <si>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内容例示</t>
    <rPh sb="0" eb="2">
      <t>ナイヨウ</t>
    </rPh>
    <rPh sb="2" eb="4">
      <t>レイジ</t>
    </rPh>
    <phoneticPr fontId="6"/>
  </si>
  <si>
    <t>金額（円）</t>
    <rPh sb="0" eb="1">
      <t>キン</t>
    </rPh>
    <rPh sb="1" eb="2">
      <t>ガク</t>
    </rPh>
    <rPh sb="3" eb="4">
      <t>エン</t>
    </rPh>
    <phoneticPr fontId="6"/>
  </si>
  <si>
    <t>主産物</t>
    <rPh sb="0" eb="3">
      <t>シュサンブツ</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</si>
  <si>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</si>
  <si>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</si>
  <si>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</si>
  <si>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</si>
  <si>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</si>
  <si>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販売用（予定を含む。）</t>
    <phoneticPr fontId="6"/>
  </si>
  <si>
    <t>普通大豆</t>
    <rPh sb="0" eb="2">
      <t>フツウ</t>
    </rPh>
    <rPh sb="2" eb="4">
      <t>ダイズ</t>
    </rPh>
    <phoneticPr fontId="6"/>
  </si>
  <si>
    <t>１等</t>
    <rPh sb="1" eb="2">
      <t>トウ</t>
    </rPh>
    <phoneticPr fontId="6"/>
  </si>
  <si>
    <t>２等</t>
    <rPh sb="1" eb="2">
      <t>トウ</t>
    </rPh>
    <phoneticPr fontId="6"/>
  </si>
  <si>
    <t>３等・規格外</t>
    <rPh sb="1" eb="2">
      <t>トウ</t>
    </rPh>
    <rPh sb="3" eb="6">
      <t>キカクガイ</t>
    </rPh>
    <phoneticPr fontId="6"/>
  </si>
  <si>
    <t>特定加工用</t>
    <rPh sb="0" eb="2">
      <t>トクテイ</t>
    </rPh>
    <rPh sb="2" eb="4">
      <t>カコウ</t>
    </rPh>
    <rPh sb="4" eb="5">
      <t>ヨウ</t>
    </rPh>
    <phoneticPr fontId="6"/>
  </si>
  <si>
    <t>販売用（予定を含む。）</t>
    <rPh sb="0" eb="3">
      <t>ハンバイヨウ</t>
    </rPh>
    <rPh sb="4" eb="6">
      <t>ヨテイ</t>
    </rPh>
    <rPh sb="7" eb="8">
      <t>フク</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</si>
  <si>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</si>
  <si>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</si>
  <si>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その他</t>
    <rPh sb="2" eb="3">
      <t>タ</t>
    </rPh>
    <phoneticPr fontId="6"/>
  </si>
  <si>
    <t>販売用計</t>
    <rPh sb="0" eb="3">
      <t>ハンバイヨウ</t>
    </rPh>
    <rPh sb="3" eb="4">
      <t>ケイ</t>
    </rPh>
    <phoneticPr fontId="6"/>
  </si>
  <si>
    <t>３等・規格外（計）</t>
    <rPh sb="1" eb="2">
      <t>トウ</t>
    </rPh>
    <rPh sb="3" eb="6">
      <t>キカクガイ</t>
    </rPh>
    <phoneticPr fontId="6"/>
  </si>
  <si>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6"/>
  </si>
  <si>
    <t>特定加工用（計）</t>
    <rPh sb="0" eb="2">
      <t>トクテイ</t>
    </rPh>
    <rPh sb="2" eb="5">
      <t>カコウヨウ</t>
    </rPh>
    <phoneticPr fontId="6"/>
  </si>
  <si>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6"/>
  </si>
  <si>
    <t>「自家用」の単価を記入してください。</t>
    <rPh sb="1" eb="3">
      <t>ジカ</t>
    </rPh>
    <rPh sb="3" eb="4">
      <t>ヨウ</t>
    </rPh>
    <rPh sb="6" eb="8">
      <t>タンカ</t>
    </rPh>
    <rPh sb="9" eb="11">
      <t>キニュウ</t>
    </rPh>
    <phoneticPr fontId="6"/>
  </si>
  <si>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6"/>
  </si>
  <si>
    <t>組織内消費</t>
    <phoneticPr fontId="6"/>
  </si>
  <si>
    <t>食用</t>
    <rPh sb="0" eb="2">
      <t>ショクヨウ</t>
    </rPh>
    <phoneticPr fontId="6"/>
  </si>
  <si>
    <t>食用に仕向けた（予定を含む。）もの</t>
    <rPh sb="0" eb="2">
      <t>ショクヨウ</t>
    </rPh>
    <rPh sb="3" eb="5">
      <t>シム</t>
    </rPh>
    <rPh sb="8" eb="10">
      <t>ヨテイ</t>
    </rPh>
    <rPh sb="11" eb="12">
      <t>フク</t>
    </rPh>
    <phoneticPr fontId="6"/>
  </si>
  <si>
    <t>自家用</t>
    <rPh sb="0" eb="3">
      <t>ジカヨウ</t>
    </rPh>
    <phoneticPr fontId="6"/>
  </si>
  <si>
    <t>食用</t>
    <rPh sb="0" eb="1">
      <t>ショク</t>
    </rPh>
    <rPh sb="1" eb="2">
      <t>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</si>
  <si>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</si>
  <si>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</si>
  <si>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食用、種子用以外に仕向けた（予定を含む。）もの</t>
    <rPh sb="0" eb="2">
      <t>ショクヨウ</t>
    </rPh>
    <rPh sb="3" eb="6">
      <t>シュシヨウ</t>
    </rPh>
    <rPh sb="6" eb="8">
      <t>イガイ</t>
    </rPh>
    <rPh sb="9" eb="11">
      <t>シム</t>
    </rPh>
    <rPh sb="14" eb="16">
      <t>ヨテイ</t>
    </rPh>
    <rPh sb="17" eb="18">
      <t>フク</t>
    </rPh>
    <phoneticPr fontId="6"/>
  </si>
  <si>
    <t>自家用計</t>
    <rPh sb="0" eb="2">
      <t>ジカ</t>
    </rPh>
    <rPh sb="2" eb="3">
      <t>ヨウ</t>
    </rPh>
    <rPh sb="3" eb="4">
      <t>ケイ</t>
    </rPh>
    <phoneticPr fontId="6"/>
  </si>
  <si>
    <t xml:space="preserve"> ２　くず大豆等の状況</t>
    <rPh sb="5" eb="7">
      <t>ダイズ</t>
    </rPh>
    <rPh sb="7" eb="8">
      <t>トウ</t>
    </rPh>
    <rPh sb="9" eb="11">
      <t>ジョウキョウ</t>
    </rPh>
    <phoneticPr fontId="6"/>
  </si>
  <si>
    <t xml:space="preserve"> 　当年産の大豆生産で発生したくず大豆等（農産物検査で等級がつかなかったくず大豆等。）の</t>
    <rPh sb="2" eb="3">
      <t>トウ</t>
    </rPh>
    <rPh sb="3" eb="5">
      <t>ネンサン</t>
    </rPh>
    <rPh sb="4" eb="5">
      <t>サン</t>
    </rPh>
    <rPh sb="6" eb="8">
      <t>ダイズ</t>
    </rPh>
    <rPh sb="8" eb="10">
      <t>セイサン</t>
    </rPh>
    <rPh sb="11" eb="13">
      <t>ハッセイ</t>
    </rPh>
    <rPh sb="17" eb="19">
      <t>ダイズ</t>
    </rPh>
    <rPh sb="19" eb="20">
      <t>トウ</t>
    </rPh>
    <rPh sb="21" eb="24">
      <t>ノウサンブツ</t>
    </rPh>
    <rPh sb="24" eb="26">
      <t>ケンサ</t>
    </rPh>
    <rPh sb="27" eb="29">
      <t>トウキュウ</t>
    </rPh>
    <rPh sb="38" eb="40">
      <t>ダイズ</t>
    </rPh>
    <rPh sb="40" eb="41">
      <t>トウ</t>
    </rPh>
    <phoneticPr fontId="6"/>
  </si>
  <si>
    <t xml:space="preserve"> 状況について、記入してください。</t>
    <rPh sb="1" eb="3">
      <t>ジョウキョウ</t>
    </rPh>
    <phoneticPr fontId="6"/>
  </si>
  <si>
    <t xml:space="preserve">  ２　くず大豆等の状況</t>
    <rPh sb="8" eb="9">
      <t>トウ</t>
    </rPh>
    <rPh sb="10" eb="12">
      <t>ジョウキョウ</t>
    </rPh>
    <phoneticPr fontId="6"/>
  </si>
  <si>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6"/>
  </si>
  <si>
    <t xml:space="preserve"> 記入してください。</t>
  </si>
  <si>
    <t>副産物</t>
    <rPh sb="0" eb="3">
      <t>フクサンブツ</t>
    </rPh>
    <phoneticPr fontId="6"/>
  </si>
  <si>
    <t>販売用</t>
    <rPh sb="0" eb="3">
      <t>ハンバイヨウ</t>
    </rPh>
    <phoneticPr fontId="6"/>
  </si>
  <si>
    <t>販売した（予定を含む。）もの</t>
    <rPh sb="0" eb="2">
      <t>ハンバイ</t>
    </rPh>
    <rPh sb="5" eb="7">
      <t>ヨテイ</t>
    </rPh>
    <rPh sb="8" eb="9">
      <t>フク</t>
    </rPh>
    <phoneticPr fontId="6"/>
  </si>
  <si>
    <t>組織内に仕向けた（予定を含む。）もの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</si>
  <si>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</si>
  <si>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</si>
  <si>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</si>
  <si>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</si>
  <si>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</si>
  <si>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</si>
  <si>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</si>
  <si>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</si>
  <si>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</si>
  <si>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</si>
  <si>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</si>
  <si>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</si>
  <si>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</si>
  <si>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</si>
  <si>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</si>
  <si>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</si>
  <si>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</si>
  <si>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</si>
  <si>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</si>
  <si>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</si>
  <si>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</si>
  <si>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</si>
  <si>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</si>
  <si>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</si>
  <si>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</si>
  <si>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</si>
  <si>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</si>
  <si>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</si>
  <si>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</si>
  <si>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</si>
  <si>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</si>
  <si>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</si>
  <si>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</si>
  <si>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</si>
  <si>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</si>
  <si>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</si>
  <si>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</si>
  <si>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</si>
  <si>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</si>
  <si>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</si>
  <si>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</si>
  <si>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</si>
  <si>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</si>
  <si>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</si>
  <si>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</si>
  <si>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</si>
  <si>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</si>
  <si>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</si>
  <si>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</si>
  <si>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</si>
  <si>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</si>
  <si>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</si>
  <si>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</si>
  <si>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</si>
  <si>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</si>
  <si>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</si>
  <si>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</si>
  <si>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</si>
  <si>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</si>
  <si>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</si>
  <si>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</si>
  <si>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</si>
  <si>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</si>
  <si>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</si>
  <si>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</si>
  <si>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</si>
  <si>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</si>
  <si>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</si>
  <si>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</si>
  <si>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</si>
  <si>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</si>
  <si>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</si>
  <si>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</si>
  <si>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</si>
  <si>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</si>
  <si>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</si>
  <si>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</si>
  <si>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</si>
  <si>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</si>
  <si>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</si>
  <si>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</si>
  <si>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</si>
  <si>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</si>
  <si>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</si>
  <si>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</si>
  <si>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</si>
  <si>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</si>
  <si>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</si>
  <si>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</si>
  <si>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</si>
  <si>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</si>
  <si>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</si>
  <si>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</si>
  <si>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</si>
  <si>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</si>
  <si>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</si>
  <si>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</si>
  <si>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</si>
  <si>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</si>
  <si>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</si>
  <si>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</si>
  <si>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</si>
  <si>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</si>
  <si>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</si>
  <si>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</si>
  <si>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</si>
  <si>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</si>
  <si>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</si>
  <si>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</si>
  <si>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</si>
  <si>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</si>
  <si>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</si>
  <si>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</si>
  <si>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</si>
  <si>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</si>
  <si>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</si>
  <si>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</si>
  <si>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</si>
  <si>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</si>
  <si>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</si>
  <si>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</si>
  <si>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</si>
  <si>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</si>
  <si>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</si>
  <si>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</si>
  <si>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</si>
  <si>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</si>
  <si>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</si>
  <si>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</si>
  <si>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</si>
  <si>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</si>
  <si>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</si>
  <si>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</si>
  <si>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</si>
  <si>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</si>
  <si>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</si>
  <si>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</si>
  <si>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</si>
  <si>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</si>
  <si>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</si>
  <si>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</si>
  <si>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</si>
  <si>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</si>
  <si>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</si>
  <si>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</si>
  <si>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</si>
  <si>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</si>
  <si>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</si>
  <si>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</si>
  <si>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</si>
  <si>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</si>
  <si>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</si>
  <si>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</si>
  <si>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</si>
  <si>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</si>
  <si>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</si>
  <si>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</si>
  <si>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</si>
  <si>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</si>
  <si>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</si>
  <si>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</si>
  <si>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</si>
  <si>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</si>
  <si>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kg</t>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</si>
  <si>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</si>
  <si>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</si>
  <si>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</si>
  <si>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</si>
  <si>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</si>
  <si>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</si>
  <si>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</si>
  <si>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</si>
  <si>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</si>
  <si>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</si>
  <si>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</si>
  <si>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</si>
  <si>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</si>
  <si>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</si>
  <si>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</si>
  <si>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</si>
  <si>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</si>
  <si>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</si>
  <si>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</si>
  <si>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</si>
  <si>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</si>
  <si>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</si>
  <si>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</si>
  <si>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</si>
  <si>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</si>
  <si>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</si>
  <si>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</si>
  <si>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</si>
  <si>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</si>
  <si>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</si>
  <si>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</si>
  <si>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</si>
  <si>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</si>
  <si>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</si>
  <si>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</si>
  <si>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</si>
  <si>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</si>
  <si>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</si>
  <si>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</si>
  <si>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</si>
  <si>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</si>
  <si>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</si>
  <si>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</si>
  <si>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</si>
  <si>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</si>
  <si>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</si>
  <si>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</si>
  <si>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</si>
  <si>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</si>
  <si>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</si>
  <si>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</si>
  <si>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</si>
  <si>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</si>
  <si>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</si>
  <si>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</si>
  <si>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</si>
  <si>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</si>
  <si>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</si>
  <si>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</si>
  <si>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</si>
  <si>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</si>
  <si>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</si>
  <si>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</si>
  <si>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</si>
  <si>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</si>
  <si>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</si>
  <si>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</si>
  <si>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</si>
  <si>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</si>
  <si>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</si>
  <si>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</si>
  <si>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</si>
  <si>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</si>
  <si>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</si>
  <si>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</si>
  <si>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</si>
  <si>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</si>
  <si>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</si>
  <si>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</si>
  <si>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</si>
  <si>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</si>
  <si>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</si>
  <si>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</si>
  <si>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</si>
  <si>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</si>
  <si>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</si>
  <si>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</si>
  <si>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</si>
  <si>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</si>
  <si>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</si>
  <si>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</si>
  <si>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</si>
  <si>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</si>
  <si>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</si>
  <si>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</si>
  <si>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</si>
  <si>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</si>
  <si>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</si>
  <si>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</si>
  <si>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</si>
  <si>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</si>
  <si>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</si>
  <si>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</si>
  <si>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</si>
  <si>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</si>
  <si>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</si>
  <si>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</si>
  <si>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</si>
  <si>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</si>
  <si>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</si>
  <si>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</si>
  <si>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</si>
  <si>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</si>
  <si>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</si>
  <si>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</si>
  <si>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</si>
  <si>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</si>
  <si>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</si>
  <si>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</si>
  <si>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</si>
  <si>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</si>
  <si>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</si>
  <si>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</si>
  <si>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</si>
  <si>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</si>
  <si>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</si>
  <si>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</si>
  <si>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</si>
  <si>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</si>
  <si>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</si>
  <si>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</si>
  <si>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</si>
  <si>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</si>
  <si>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</si>
  <si>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</si>
  <si>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</si>
  <si>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</si>
  <si>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</si>
  <si>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</si>
  <si>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</si>
  <si>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</si>
  <si>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</si>
  <si>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</si>
  <si>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</si>
  <si>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</si>
  <si>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</si>
  <si>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</si>
  <si>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</si>
  <si>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</si>
  <si>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</si>
  <si>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</si>
  <si>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</si>
  <si>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</si>
  <si>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</si>
  <si>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</si>
  <si>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</si>
  <si>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</si>
  <si>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</si>
  <si>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</si>
  <si>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</si>
  <si>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</si>
  <si>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</si>
  <si>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</si>
  <si>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</si>
  <si>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</si>
  <si>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</si>
  <si>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</si>
  <si>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8"/>
  </si>
  <si>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</si>
  <si>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</si>
  <si>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</si>
  <si>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</si>
  <si>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</si>
  <si>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</si>
  <si>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</si>
  <si>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</si>
  <si>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</si>
  <si>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</si>
  <si>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</si>
  <si>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</si>
  <si>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</si>
  <si>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</si>
  <si>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</si>
  <si>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</si>
  <si>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</si>
  <si>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</si>
  <si>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</si>
  <si>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</si>
  <si>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</si>
  <si>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</si>
  <si>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</si>
  <si>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</si>
  <si>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</si>
  <si>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</si>
  <si>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</si>
  <si>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</si>
  <si>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</si>
  <si>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</si>
  <si>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</si>
  <si>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</si>
  <si>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</si>
  <si>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</si>
  <si>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</si>
  <si>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</si>
  <si>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</si>
  <si>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</si>
  <si>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</si>
  <si>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</si>
  <si>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</si>
  <si>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</si>
  <si>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</si>
  <si>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</si>
  <si>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</si>
  <si>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</si>
  <si>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</si>
  <si>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</si>
  <si>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</si>
  <si>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</si>
  <si>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</si>
  <si>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</si>
  <si>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</si>
  <si>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</si>
  <si>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</si>
  <si>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</si>
  <si>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</si>
  <si>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</si>
  <si>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</si>
  <si>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</si>
  <si>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</si>
  <si>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</si>
  <si>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</si>
  <si>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</si>
  <si>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</si>
  <si>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</si>
  <si>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</si>
  <si>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</si>
  <si>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</si>
  <si>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</si>
  <si>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</si>
  <si>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</si>
  <si>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</si>
  <si>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</si>
  <si>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</si>
  <si>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</si>
  <si>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</si>
  <si>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</si>
  <si>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</si>
  <si>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</si>
  <si>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</si>
  <si>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</si>
  <si>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</si>
  <si>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</si>
  <si>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</si>
  <si>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</si>
  <si>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</si>
  <si>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</si>
  <si>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</si>
  <si>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</si>
  <si>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</si>
  <si>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</si>
  <si>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</si>
  <si>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</si>
  <si>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</si>
  <si>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</si>
  <si>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</si>
  <si>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</si>
  <si>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</si>
  <si>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</si>
  <si>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</si>
  <si>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</si>
  <si>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</si>
  <si>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</si>
  <si>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</si>
  <si>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</si>
  <si>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</si>
  <si>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</si>
  <si>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</si>
  <si>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</si>
  <si>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</si>
  <si>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</si>
  <si>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</si>
  <si>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</si>
  <si>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</si>
  <si>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</si>
  <si>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作業ごとの延べ作業時間とその作業に携わった延べ人数を記入してください。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</si>
  <si>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</si>
  <si>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6"/>
  </si>
  <si>
    <t>単位：時間</t>
    <rPh sb="0" eb="2">
      <t>タンイ</t>
    </rPh>
    <rPh sb="3" eb="5">
      <t>ジカン</t>
    </rPh>
    <phoneticPr fontId="86"/>
  </si>
  <si>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</si>
  <si>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</si>
  <si>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</si>
  <si>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</si>
  <si>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</si>
  <si>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</si>
  <si>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</si>
  <si>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</si>
  <si>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6"/>
  </si>
  <si>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</si>
  <si>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</si>
  <si>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</si>
  <si>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</si>
  <si>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</si>
  <si>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</si>
  <si>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</si>
  <si>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</si>
  <si>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</si>
  <si>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</si>
  <si>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</si>
  <si>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耕起、整地、砕土、畝立て、融雪剤散布</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</si>
  <si>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</si>
  <si>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</si>
  <si>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</si>
  <si>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</si>
  <si>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</si>
  <si>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</si>
  <si>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</si>
  <si>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</si>
  <si>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</si>
  <si>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</si>
  <si>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</si>
  <si>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</si>
  <si>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</si>
  <si>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</si>
  <si>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</si>
  <si>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</si>
  <si>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</si>
  <si>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</si>
  <si>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</si>
  <si>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</si>
  <si>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</si>
  <si>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</si>
  <si>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6"/>
  </si>
  <si>
    <t>管理</t>
    <rPh sb="0" eb="2">
      <t>カンリ</t>
    </rPh>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</si>
  <si>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</si>
  <si>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</si>
  <si>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</si>
  <si>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</si>
  <si>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</si>
  <si>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</si>
  <si>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</si>
  <si>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収穫</t>
    <phoneticPr fontId="6"/>
  </si>
  <si>
    <t>収穫、運搬、にお積みなど天日乾燥に係る作業</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</si>
  <si>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</si>
  <si>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</si>
  <si>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</si>
  <si>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</si>
  <si>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</si>
  <si>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</si>
  <si>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</si>
  <si>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</si>
  <si>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</si>
  <si>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</si>
  <si>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</si>
  <si>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</si>
  <si>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</si>
  <si>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</si>
  <si>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</si>
  <si>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</si>
  <si>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</si>
  <si>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</si>
  <si>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</si>
  <si>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8"/>
  </si>
  <si>
    <t>雇用</t>
    <rPh sb="0" eb="2">
      <t>コヨウ</t>
    </rPh>
    <phoneticPr fontId="86"/>
  </si>
  <si>
    <t>６５歳未満</t>
    <rPh sb="2" eb="3">
      <t>サイ</t>
    </rPh>
    <rPh sb="3" eb="5">
      <t>ミマン</t>
    </rPh>
    <phoneticPr fontId="86"/>
  </si>
  <si>
    <t>６５～７０</t>
    <phoneticPr fontId="86"/>
  </si>
  <si>
    <t>７０～７５</t>
    <phoneticPr fontId="86"/>
  </si>
  <si>
    <t>７５歳以上</t>
    <rPh sb="2" eb="5">
      <t>サイイジョウ</t>
    </rPh>
    <phoneticPr fontId="86"/>
  </si>
  <si>
    <t>計</t>
    <rPh sb="0" eb="1">
      <t>ケイ</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</si>
  <si>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</si>
  <si>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</si>
  <si>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</si>
  <si>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</si>
  <si>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</si>
  <si>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</si>
  <si>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98"/>
  </si>
  <si>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</si>
  <si>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</si>
  <si>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</si>
  <si>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</si>
  <si>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</si>
  <si>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</si>
  <si>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</si>
  <si>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</si>
  <si>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</si>
  <si>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</si>
  <si>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</si>
  <si>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</si>
  <si>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</si>
  <si>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</si>
  <si>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</si>
  <si>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</si>
  <si>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</si>
  <si>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</si>
  <si>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</si>
  <si>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</si>
  <si>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</si>
  <si>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</si>
  <si>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</si>
  <si>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</si>
  <si>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</si>
  <si>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</si>
  <si>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</si>
  <si>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</si>
  <si>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</si>
  <si>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</si>
  <si>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</si>
  <si>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</si>
  <si>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</si>
  <si>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</si>
  <si>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</si>
  <si>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</si>
  <si>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</si>
  <si>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</si>
  <si>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</si>
  <si>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</si>
  <si>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</si>
  <si>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</si>
  <si>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</si>
  <si>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</si>
  <si>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</si>
  <si>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</si>
  <si>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</si>
  <si>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</si>
  <si>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</si>
  <si>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</si>
  <si>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</si>
  <si>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</si>
  <si>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</si>
  <si>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</si>
  <si>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</si>
  <si>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</si>
  <si>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</si>
  <si>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</si>
  <si>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</si>
  <si>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</si>
  <si>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</si>
  <si>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</si>
  <si>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</si>
  <si>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</si>
  <si>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</si>
  <si>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</si>
  <si>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</si>
  <si>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</si>
  <si>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</si>
  <si>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</si>
  <si>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</si>
  <si>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</si>
  <si>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</si>
  <si>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</si>
  <si>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</si>
  <si>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</si>
  <si>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</si>
  <si>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</si>
  <si>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</si>
  <si>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</si>
  <si>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</si>
  <si>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</si>
  <si>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</si>
  <si>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</si>
  <si>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</si>
  <si>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</si>
  <si>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</si>
  <si>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</si>
  <si>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</si>
  <si>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</si>
  <si>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</si>
  <si>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</si>
  <si>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</si>
  <si>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</si>
  <si>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</si>
  <si>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</si>
  <si>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</si>
  <si>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</si>
  <si>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</si>
  <si>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</si>
  <si>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</si>
  <si>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</si>
  <si>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</si>
  <si>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</si>
  <si>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</si>
  <si>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</si>
  <si>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</si>
  <si>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</si>
  <si>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</si>
  <si>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</si>
  <si>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</si>
  <si>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</si>
  <si>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0"/>
  </si>
  <si>
    <t>[1]新築</t>
    <rPh sb="3" eb="5">
      <t>シンチク</t>
    </rPh>
    <phoneticPr fontId="100"/>
  </si>
  <si>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</si>
  <si>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</si>
  <si>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</si>
  <si>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</si>
  <si>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</si>
  <si>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0"/>
  </si>
  <si>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</si>
  <si>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</si>
  <si>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</si>
  <si>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</si>
  <si>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</si>
  <si>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</si>
  <si>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0"/>
  </si>
  <si>
    <t>[1]家族</t>
    <rPh sb="3" eb="5">
      <t>カゾク</t>
    </rPh>
    <phoneticPr fontId="100"/>
  </si>
  <si>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</si>
  <si>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</si>
  <si>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</si>
  <si>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</si>
  <si>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</si>
  <si>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</si>
  <si>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</si>
  <si>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</si>
  <si>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</si>
  <si>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</si>
  <si>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</si>
  <si>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</si>
  <si>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</si>
  <si>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</si>
  <si>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</si>
  <si>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</si>
  <si>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</si>
  <si>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</si>
  <si>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</si>
  <si>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</si>
  <si>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</si>
  <si>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</si>
  <si>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</si>
  <si>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</si>
  <si>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</si>
  <si>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</si>
  <si>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</si>
  <si>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</si>
  <si>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</si>
  <si>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</si>
  <si>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</si>
  <si>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</si>
  <si>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</si>
  <si>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</si>
  <si>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</si>
  <si>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</si>
  <si>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</si>
  <si>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</si>
  <si>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</si>
  <si>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4"/>
  </si>
  <si>
    <t>[2]畑</t>
    <rPh sb="3" eb="4">
      <t>ハタ</t>
    </rPh>
    <phoneticPr fontId="5"/>
  </si>
  <si>
    <t>[2]女</t>
    <rPh sb="3" eb="4">
      <t>オンナ</t>
    </rPh>
    <phoneticPr fontId="100"/>
  </si>
  <si>
    <t>[2]同居人</t>
    <rPh sb="3" eb="6">
      <t>ドウキョニン</t>
    </rPh>
    <phoneticPr fontId="100"/>
  </si>
  <si>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</si>
  <si>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</si>
  <si>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</si>
  <si>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</si>
  <si>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</si>
  <si>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</si>
  <si>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</si>
  <si>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</si>
  <si>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</si>
  <si>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</si>
  <si>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</si>
  <si>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</si>
  <si>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</si>
  <si>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</si>
  <si>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</si>
  <si>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</si>
  <si>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</si>
  <si>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</si>
  <si>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</si>
  <si>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</si>
  <si>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</si>
  <si>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</si>
  <si>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</si>
  <si>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</si>
  <si>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</si>
  <si>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</si>
  <si>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</si>
  <si>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</si>
  <si>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0"/>
  </si>
  <si>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</si>
  <si>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</si>
  <si>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</si>
  <si>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</si>
  <si>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</si>
  <si>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</si>
  <si>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</si>
  <si>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</si>
  <si>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</si>
  <si>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</si>
  <si>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</si>
  <si>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</si>
  <si>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</si>
  <si>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</si>
  <si>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</si>
  <si>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</si>
  <si>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</si>
  <si>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</si>
  <si>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</si>
  <si>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1"/>
  </si>
  <si>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</si>
  <si>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</si>
  <si>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</si>
  <si>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</si>
  <si>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</si>
  <si>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</si>
  <si>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</si>
  <si>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</si>
  <si>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</si>
  <si>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</si>
  <si>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</si>
  <si>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</si>
  <si>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</si>
  <si>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</si>
  <si>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</si>
  <si>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</si>
  <si>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</si>
  <si>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</si>
  <si>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</si>
  <si>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</si>
  <si>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</si>
  <si>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</si>
  <si>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</si>
  <si>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</si>
  <si>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</si>
  <si>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</si>
  <si>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</si>
  <si>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</si>
  <si>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</si>
  <si>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</si>
  <si>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</si>
  <si>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</si>
  <si>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</si>
  <si>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</si>
  <si>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</si>
  <si>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</si>
  <si>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</si>
  <si>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</si>
  <si>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</si>
  <si>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</si>
  <si>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</si>
  <si>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</si>
  <si>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</si>
  <si>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</si>
  <si>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</si>
  <si>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</si>
  <si>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</si>
  <si>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</si>
  <si>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</si>
  <si>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</si>
  <si>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</si>
  <si>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0"/>
  </si>
  <si>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</si>
  <si>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</si>
  <si>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</si>
  <si>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</si>
  <si>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</si>
  <si>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</si>
  <si>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</si>
  <si>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</si>
  <si>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</si>
  <si>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</si>
  <si>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</si>
  <si>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</si>
  <si>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</si>
  <si>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</si>
  <si>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</si>
  <si>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</si>
  <si>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</si>
  <si>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</si>
  <si>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</si>
  <si>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</si>
  <si>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</si>
  <si>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</si>
  <si>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</si>
  <si>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0"/>
  </si>
  <si>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</si>
  <si>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</si>
  <si>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</si>
  <si>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</si>
  <si>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</si>
  <si>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</si>
  <si>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</si>
  <si>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</si>
  <si>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</si>
  <si>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</si>
  <si>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</si>
  <si>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</si>
  <si>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</si>
  <si>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</si>
  <si>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</si>
  <si>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</si>
  <si>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</si>
  <si>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</si>
  <si>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</si>
  <si>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</si>
  <si>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</si>
  <si>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</si>
  <si>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</si>
  <si>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</si>
  <si>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</si>
  <si>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</si>
  <si>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</si>
  <si>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</si>
  <si>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</si>
  <si>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</si>
  <si>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</si>
  <si>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</si>
  <si>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</si>
  <si>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</si>
  <si>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</si>
  <si>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</si>
  <si>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</si>
  <si>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</si>
  <si>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</si>
  <si>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</si>
  <si>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</si>
  <si>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</si>
  <si>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</si>
  <si>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</si>
  <si>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</si>
  <si>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</si>
  <si>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</si>
  <si>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</si>
  <si>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</si>
  <si>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</si>
  <si>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</si>
  <si>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</si>
  <si>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</si>
  <si>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</si>
  <si>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</si>
  <si>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</si>
  <si>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</si>
  <si>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</si>
  <si>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</si>
  <si>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</si>
  <si>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</si>
  <si>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</si>
  <si>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</si>
  <si>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</si>
  <si>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</si>
  <si>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</si>
  <si>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</si>
  <si>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</si>
  <si>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</si>
  <si>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</si>
  <si>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</si>
  <si>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</si>
  <si>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</si>
  <si>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</si>
  <si>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</si>
  <si>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</si>
  <si>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</si>
  <si>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</si>
  <si>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</si>
  <si>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</si>
  <si>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</si>
  <si>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</si>
  <si>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</si>
  <si>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</si>
  <si>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</si>
  <si>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</si>
  <si>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</si>
  <si>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</si>
  <si>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</si>
  <si>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</si>
  <si>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</si>
  <si>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</si>
  <si>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</si>
  <si>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</si>
  <si>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</si>
  <si>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</si>
  <si>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</si>
  <si>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</si>
  <si>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</si>
  <si>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</si>
  <si>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</si>
  <si>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</si>
  <si>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</si>
  <si>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</si>
  <si>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</si>
  <si>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</si>
  <si>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</si>
  <si>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</si>
  <si>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</si>
  <si>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</si>
  <si>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</si>
  <si>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</si>
  <si>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</si>
  <si>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</si>
  <si>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</si>
  <si>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</si>
  <si>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</si>
  <si>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</si>
  <si>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</si>
  <si>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</si>
  <si>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</si>
  <si>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</si>
  <si>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</si>
  <si>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</si>
  <si>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</si>
  <si>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</si>
  <si>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</si>
  <si>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</si>
  <si>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</si>
  <si>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</si>
  <si>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</si>
  <si>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</si>
  <si>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</si>
  <si>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</si>
  <si>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</si>
  <si>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</si>
  <si>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</si>
  <si>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</si>
  <si>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</si>
  <si>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</si>
  <si>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</si>
  <si>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</si>
  <si>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</si>
  <si>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</si>
  <si>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</si>
  <si>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</si>
  <si>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</si>
  <si>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</si>
  <si>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</si>
  <si>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</si>
  <si>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</si>
  <si>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</si>
  <si>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</si>
  <si>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</si>
  <si>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</si>
  <si>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</si>
  <si>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</si>
  <si>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</si>
  <si>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</si>
  <si>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</si>
  <si>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</si>
  <si>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</si>
  <si>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</si>
  <si>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</si>
  <si>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</si>
  <si>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</si>
  <si>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</si>
  <si>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</si>
  <si>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</si>
  <si>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</si>
  <si>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</si>
  <si>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</si>
  <si>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</si>
  <si>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</si>
  <si>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</si>
  <si>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</si>
  <si>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</si>
  <si>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</si>
  <si>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</si>
  <si>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</si>
  <si>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</si>
  <si>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</si>
  <si>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</si>
  <si>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</si>
  <si>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</si>
  <si>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</si>
  <si>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</si>
  <si>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</si>
  <si>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</si>
  <si>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</si>
  <si>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</si>
  <si>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</si>
  <si>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</si>
  <si>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</si>
  <si>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</si>
  <si>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</si>
  <si>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</si>
  <si>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</si>
  <si>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</si>
  <si>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0"/>
  </si>
  <si>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</si>
  <si>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</si>
  <si>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</si>
  <si>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</si>
  <si>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</si>
  <si>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</si>
  <si>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0"/>
  </si>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</sst>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3">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9">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medium">
        <color indexed="64"/>
      </right>
      <top style="thin">
        <color indexed="64"/>
      </top>
      <bottom/>
      <diagonal/>
    </border>
    <border>
      <left/>
      <right style="double">
        <color rgb="FF35A36B"/>
      </right>
      <top style="thin">
        <color indexed="64"/>
      </top>
      <bottom style="thin">
        <color indexed="64"/>
      </bottom>
      <diagonal/>
    </border>
    <border>
      <left style="medium">
        <color indexed="64"/>
      </left>
      <right/>
      <top style="thin">
        <color indexed="64"/>
      </top>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163">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37" fillId="0" borderId="0" xfId="1" applyFont="1" applyAlignment="1">
      <alignment horizontal="distributed"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49" fillId="0" borderId="0" xfId="1" applyFont="1" applyAlignment="1">
      <alignment vertical="center"/>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3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9" fillId="0" borderId="0" xfId="1" applyFont="1" applyAlignment="1">
      <alignment horizontal="left" vertical="center" wrapText="1"/>
    </xf>
    <xf numFmtId="0" fontId="24" fillId="0" borderId="0" xfId="1" applyFont="1" applyAlignment="1">
      <alignment horizontal="left" vertical="center" wrapText="1"/>
    </xf>
    <xf numFmtId="0" fontId="70" fillId="0" borderId="0" xfId="1" applyFont="1" applyAlignment="1">
      <alignment vertical="center"/>
    </xf>
    <xf numFmtId="0" fontId="71" fillId="0" borderId="0" xfId="1" applyFont="1" applyAlignment="1">
      <alignment horizontal="center" vertical="center"/>
    </xf>
    <xf numFmtId="0" fontId="24" fillId="0" borderId="0" xfId="1" applyFont="1" applyAlignment="1">
      <alignment horizontal="center" vertical="center"/>
    </xf>
    <xf numFmtId="0" fontId="59" fillId="0" borderId="0" xfId="1" applyFont="1"/>
    <xf numFmtId="0" fontId="24" fillId="0" borderId="0" xfId="1" applyFont="1" applyAlignment="1">
      <alignment horizontal="left" vertical="center"/>
    </xf>
    <xf numFmtId="0" fontId="9" fillId="0" borderId="17" xfId="1" applyFont="1" applyBorder="1" applyAlignment="1">
      <alignment vertical="distributed" textRotation="255" wrapText="1" justifyLastLine="1"/>
    </xf>
    <xf numFmtId="0" fontId="9" fillId="0" borderId="30" xfId="1" applyFont="1" applyBorder="1" applyAlignment="1">
      <alignment vertical="distributed" textRotation="255" justifyLastLine="1"/>
    </xf>
    <xf numFmtId="0" fontId="9" fillId="0" borderId="31" xfId="1" applyFont="1" applyBorder="1" applyAlignment="1">
      <alignment vertical="distributed" textRotation="255" justifyLastLine="1"/>
    </xf>
    <xf numFmtId="3" fontId="7" fillId="6" borderId="133" xfId="1" applyNumberFormat="1" applyFont="1" applyFill="1" applyBorder="1" applyAlignment="1" applyProtection="1">
      <alignment horizontal="right" vertical="center" shrinkToFit="1"/>
      <protection locked="0"/>
    </xf>
    <xf numFmtId="3" fontId="72" fillId="6" borderId="134" xfId="1" applyNumberFormat="1" applyFont="1" applyFill="1" applyBorder="1" applyAlignment="1" applyProtection="1">
      <alignment horizontal="right" vertical="center" shrinkToFit="1"/>
      <protection locked="0"/>
    </xf>
    <xf numFmtId="0" fontId="65" fillId="0" borderId="135" xfId="1" applyFont="1" applyBorder="1" applyAlignment="1">
      <alignment horizontal="center" vertical="center"/>
    </xf>
    <xf numFmtId="0" fontId="66" fillId="0" borderId="6" xfId="1" applyFont="1" applyBorder="1" applyAlignment="1">
      <alignment horizontal="center" vertical="center"/>
    </xf>
    <xf numFmtId="0" fontId="66" fillId="0" borderId="6" xfId="1" applyFont="1" applyBorder="1" applyAlignment="1">
      <alignment horizontal="center" vertical="center" shrinkToFit="1"/>
    </xf>
    <xf numFmtId="0" fontId="9" fillId="0" borderId="39" xfId="1" applyFont="1" applyBorder="1" applyAlignment="1">
      <alignment vertical="distributed" textRotation="255" justifyLastLine="1"/>
    </xf>
    <xf numFmtId="0" fontId="9" fillId="0" borderId="26" xfId="1" applyFont="1" applyBorder="1" applyAlignment="1">
      <alignment vertical="distributed" textRotation="255" justifyLastLine="1"/>
    </xf>
    <xf numFmtId="0" fontId="9" fillId="0" borderId="25" xfId="1" applyFont="1" applyBorder="1" applyAlignment="1">
      <alignment vertical="distributed" textRotation="255" justifyLastLine="1"/>
    </xf>
    <xf numFmtId="0" fontId="9" fillId="0" borderId="26" xfId="1" applyFont="1" applyBorder="1" applyAlignment="1">
      <alignment horizontal="distributed" vertical="distributed"/>
    </xf>
    <xf numFmtId="49" fontId="9" fillId="4" borderId="16" xfId="1" applyNumberFormat="1" applyFont="1" applyFill="1" applyBorder="1" applyAlignment="1" applyProtection="1">
      <alignment horizontal="center" vertical="center" wrapText="1"/>
      <protection locked="0"/>
    </xf>
    <xf numFmtId="3" fontId="7" fillId="4" borderId="134" xfId="1" applyNumberFormat="1" applyFont="1" applyFill="1" applyBorder="1" applyAlignment="1" applyProtection="1">
      <alignment horizontal="right" vertical="center" shrinkToFit="1"/>
      <protection locked="0"/>
    </xf>
    <xf numFmtId="3" fontId="72" fillId="4" borderId="134"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0" fontId="3" fillId="0" borderId="0" xfId="1" applyAlignment="1">
      <alignment horizontal="left" vertical="center"/>
    </xf>
    <xf numFmtId="0" fontId="66" fillId="0" borderId="4" xfId="1" applyFont="1" applyBorder="1" applyAlignment="1">
      <alignment horizontal="center" vertical="center"/>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0" fontId="46" fillId="0" borderId="0" xfId="1" applyFont="1" applyAlignment="1">
      <alignment vertical="top"/>
    </xf>
    <xf numFmtId="0" fontId="46" fillId="0" borderId="0" xfId="1" applyFont="1" applyAlignment="1">
      <alignment horizontal="center" vertical="top"/>
    </xf>
    <xf numFmtId="0" fontId="66" fillId="0" borderId="16" xfId="1" applyFont="1" applyBorder="1" applyAlignment="1">
      <alignment horizontal="center" vertical="center"/>
    </xf>
    <xf numFmtId="0" fontId="66" fillId="0" borderId="23" xfId="1" applyFont="1" applyBorder="1" applyAlignment="1">
      <alignment horizontal="center" vertical="center"/>
    </xf>
    <xf numFmtId="180" fontId="7" fillId="0" borderId="23" xfId="1" applyNumberFormat="1" applyFont="1" applyBorder="1" applyAlignment="1">
      <alignment horizontal="right" vertical="center" shrinkToFit="1"/>
    </xf>
    <xf numFmtId="185" fontId="7" fillId="0" borderId="23" xfId="2" applyNumberFormat="1" applyFont="1" applyFill="1" applyBorder="1" applyAlignment="1" applyProtection="1">
      <alignment horizontal="right" vertical="center" shrinkToFit="1"/>
    </xf>
    <xf numFmtId="180" fontId="7" fillId="0" borderId="24" xfId="1" applyNumberFormat="1" applyFont="1" applyBorder="1" applyAlignment="1">
      <alignment horizontal="right" vertical="center" shrinkToFit="1"/>
    </xf>
    <xf numFmtId="0" fontId="66" fillId="0" borderId="25" xfId="1" applyFont="1" applyBorder="1" applyAlignment="1">
      <alignment horizontal="center" vertical="center"/>
    </xf>
    <xf numFmtId="0" fontId="66" fillId="0" borderId="0" xfId="1" applyFont="1" applyAlignment="1">
      <alignment horizontal="center" vertical="center"/>
    </xf>
    <xf numFmtId="180" fontId="7" fillId="0" borderId="0" xfId="1" applyNumberFormat="1" applyFont="1" applyAlignment="1">
      <alignment horizontal="right" vertical="center" shrinkToFit="1"/>
    </xf>
    <xf numFmtId="185" fontId="7" fillId="0" borderId="0" xfId="2" applyNumberFormat="1" applyFont="1" applyFill="1" applyBorder="1" applyAlignment="1" applyProtection="1">
      <alignment horizontal="right" vertical="center" shrinkToFit="1"/>
    </xf>
    <xf numFmtId="180" fontId="7" fillId="0" borderId="26" xfId="1" applyNumberFormat="1" applyFont="1" applyBorder="1" applyAlignment="1">
      <alignment horizontal="right" vertical="center" shrinkToFit="1"/>
    </xf>
    <xf numFmtId="0" fontId="66" fillId="0" borderId="27" xfId="1" applyFont="1" applyBorder="1" applyAlignment="1">
      <alignment horizontal="center" vertical="center"/>
    </xf>
    <xf numFmtId="0" fontId="66" fillId="0" borderId="28" xfId="1" applyFont="1" applyBorder="1" applyAlignment="1">
      <alignment horizontal="center" vertical="center"/>
    </xf>
    <xf numFmtId="180" fontId="7" fillId="0" borderId="28" xfId="1" applyNumberFormat="1" applyFont="1" applyBorder="1" applyAlignment="1">
      <alignment horizontal="right" vertical="center" shrinkToFit="1"/>
    </xf>
    <xf numFmtId="185" fontId="7" fillId="0" borderId="28" xfId="2" applyNumberFormat="1" applyFont="1" applyFill="1" applyBorder="1" applyAlignment="1" applyProtection="1">
      <alignment horizontal="right" vertical="center" shrinkToFit="1"/>
    </xf>
    <xf numFmtId="180" fontId="7" fillId="0" borderId="29" xfId="1" applyNumberFormat="1" applyFont="1" applyBorder="1" applyAlignment="1">
      <alignment horizontal="right" vertical="center" shrinkToFit="1"/>
    </xf>
    <xf numFmtId="3" fontId="7" fillId="6" borderId="134" xfId="1" applyNumberFormat="1" applyFont="1" applyFill="1" applyBorder="1" applyAlignment="1" applyProtection="1">
      <alignment horizontal="right" vertical="center" shrinkToFit="1"/>
      <protection locked="0"/>
    </xf>
    <xf numFmtId="0" fontId="6" fillId="0" borderId="0" xfId="1" applyFont="1" applyAlignment="1">
      <alignment vertical="top"/>
    </xf>
    <xf numFmtId="0" fontId="9" fillId="0" borderId="0" xfId="1" applyFont="1" applyAlignment="1">
      <alignment horizontal="distributed" vertical="distributed"/>
    </xf>
    <xf numFmtId="3" fontId="7" fillId="4" borderId="136" xfId="1" applyNumberFormat="1" applyFont="1" applyFill="1" applyBorder="1" applyAlignment="1" applyProtection="1">
      <alignment horizontal="right" vertical="center" shrinkToFit="1"/>
      <protection locked="0"/>
    </xf>
    <xf numFmtId="0" fontId="6" fillId="0" borderId="0" xfId="1" applyFont="1" applyAlignment="1">
      <alignment horizontal="center" vertical="top"/>
    </xf>
    <xf numFmtId="3" fontId="7" fillId="4" borderId="137" xfId="1" applyNumberFormat="1" applyFont="1" applyFill="1" applyBorder="1" applyAlignment="1" applyProtection="1">
      <alignment horizontal="right" vertical="center" shrinkToFit="1"/>
      <protection locked="0"/>
    </xf>
    <xf numFmtId="0" fontId="9" fillId="0" borderId="0" xfId="1" applyFont="1" applyAlignment="1">
      <alignment horizontal="distributed" vertical="center"/>
    </xf>
    <xf numFmtId="0" fontId="57" fillId="0" borderId="0" xfId="1" applyFont="1" applyAlignment="1">
      <alignment vertical="center" wrapText="1"/>
    </xf>
    <xf numFmtId="0" fontId="3" fillId="0" borderId="0" xfId="1" applyAlignment="1">
      <alignment horizontal="left" vertical="center" wrapText="1"/>
    </xf>
    <xf numFmtId="0" fontId="6" fillId="0" borderId="0" xfId="1" applyFont="1" applyAlignment="1">
      <alignment horizontal="right" vertical="top"/>
    </xf>
    <xf numFmtId="3" fontId="7" fillId="4" borderId="138"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3" fontId="7" fillId="4" borderId="139" xfId="1" applyNumberFormat="1" applyFont="1" applyFill="1" applyBorder="1" applyAlignment="1" applyProtection="1">
      <alignment horizontal="right" vertical="center" shrinkToFit="1"/>
      <protection locked="0"/>
    </xf>
    <xf numFmtId="3" fontId="7" fillId="6" borderId="140" xfId="1" applyNumberFormat="1" applyFont="1" applyFill="1" applyBorder="1" applyAlignment="1" applyProtection="1">
      <alignment horizontal="right" vertical="center" shrinkToFit="1"/>
      <protection locked="0"/>
    </xf>
    <xf numFmtId="3" fontId="7" fillId="6" borderId="14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0" fontId="3" fillId="0" borderId="26" xfId="1" applyBorder="1"/>
    <xf numFmtId="0" fontId="9" fillId="0" borderId="27" xfId="1" applyFont="1" applyBorder="1" applyAlignment="1">
      <alignment vertical="distributed" textRotation="255" justifyLastLine="1"/>
    </xf>
    <xf numFmtId="0" fontId="9" fillId="0" borderId="29" xfId="1" applyFont="1" applyBorder="1" applyAlignment="1">
      <alignment vertical="distributed" textRotation="255" justifyLastLine="1"/>
    </xf>
    <xf numFmtId="0" fontId="9" fillId="0" borderId="0" xfId="1" applyFont="1" applyAlignment="1">
      <alignment vertical="center" wrapText="1" justifyLastLine="1"/>
    </xf>
    <xf numFmtId="0" fontId="46" fillId="0" borderId="0" xfId="1" applyFont="1" applyAlignment="1">
      <alignment horizontal="right" vertical="center" wrapText="1"/>
    </xf>
    <xf numFmtId="0" fontId="46" fillId="0" borderId="0" xfId="1" applyFont="1" applyAlignment="1">
      <alignment horizontal="right" vertical="top"/>
    </xf>
    <xf numFmtId="0" fontId="46" fillId="0" borderId="0" xfId="1" applyFont="1" applyAlignment="1">
      <alignment horizontal="right" vertical="top" wrapText="1"/>
    </xf>
    <xf numFmtId="0" fontId="9" fillId="0" borderId="0" xfId="1" applyFont="1" applyAlignment="1">
      <alignment horizontal="distributed" vertical="center" wrapText="1"/>
    </xf>
    <xf numFmtId="0" fontId="9" fillId="0" borderId="25" xfId="1" applyFont="1" applyBorder="1" applyAlignment="1">
      <alignment horizontal="center" vertical="distributed" textRotation="255" justifyLastLine="1"/>
    </xf>
    <xf numFmtId="3" fontId="7" fillId="4" borderId="25" xfId="1" applyNumberFormat="1" applyFont="1" applyFill="1" applyBorder="1" applyAlignment="1" applyProtection="1">
      <alignment horizontal="right" vertical="center" shrinkToFit="1"/>
      <protection locked="0"/>
    </xf>
    <xf numFmtId="0" fontId="9" fillId="0" borderId="91" xfId="1" applyFont="1" applyBorder="1" applyAlignment="1">
      <alignment vertical="distributed" textRotation="255" justifyLastLine="1"/>
    </xf>
    <xf numFmtId="0" fontId="66" fillId="0" borderId="1" xfId="1" applyFont="1" applyBorder="1" applyAlignment="1">
      <alignment horizontal="center" vertical="center" shrinkToFit="1"/>
    </xf>
    <xf numFmtId="3" fontId="7" fillId="6" borderId="145" xfId="1" applyNumberFormat="1" applyFont="1" applyFill="1" applyBorder="1" applyAlignment="1" applyProtection="1">
      <alignment horizontal="right" vertical="center" shrinkToFit="1"/>
      <protection locked="0"/>
    </xf>
    <xf numFmtId="0" fontId="71" fillId="0" borderId="0" xfId="1" applyFont="1" applyAlignment="1">
      <alignment horizontal="left" vertical="center"/>
    </xf>
    <xf numFmtId="186" fontId="7" fillId="0" borderId="2" xfId="1" applyNumberFormat="1" applyFont="1" applyBorder="1" applyAlignment="1">
      <alignment horizontal="right" vertical="center" shrinkToFit="1"/>
    </xf>
    <xf numFmtId="185"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185" fontId="7" fillId="7" borderId="14" xfId="1" applyNumberFormat="1" applyFont="1" applyFill="1" applyBorder="1" applyAlignment="1" applyProtection="1">
      <alignment horizontal="right" vertical="center" shrinkToFit="1"/>
      <protection locked="0"/>
    </xf>
    <xf numFmtId="3" fontId="7" fillId="6" borderId="149" xfId="1" applyNumberFormat="1" applyFont="1" applyFill="1" applyBorder="1" applyAlignment="1" applyProtection="1">
      <alignment horizontal="right" vertical="center" shrinkToFit="1"/>
      <protection locked="0"/>
    </xf>
    <xf numFmtId="185" fontId="7" fillId="7" borderId="15" xfId="1" applyNumberFormat="1" applyFont="1" applyFill="1" applyBorder="1" applyAlignment="1" applyProtection="1">
      <alignment horizontal="right" vertical="center" shrinkToFit="1"/>
      <protection locked="0"/>
    </xf>
    <xf numFmtId="0" fontId="36" fillId="0" borderId="0" xfId="1" applyFont="1" applyAlignment="1">
      <alignment vertical="center"/>
    </xf>
    <xf numFmtId="0" fontId="3" fillId="0" borderId="0" xfId="1" applyAlignment="1">
      <alignment horizontal="left"/>
    </xf>
    <xf numFmtId="0" fontId="65" fillId="0" borderId="0" xfId="1" applyFont="1" applyAlignment="1">
      <alignment horizontal="left"/>
    </xf>
    <xf numFmtId="3" fontId="7" fillId="6" borderId="153" xfId="1" applyNumberFormat="1" applyFont="1" applyFill="1" applyBorder="1" applyAlignment="1" applyProtection="1">
      <alignment horizontal="right" vertical="center" shrinkToFit="1"/>
      <protection locked="0"/>
    </xf>
    <xf numFmtId="3" fontId="7" fillId="3" borderId="154" xfId="1" applyNumberFormat="1" applyFont="1" applyFill="1" applyBorder="1" applyAlignment="1" applyProtection="1">
      <alignment horizontal="right" vertical="center" shrinkToFit="1"/>
      <protection locked="0"/>
    </xf>
    <xf numFmtId="185" fontId="7" fillId="0" borderId="1" xfId="2" applyNumberFormat="1" applyFont="1" applyFill="1" applyBorder="1" applyAlignment="1" applyProtection="1">
      <alignment horizontal="right" vertical="center" shrinkToFit="1"/>
    </xf>
    <xf numFmtId="3" fontId="7" fillId="6" borderId="156" xfId="1" applyNumberFormat="1" applyFont="1" applyFill="1" applyBorder="1" applyAlignment="1" applyProtection="1">
      <alignment horizontal="right" vertical="center" shrinkToFit="1"/>
      <protection locked="0"/>
    </xf>
    <xf numFmtId="0" fontId="6" fillId="0" borderId="157" xfId="1" applyFont="1" applyBorder="1" applyAlignment="1">
      <alignment horizontal="center" vertical="top"/>
    </xf>
    <xf numFmtId="185" fontId="7" fillId="7" borderId="9" xfId="2" applyNumberFormat="1" applyFont="1" applyFill="1" applyBorder="1" applyAlignment="1" applyProtection="1">
      <alignment horizontal="right" vertical="center" shrinkToFit="1"/>
      <protection locked="0"/>
    </xf>
    <xf numFmtId="0" fontId="25" fillId="0" borderId="158" xfId="1" applyFont="1" applyBorder="1" applyAlignment="1">
      <alignment horizontal="distributed" vertical="center"/>
    </xf>
    <xf numFmtId="0" fontId="25" fillId="0" borderId="159" xfId="1" applyFont="1" applyBorder="1" applyAlignment="1">
      <alignment horizontal="distributed" vertical="center"/>
    </xf>
    <xf numFmtId="0" fontId="3" fillId="0" borderId="160" xfId="1" applyBorder="1" applyAlignment="1">
      <alignment horizontal="center" vertical="center"/>
    </xf>
    <xf numFmtId="0" fontId="55" fillId="0" borderId="161" xfId="1" applyFont="1" applyBorder="1"/>
    <xf numFmtId="0" fontId="3" fillId="0" borderId="162" xfId="1" applyBorder="1"/>
    <xf numFmtId="0" fontId="70" fillId="0" borderId="0" xfId="1" applyFont="1"/>
    <xf numFmtId="0" fontId="34" fillId="0" borderId="161" xfId="1" applyFont="1" applyBorder="1"/>
    <xf numFmtId="0" fontId="33" fillId="0" borderId="161"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2" xfId="1" applyBorder="1" applyAlignment="1">
      <alignment horizontal="left"/>
    </xf>
    <xf numFmtId="0" fontId="9" fillId="0" borderId="161" xfId="1" applyFont="1" applyBorder="1" applyAlignment="1">
      <alignment vertical="center" justifyLastLine="1"/>
    </xf>
    <xf numFmtId="0" fontId="9" fillId="0" borderId="0" xfId="1" applyFont="1" applyAlignment="1">
      <alignment vertical="center" textRotation="255"/>
    </xf>
    <xf numFmtId="0" fontId="9" fillId="0" borderId="162" xfId="1" applyFont="1" applyBorder="1" applyAlignment="1">
      <alignment vertical="center"/>
    </xf>
    <xf numFmtId="0" fontId="9" fillId="0" borderId="161" xfId="1" applyFont="1" applyBorder="1" applyAlignment="1">
      <alignment vertical="distributed" textRotation="255" wrapText="1" justifyLastLine="1"/>
    </xf>
    <xf numFmtId="0" fontId="9" fillId="0" borderId="0" xfId="1" applyFont="1" applyAlignment="1">
      <alignment vertical="distributed" textRotation="255" justifyLastLine="1"/>
    </xf>
    <xf numFmtId="0" fontId="9" fillId="0" borderId="0" xfId="1" applyFont="1" applyAlignment="1">
      <alignment horizontal="left" vertical="center"/>
    </xf>
    <xf numFmtId="0" fontId="46" fillId="0" borderId="162" xfId="1" applyFont="1" applyBorder="1" applyAlignment="1">
      <alignment horizontal="right" vertical="top" wrapText="1"/>
    </xf>
    <xf numFmtId="0" fontId="9" fillId="0" borderId="161" xfId="1" applyFont="1" applyBorder="1" applyAlignment="1">
      <alignment vertical="distributed" textRotation="255" justifyLastLine="1"/>
    </xf>
    <xf numFmtId="0" fontId="3" fillId="0" borderId="162" xfId="1" applyBorder="1" applyAlignment="1">
      <alignment horizontal="center" vertical="center"/>
    </xf>
    <xf numFmtId="49" fontId="9" fillId="0" borderId="0" xfId="1" applyNumberFormat="1" applyFont="1" applyAlignment="1">
      <alignment horizontal="left" vertical="center"/>
    </xf>
    <xf numFmtId="0" fontId="65"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2" xfId="1" applyFont="1" applyBorder="1" applyAlignment="1">
      <alignment horizontal="center" vertical="top"/>
    </xf>
    <xf numFmtId="0" fontId="6" fillId="0" borderId="162" xfId="1" applyFont="1" applyBorder="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61" xfId="1" applyBorder="1"/>
    <xf numFmtId="0" fontId="3" fillId="0" borderId="159" xfId="1" applyBorder="1"/>
    <xf numFmtId="0" fontId="9" fillId="0" borderId="159" xfId="1" applyFont="1" applyBorder="1"/>
    <xf numFmtId="0" fontId="3" fillId="0" borderId="163" xfId="1" applyBorder="1"/>
    <xf numFmtId="0" fontId="9" fillId="0" borderId="164" xfId="1" applyFont="1" applyBorder="1"/>
    <xf numFmtId="0" fontId="3" fillId="0" borderId="165" xfId="1" applyBorder="1"/>
    <xf numFmtId="0" fontId="3" fillId="0" borderId="166" xfId="1" applyBorder="1"/>
    <xf numFmtId="0" fontId="3" fillId="0" borderId="167" xfId="1" applyBorder="1"/>
    <xf numFmtId="0" fontId="3" fillId="0" borderId="168" xfId="1" applyBorder="1"/>
    <xf numFmtId="0" fontId="9" fillId="0" borderId="169" xfId="1" applyFont="1" applyBorder="1" applyAlignment="1">
      <alignment vertical="top" wrapText="1"/>
    </xf>
    <xf numFmtId="0" fontId="3" fillId="0" borderId="170"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4"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4" xfId="1" applyNumberFormat="1" applyFont="1" applyBorder="1" applyAlignment="1">
      <alignment horizontal="right" vertical="center" shrinkToFit="1"/>
    </xf>
    <xf numFmtId="49" fontId="9" fillId="0" borderId="175" xfId="1" applyNumberFormat="1" applyFont="1" applyBorder="1" applyAlignment="1">
      <alignment horizontal="center" vertical="center" shrinkToFit="1"/>
    </xf>
    <xf numFmtId="3" fontId="7" fillId="3" borderId="176" xfId="1" applyNumberFormat="1" applyFont="1" applyFill="1" applyBorder="1" applyAlignment="1" applyProtection="1">
      <alignment horizontal="right" vertical="center" shrinkToFit="1"/>
      <protection locked="0"/>
    </xf>
    <xf numFmtId="49" fontId="9" fillId="4" borderId="179"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0" xfId="1" applyNumberFormat="1" applyFont="1" applyFill="1" applyBorder="1" applyAlignment="1" applyProtection="1">
      <alignment horizontal="center" vertical="center" shrinkToFit="1"/>
      <protection locked="0"/>
    </xf>
    <xf numFmtId="3" fontId="7" fillId="4" borderId="181"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2"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85" xfId="1" applyNumberFormat="1" applyFont="1" applyFill="1" applyBorder="1" applyAlignment="1" applyProtection="1">
      <alignment horizontal="center" vertical="center" shrinkToFit="1"/>
      <protection locked="0"/>
    </xf>
    <xf numFmtId="3" fontId="7" fillId="4" borderId="186" xfId="1" applyNumberFormat="1" applyFont="1" applyFill="1" applyBorder="1" applyAlignment="1" applyProtection="1">
      <alignment horizontal="right" vertical="center" shrinkToFit="1"/>
      <protection locked="0"/>
    </xf>
    <xf numFmtId="49" fontId="9" fillId="3" borderId="189" xfId="1" applyNumberFormat="1" applyFont="1" applyFill="1" applyBorder="1" applyAlignment="1" applyProtection="1">
      <alignment horizontal="center" vertical="center" wrapText="1"/>
      <protection locked="0"/>
    </xf>
    <xf numFmtId="3" fontId="7" fillId="3" borderId="190"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4" fontId="7" fillId="7" borderId="13" xfId="1" applyNumberFormat="1" applyFont="1" applyFill="1" applyBorder="1" applyAlignment="1" applyProtection="1">
      <alignment horizontal="right" vertical="center" shrinkToFit="1"/>
      <protection locked="0"/>
    </xf>
    <xf numFmtId="0" fontId="45" fillId="0" borderId="4" xfId="1" applyFont="1" applyBorder="1" applyAlignment="1">
      <alignment horizontal="center" vertical="center" shrinkToFit="1"/>
    </xf>
    <xf numFmtId="49" fontId="9" fillId="3" borderId="194"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shrinkToFit="1"/>
      <protection locked="0"/>
    </xf>
    <xf numFmtId="4" fontId="7" fillId="7" borderId="14" xfId="1" applyNumberFormat="1" applyFont="1" applyFill="1" applyBorder="1" applyAlignment="1" applyProtection="1">
      <alignment horizontal="right" vertical="center" shrinkToFit="1"/>
      <protection locked="0"/>
    </xf>
    <xf numFmtId="3" fontId="45" fillId="0" borderId="4" xfId="1" applyNumberFormat="1" applyFont="1" applyBorder="1" applyAlignment="1">
      <alignment horizontal="center" vertical="center" shrinkToFit="1"/>
    </xf>
    <xf numFmtId="49" fontId="9" fillId="3" borderId="197"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8" xfId="1" applyNumberFormat="1" applyFont="1" applyFill="1" applyBorder="1" applyAlignment="1" applyProtection="1">
      <alignment horizontal="center" vertical="center" shrinkToFit="1"/>
      <protection locked="0"/>
    </xf>
    <xf numFmtId="4" fontId="7" fillId="7" borderId="199" xfId="1" applyNumberFormat="1" applyFont="1" applyFill="1" applyBorder="1" applyAlignment="1" applyProtection="1">
      <alignment horizontal="right" vertical="center" shrinkToFit="1"/>
      <protection locked="0"/>
    </xf>
    <xf numFmtId="3" fontId="45" fillId="0" borderId="200"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1" xfId="1" applyBorder="1" applyAlignment="1">
      <alignment horizontal="distributed" vertical="center"/>
    </xf>
    <xf numFmtId="0" fontId="24" fillId="0" borderId="201" xfId="1" applyFont="1" applyBorder="1" applyAlignment="1">
      <alignment horizontal="left" vertical="center" wrapText="1"/>
    </xf>
    <xf numFmtId="0" fontId="3" fillId="0" borderId="18" xfId="1" applyBorder="1" applyAlignment="1">
      <alignment horizontal="center" vertical="center"/>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205" xfId="1" applyNumberFormat="1" applyFont="1" applyBorder="1" applyAlignment="1">
      <alignment horizontal="right" vertical="center" shrinkToFit="1"/>
    </xf>
    <xf numFmtId="3" fontId="7" fillId="3" borderId="206" xfId="1" applyNumberFormat="1" applyFont="1" applyFill="1" applyBorder="1" applyAlignment="1" applyProtection="1">
      <alignment horizontal="right" vertical="center" shrinkToFit="1"/>
      <protection locked="0"/>
    </xf>
    <xf numFmtId="49" fontId="9" fillId="4" borderId="207"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8" xfId="1" applyNumberFormat="1" applyFont="1" applyFill="1" applyBorder="1" applyAlignment="1" applyProtection="1">
      <alignment horizontal="center" vertical="center" shrinkToFit="1"/>
      <protection locked="0"/>
    </xf>
    <xf numFmtId="3" fontId="7" fillId="4" borderId="209" xfId="1" applyNumberFormat="1" applyFont="1" applyFill="1" applyBorder="1" applyAlignment="1" applyProtection="1">
      <alignment horizontal="right" vertical="center" shrinkToFit="1"/>
      <protection locked="0"/>
    </xf>
    <xf numFmtId="186" fontId="7" fillId="4" borderId="144" xfId="1" applyNumberFormat="1" applyFont="1" applyFill="1" applyBorder="1" applyAlignment="1" applyProtection="1">
      <alignment horizontal="right" vertical="center" shrinkToFit="1"/>
      <protection locked="0"/>
    </xf>
    <xf numFmtId="3" fontId="7" fillId="4" borderId="210"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11"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3" xfId="1" applyNumberFormat="1" applyFont="1" applyBorder="1" applyAlignment="1">
      <alignment horizontal="center" vertical="center" shrinkToFit="1"/>
    </xf>
    <xf numFmtId="4" fontId="7" fillId="7" borderId="214" xfId="1" applyNumberFormat="1" applyFont="1" applyFill="1" applyBorder="1" applyAlignment="1" applyProtection="1">
      <alignment horizontal="right" vertical="center" shrinkToFit="1"/>
      <protection locked="0"/>
    </xf>
    <xf numFmtId="3" fontId="45" fillId="0" borderId="215"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17" xfId="1" applyNumberFormat="1" applyFont="1" applyFill="1" applyBorder="1" applyAlignment="1" applyProtection="1">
      <alignment horizontal="center" vertical="center" wrapText="1"/>
      <protection locked="0"/>
    </xf>
    <xf numFmtId="3" fontId="7" fillId="3" borderId="218" xfId="1" applyNumberFormat="1" applyFont="1" applyFill="1" applyBorder="1" applyAlignment="1" applyProtection="1">
      <alignment horizontal="right" vertical="center" shrinkToFit="1"/>
      <protection locked="0"/>
    </xf>
    <xf numFmtId="49" fontId="9" fillId="3" borderId="219"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1"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225" xfId="1" applyNumberFormat="1" applyFont="1" applyBorder="1" applyAlignment="1">
      <alignment horizontal="right" vertical="center" shrinkToFit="1"/>
    </xf>
    <xf numFmtId="49" fontId="9" fillId="0" borderId="226" xfId="1" applyNumberFormat="1" applyFont="1" applyBorder="1" applyAlignment="1">
      <alignment horizontal="center" vertical="center" shrinkToFit="1"/>
    </xf>
    <xf numFmtId="3" fontId="7" fillId="3" borderId="227"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228"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32"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0" fillId="0" borderId="0" xfId="1" applyFont="1"/>
    <xf numFmtId="0" fontId="49"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64" xfId="1" applyFont="1" applyBorder="1" applyAlignment="1">
      <alignment vertical="center" wrapText="1"/>
    </xf>
    <xf numFmtId="0" fontId="82"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36" xfId="1" applyNumberFormat="1" applyFont="1" applyBorder="1" applyAlignment="1">
      <alignment horizontal="right" vertical="center" shrinkToFit="1"/>
    </xf>
    <xf numFmtId="49" fontId="9" fillId="0" borderId="237"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3" fontId="7" fillId="3" borderId="71" xfId="1" applyNumberFormat="1" applyFont="1" applyFill="1" applyBorder="1" applyAlignment="1" applyProtection="1">
      <alignment horizontal="right" vertical="center" shrinkToFit="1"/>
      <protection locked="0"/>
    </xf>
    <xf numFmtId="49" fontId="9" fillId="0" borderId="240"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2"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49" fontId="9" fillId="0" borderId="243" xfId="1" applyNumberFormat="1" applyFont="1" applyBorder="1" applyAlignment="1">
      <alignment horizontal="center" vertical="center" shrinkToFit="1"/>
    </xf>
    <xf numFmtId="3" fontId="7" fillId="3" borderId="62" xfId="1" applyNumberFormat="1" applyFont="1" applyFill="1" applyBorder="1" applyAlignment="1" applyProtection="1">
      <alignment horizontal="right" vertical="center" shrinkToFit="1"/>
      <protection locked="0"/>
    </xf>
    <xf numFmtId="49" fontId="9" fillId="0" borderId="244" xfId="1" applyNumberFormat="1" applyFont="1" applyBorder="1" applyAlignment="1">
      <alignment horizontal="center" vertical="center" shrinkToFit="1"/>
    </xf>
    <xf numFmtId="4" fontId="7" fillId="7" borderId="15" xfId="1" applyNumberFormat="1" applyFont="1" applyFill="1" applyBorder="1" applyAlignment="1" applyProtection="1">
      <alignment horizontal="right" vertical="center" shrinkToFit="1"/>
      <protection locked="0"/>
    </xf>
    <xf numFmtId="186" fontId="7" fillId="0" borderId="200" xfId="1" applyNumberFormat="1" applyFont="1" applyBorder="1" applyAlignment="1">
      <alignment horizontal="right" vertical="center" shrinkToFit="1"/>
    </xf>
    <xf numFmtId="0" fontId="60" fillId="0" borderId="246"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140" xfId="1" applyNumberFormat="1" applyFont="1" applyFill="1" applyBorder="1" applyAlignment="1" applyProtection="1">
      <alignment horizontal="right" vertical="center" shrinkToFit="1"/>
      <protection locked="0"/>
    </xf>
    <xf numFmtId="0" fontId="9" fillId="0" borderId="247"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8"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8"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38" fontId="7" fillId="0" borderId="23" xfId="2" applyFont="1" applyFill="1" applyBorder="1" applyAlignment="1" applyProtection="1">
      <alignment vertical="center"/>
    </xf>
    <xf numFmtId="0" fontId="9" fillId="0" borderId="253"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44"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57" xfId="1" applyFont="1" applyBorder="1" applyAlignment="1">
      <alignment vertical="center"/>
    </xf>
    <xf numFmtId="3" fontId="7" fillId="4" borderId="258"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59" xfId="1" applyFont="1" applyBorder="1" applyAlignment="1">
      <alignment horizontal="center" vertical="center" shrinkToFit="1"/>
    </xf>
    <xf numFmtId="49" fontId="9" fillId="0" borderId="260" xfId="1" applyNumberFormat="1" applyFont="1" applyBorder="1" applyAlignment="1">
      <alignment horizontal="center" vertical="center" shrinkToFit="1"/>
    </xf>
    <xf numFmtId="3" fontId="7" fillId="3" borderId="261" xfId="1" applyNumberFormat="1" applyFont="1" applyFill="1" applyBorder="1" applyAlignment="1" applyProtection="1">
      <alignment horizontal="right" vertical="center" shrinkToFit="1"/>
      <protection locked="0"/>
    </xf>
    <xf numFmtId="38" fontId="66" fillId="0" borderId="228"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3"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67"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2"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3" xfId="1" applyFont="1" applyBorder="1" applyAlignment="1">
      <alignment horizontal="distributed" vertical="center"/>
    </xf>
    <xf numFmtId="0" fontId="24" fillId="0" borderId="273"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4" xfId="1" applyNumberFormat="1" applyFont="1" applyFill="1" applyBorder="1" applyAlignment="1" applyProtection="1">
      <alignment horizontal="right" vertical="center" shrinkToFit="1"/>
      <protection locked="0"/>
    </xf>
    <xf numFmtId="38" fontId="66" fillId="0" borderId="278"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0" fontId="83" fillId="0" borderId="287"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92" xfId="1" applyNumberFormat="1" applyFont="1" applyFill="1" applyBorder="1" applyAlignment="1" applyProtection="1">
      <alignment horizontal="right" vertical="center" shrinkToFit="1"/>
      <protection locked="0"/>
    </xf>
    <xf numFmtId="49" fontId="9" fillId="3" borderId="293"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40" fontId="7" fillId="7" borderId="199" xfId="2" applyNumberFormat="1" applyFont="1" applyFill="1" applyBorder="1" applyAlignment="1" applyProtection="1">
      <alignment vertical="center" shrinkToFit="1"/>
      <protection locked="0"/>
    </xf>
    <xf numFmtId="38" fontId="66" fillId="0" borderId="307" xfId="2" applyFont="1" applyFill="1" applyBorder="1" applyAlignment="1" applyProtection="1">
      <alignment horizontal="right" vertical="center" shrinkToFit="1"/>
    </xf>
    <xf numFmtId="3" fontId="7" fillId="3" borderId="284" xfId="1" applyNumberFormat="1" applyFont="1" applyFill="1" applyBorder="1" applyAlignment="1" applyProtection="1">
      <alignment horizontal="right" vertical="center" shrinkToFit="1"/>
      <protection locked="0"/>
    </xf>
    <xf numFmtId="49" fontId="9" fillId="5" borderId="23" xfId="1" applyNumberFormat="1" applyFont="1" applyFill="1" applyBorder="1" applyAlignment="1">
      <alignment horizontal="center" vertical="center" shrinkToFit="1"/>
    </xf>
    <xf numFmtId="3" fontId="7" fillId="4" borderId="308"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3" xfId="1" applyFont="1" applyBorder="1" applyAlignment="1">
      <alignment vertical="distributed" textRotation="255" justifyLastLine="1"/>
    </xf>
    <xf numFmtId="3" fontId="7" fillId="4" borderId="316"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5" xfId="1" applyNumberFormat="1" applyFont="1" applyFill="1" applyBorder="1" applyAlignment="1" applyProtection="1">
      <alignment horizontal="right" vertical="center" shrinkToFit="1"/>
      <protection locked="0"/>
    </xf>
    <xf numFmtId="49" fontId="9" fillId="3" borderId="326"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3" fontId="7" fillId="3" borderId="144"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33"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228" xfId="2" applyFont="1" applyFill="1" applyBorder="1" applyAlignment="1" applyProtection="1">
      <alignment horizontal="right" vertical="center"/>
    </xf>
    <xf numFmtId="38" fontId="66" fillId="0" borderId="307" xfId="2" applyFont="1" applyFill="1" applyBorder="1" applyAlignment="1" applyProtection="1">
      <alignment horizontal="right" vertical="center"/>
    </xf>
    <xf numFmtId="3" fontId="7" fillId="0" borderId="339" xfId="1" applyNumberFormat="1" applyFont="1" applyBorder="1" applyAlignment="1">
      <alignment horizontal="right" vertical="center" shrinkToFit="1"/>
    </xf>
    <xf numFmtId="0" fontId="43" fillId="0" borderId="248"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228" xfId="1" applyNumberFormat="1" applyFont="1" applyBorder="1" applyAlignment="1">
      <alignment horizontal="right" vertical="center" shrinkToFit="1"/>
    </xf>
    <xf numFmtId="3" fontId="66" fillId="0" borderId="228" xfId="1" applyNumberFormat="1" applyFont="1" applyBorder="1" applyAlignment="1">
      <alignment horizontal="center" vertical="center" shrinkToFit="1"/>
    </xf>
    <xf numFmtId="180" fontId="7" fillId="0" borderId="228" xfId="2" applyNumberFormat="1" applyFont="1" applyFill="1" applyBorder="1" applyAlignment="1" applyProtection="1">
      <alignment horizontal="right" vertical="center" shrinkToFit="1"/>
    </xf>
    <xf numFmtId="0" fontId="3" fillId="0" borderId="248" xfId="1" applyBorder="1"/>
    <xf numFmtId="0" fontId="9" fillId="0" borderId="142" xfId="1" applyFont="1" applyBorder="1" applyAlignment="1">
      <alignment horizontal="distributed" vertical="center" justifyLastLine="1"/>
    </xf>
    <xf numFmtId="180" fontId="7" fillId="0" borderId="339"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57" xfId="1" applyBorder="1"/>
    <xf numFmtId="0" fontId="9" fillId="0" borderId="60"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5" fillId="0" borderId="0" xfId="1" applyFont="1" applyAlignment="1">
      <alignment vertical="center" justifyLastLine="1"/>
    </xf>
    <xf numFmtId="0" fontId="85" fillId="0" borderId="0" xfId="1" applyFont="1" applyAlignment="1">
      <alignment vertical="center"/>
    </xf>
    <xf numFmtId="0" fontId="86" fillId="0" borderId="0" xfId="1" applyFont="1" applyAlignment="1">
      <alignment horizontal="right" vertical="center" wrapText="1"/>
    </xf>
    <xf numFmtId="0" fontId="3" fillId="0" borderId="0" xfId="1" applyAlignment="1">
      <alignment vertical="center" wrapText="1"/>
    </xf>
    <xf numFmtId="0" fontId="86" fillId="0" borderId="0" xfId="1" applyFont="1" applyAlignment="1">
      <alignment vertical="center" wrapText="1"/>
    </xf>
    <xf numFmtId="0" fontId="85"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5" fillId="0" borderId="0" xfId="1" applyFont="1" applyAlignment="1">
      <alignment horizontal="distributed" vertical="center" wrapText="1"/>
    </xf>
    <xf numFmtId="0" fontId="85" fillId="0" borderId="0" xfId="1" applyFont="1" applyAlignment="1">
      <alignment horizontal="distributed" vertical="center"/>
    </xf>
    <xf numFmtId="0" fontId="66" fillId="0" borderId="109" xfId="1" applyFont="1" applyBorder="1" applyAlignment="1">
      <alignment horizontal="center" vertical="center"/>
    </xf>
    <xf numFmtId="0" fontId="9" fillId="0" borderId="248" xfId="1" applyFont="1" applyBorder="1" applyAlignment="1">
      <alignment horizontal="distributed" vertical="center" justifyLastLine="1"/>
    </xf>
    <xf numFmtId="0" fontId="77" fillId="0" borderId="0" xfId="1" applyFont="1" applyAlignment="1">
      <alignment horizontal="left" vertical="center" wrapText="1"/>
    </xf>
    <xf numFmtId="0" fontId="45" fillId="0" borderId="0" xfId="1" applyFont="1" applyAlignment="1">
      <alignment horizontal="left" vertical="center" wrapText="1"/>
    </xf>
    <xf numFmtId="0" fontId="9" fillId="0" borderId="248"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48" xfId="1" applyFont="1" applyBorder="1" applyAlignment="1">
      <alignment horizontal="distributed" vertical="center" justifyLastLine="1"/>
    </xf>
    <xf numFmtId="0" fontId="60" fillId="0" borderId="257" xfId="1" applyFont="1" applyBorder="1" applyAlignment="1">
      <alignment horizontal="distributed" vertical="center" justifyLastLine="1"/>
    </xf>
    <xf numFmtId="0" fontId="57" fillId="0" borderId="0" xfId="1" applyFont="1" applyAlignment="1">
      <alignment vertical="top"/>
    </xf>
    <xf numFmtId="0" fontId="25" fillId="0" borderId="248"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8" xfId="1" applyBorder="1" applyAlignment="1">
      <alignment horizontal="distributed" vertical="center" justifyLastLine="1"/>
    </xf>
    <xf numFmtId="0" fontId="87" fillId="0" borderId="0" xfId="1" applyFont="1" applyAlignment="1">
      <alignment horizontal="left" vertical="center" wrapText="1"/>
    </xf>
    <xf numFmtId="0" fontId="3" fillId="0" borderId="257"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8"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0" fillId="0" borderId="0" xfId="1" applyFont="1" applyAlignment="1">
      <alignment horizontal="left" vertical="center" wrapText="1"/>
    </xf>
    <xf numFmtId="0" fontId="89"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87" xfId="1" applyNumberFormat="1" applyFont="1" applyFill="1" applyBorder="1" applyAlignment="1" applyProtection="1">
      <alignment horizontal="right" vertical="center" shrinkToFit="1"/>
      <protection locked="0"/>
    </xf>
    <xf numFmtId="3" fontId="7" fillId="3" borderId="393"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4" xfId="1" applyNumberFormat="1" applyFont="1" applyFill="1" applyBorder="1" applyAlignment="1" applyProtection="1">
      <alignment horizontal="right" vertical="center" shrinkToFit="1"/>
      <protection locked="0"/>
    </xf>
    <xf numFmtId="3" fontId="7" fillId="3" borderId="395"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0"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48" xfId="1" applyFont="1" applyBorder="1" applyAlignment="1">
      <alignment horizontal="distributed" vertical="center" indent="1" shrinkToFit="1"/>
    </xf>
    <xf numFmtId="3" fontId="7" fillId="4" borderId="375"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48" xfId="1" applyFont="1" applyBorder="1" applyAlignment="1">
      <alignment horizontal="distributed" vertical="center" indent="1"/>
    </xf>
    <xf numFmtId="3" fontId="7" fillId="4" borderId="399" xfId="1" applyNumberFormat="1" applyFont="1" applyFill="1" applyBorder="1" applyAlignment="1" applyProtection="1">
      <alignment horizontal="right" vertical="center" shrinkToFit="1"/>
      <protection locked="0"/>
    </xf>
    <xf numFmtId="0" fontId="3" fillId="0" borderId="401" xfId="1" applyBorder="1" applyAlignment="1">
      <alignment horizontal="distributed" vertical="center" indent="1"/>
    </xf>
    <xf numFmtId="3" fontId="7" fillId="3" borderId="403"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57"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8" xfId="1" applyNumberFormat="1" applyFont="1" applyFill="1" applyBorder="1" applyAlignment="1" applyProtection="1">
      <alignment horizontal="right" vertical="center" shrinkToFit="1"/>
      <protection locked="0"/>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3"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228" xfId="2" applyNumberFormat="1" applyFont="1" applyFill="1" applyBorder="1" applyAlignment="1" applyProtection="1">
      <alignment vertical="center" shrinkToFit="1"/>
    </xf>
    <xf numFmtId="0" fontId="33" fillId="0" borderId="412"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3"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39" xfId="3" applyNumberFormat="1" applyFont="1" applyFill="1" applyBorder="1" applyAlignment="1" applyProtection="1">
      <alignment horizontal="center" vertical="center" wrapText="1"/>
      <protection locked="0"/>
    </xf>
    <xf numFmtId="0" fontId="9" fillId="3" borderId="414" xfId="1" applyFont="1" applyFill="1" applyBorder="1" applyAlignment="1" applyProtection="1">
      <alignment horizontal="center" vertical="center" shrinkToFit="1"/>
      <protection locked="0"/>
    </xf>
    <xf numFmtId="0" fontId="9" fillId="3" borderId="415" xfId="3" applyFont="1" applyFill="1" applyBorder="1" applyAlignment="1" applyProtection="1">
      <alignment horizontal="center" vertical="center" shrinkToFit="1"/>
      <protection locked="0"/>
    </xf>
    <xf numFmtId="189" fontId="7" fillId="3" borderId="181" xfId="3" applyNumberFormat="1" applyFont="1" applyFill="1" applyBorder="1" applyAlignment="1" applyProtection="1">
      <alignment horizontal="center" vertical="center" shrinkToFit="1"/>
      <protection locked="0"/>
    </xf>
    <xf numFmtId="0" fontId="7" fillId="3" borderId="181" xfId="3" applyFont="1" applyFill="1" applyBorder="1" applyAlignment="1" applyProtection="1">
      <alignment horizontal="center" vertical="center" shrinkToFit="1"/>
      <protection locked="0"/>
    </xf>
    <xf numFmtId="177" fontId="7" fillId="3" borderId="181" xfId="3" applyNumberFormat="1" applyFont="1" applyFill="1" applyBorder="1" applyAlignment="1" applyProtection="1">
      <alignment horizontal="center" vertical="center" shrinkToFit="1"/>
      <protection locked="0"/>
    </xf>
    <xf numFmtId="3" fontId="7" fillId="3" borderId="417" xfId="3" applyNumberFormat="1" applyFont="1" applyFill="1" applyBorder="1" applyAlignment="1" applyProtection="1">
      <alignment horizontal="right" vertical="center" shrinkToFit="1"/>
      <protection locked="0"/>
    </xf>
    <xf numFmtId="3" fontId="7" fillId="3" borderId="417" xfId="1" applyNumberFormat="1" applyFont="1" applyFill="1" applyBorder="1" applyAlignment="1" applyProtection="1">
      <alignment horizontal="right" vertical="center" shrinkToFit="1"/>
      <protection locked="0"/>
    </xf>
    <xf numFmtId="3" fontId="7" fillId="3" borderId="181" xfId="1"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415" xfId="3" applyFont="1" applyFill="1" applyBorder="1" applyAlignment="1" applyProtection="1">
      <alignment horizontal="center" vertical="center" shrinkToFit="1"/>
      <protection locked="0"/>
    </xf>
    <xf numFmtId="0" fontId="94" fillId="0" borderId="287" xfId="1" applyFont="1" applyBorder="1" applyAlignment="1">
      <alignment horizontal="center" vertical="center" shrinkToFit="1"/>
    </xf>
    <xf numFmtId="3" fontId="94"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7" xfId="2" applyFont="1" applyFill="1" applyBorder="1" applyAlignment="1" applyProtection="1">
      <alignment horizontal="right" vertical="center" shrinkToFit="1"/>
    </xf>
    <xf numFmtId="0" fontId="9" fillId="0" borderId="144"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1" xfId="1" applyFont="1" applyFill="1" applyBorder="1" applyAlignment="1" applyProtection="1">
      <alignment horizontal="center" vertical="center" shrinkToFit="1"/>
      <protection locked="0"/>
    </xf>
    <xf numFmtId="0" fontId="9" fillId="3" borderId="422"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72"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3"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5" xfId="1" applyFont="1" applyFill="1" applyBorder="1" applyAlignment="1" applyProtection="1">
      <alignment horizontal="center" vertical="center" shrinkToFit="1"/>
      <protection locked="0"/>
    </xf>
    <xf numFmtId="0" fontId="9" fillId="3" borderId="426"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72"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98" xfId="3" applyNumberFormat="1" applyFont="1" applyFill="1" applyBorder="1" applyAlignment="1" applyProtection="1">
      <alignment horizontal="right" vertical="center" shrinkToFit="1"/>
      <protection locked="0"/>
    </xf>
    <xf numFmtId="0" fontId="3" fillId="0" borderId="429"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72" xfId="3" applyFont="1" applyBorder="1" applyAlignment="1">
      <alignment vertical="center" wrapText="1"/>
    </xf>
    <xf numFmtId="0" fontId="9" fillId="0" borderId="410" xfId="3" applyFont="1" applyBorder="1" applyAlignment="1">
      <alignment vertical="center" wrapText="1"/>
    </xf>
    <xf numFmtId="0" fontId="9" fillId="0" borderId="35"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31" xfId="3" applyFont="1" applyFill="1" applyBorder="1" applyAlignment="1" applyProtection="1">
      <alignment horizontal="center" vertical="center" shrinkToFit="1"/>
      <protection locked="0"/>
    </xf>
    <xf numFmtId="0" fontId="60" fillId="3" borderId="261"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5" fillId="0" borderId="0" xfId="1" applyNumberFormat="1" applyFont="1" applyAlignment="1">
      <alignment horizontal="center" vertical="center" shrinkToFit="1"/>
    </xf>
    <xf numFmtId="187" fontId="7" fillId="7" borderId="432" xfId="3" applyNumberFormat="1" applyFont="1" applyFill="1" applyBorder="1" applyAlignment="1" applyProtection="1">
      <alignment horizontal="center" vertical="center" shrinkToFit="1"/>
      <protection locked="0"/>
    </xf>
    <xf numFmtId="187" fontId="7" fillId="7" borderId="433" xfId="3" applyNumberFormat="1" applyFont="1" applyFill="1" applyBorder="1" applyAlignment="1" applyProtection="1">
      <alignment horizontal="center" vertical="center" shrinkToFit="1"/>
      <protection locked="0"/>
    </xf>
    <xf numFmtId="38" fontId="7" fillId="0" borderId="434"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44" xfId="3" applyFont="1" applyBorder="1" applyAlignment="1">
      <alignment horizontal="center" vertical="center"/>
    </xf>
    <xf numFmtId="0" fontId="60" fillId="3" borderId="435" xfId="3" applyFont="1" applyFill="1" applyBorder="1" applyAlignment="1" applyProtection="1">
      <alignment horizontal="center" vertical="center" shrinkToFit="1"/>
      <protection locked="0"/>
    </xf>
    <xf numFmtId="0" fontId="60" fillId="3" borderId="422" xfId="3" applyFont="1" applyFill="1" applyBorder="1" applyAlignment="1" applyProtection="1">
      <alignment horizontal="center" vertical="center" shrinkToFit="1"/>
      <protection locked="0"/>
    </xf>
    <xf numFmtId="0" fontId="72"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00"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6" xfId="3" applyFont="1" applyFill="1" applyBorder="1" applyAlignment="1" applyProtection="1">
      <alignment horizontal="center" vertical="center" shrinkToFit="1"/>
      <protection locked="0"/>
    </xf>
    <xf numFmtId="0" fontId="60" fillId="3" borderId="437"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72" fillId="3" borderId="27" xfId="3" applyFont="1" applyFill="1" applyBorder="1" applyAlignment="1" applyProtection="1">
      <alignment horizontal="center" vertical="center" shrinkToFit="1"/>
      <protection locked="0"/>
    </xf>
    <xf numFmtId="177" fontId="72"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8"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9" xfId="3" applyNumberFormat="1" applyFont="1" applyFill="1" applyBorder="1" applyAlignment="1" applyProtection="1">
      <alignment horizontal="right" vertical="center" shrinkToFit="1"/>
      <protection locked="0"/>
    </xf>
    <xf numFmtId="0" fontId="60" fillId="0" borderId="144" xfId="3" applyFont="1" applyBorder="1" applyAlignment="1">
      <alignment horizontal="center" vertical="center" shrinkToFit="1"/>
    </xf>
    <xf numFmtId="0" fontId="60" fillId="3" borderId="440"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72"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6"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228" xfId="1" applyFont="1" applyBorder="1"/>
    <xf numFmtId="0" fontId="33" fillId="0" borderId="4" xfId="1" applyFont="1" applyBorder="1" applyAlignment="1">
      <alignment horizontal="center" vertical="center" shrinkToFit="1"/>
    </xf>
    <xf numFmtId="0" fontId="60" fillId="0" borderId="410"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2" xfId="2" applyFont="1" applyFill="1" applyBorder="1" applyAlignment="1" applyProtection="1">
      <alignment horizontal="right" vertical="center" shrinkToFit="1"/>
    </xf>
    <xf numFmtId="38" fontId="97" fillId="0" borderId="412"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0" xfId="2" applyNumberFormat="1" applyFont="1" applyFill="1" applyBorder="1" applyAlignment="1" applyProtection="1">
      <alignment horizontal="right" vertical="center" shrinkToFit="1"/>
    </xf>
    <xf numFmtId="0" fontId="60" fillId="3" borderId="443" xfId="3" applyFont="1" applyFill="1" applyBorder="1" applyAlignment="1" applyProtection="1">
      <alignment horizontal="center" vertical="center" shrinkToFit="1"/>
      <protection locked="0"/>
    </xf>
    <xf numFmtId="0" fontId="60" fillId="3" borderId="444" xfId="3" applyFont="1" applyFill="1" applyBorder="1" applyAlignment="1" applyProtection="1">
      <alignment horizontal="center" vertical="center" shrinkToFit="1"/>
      <protection locked="0"/>
    </xf>
    <xf numFmtId="0" fontId="60" fillId="3" borderId="287" xfId="3" applyFont="1" applyFill="1" applyBorder="1" applyAlignment="1" applyProtection="1">
      <alignment horizontal="center" vertical="center" shrinkToFit="1"/>
      <protection locked="0"/>
    </xf>
    <xf numFmtId="0" fontId="60" fillId="3" borderId="445"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6" xfId="3" applyNumberFormat="1" applyFont="1" applyFill="1" applyBorder="1" applyAlignment="1" applyProtection="1">
      <alignment horizontal="center" vertical="center" shrinkToFit="1"/>
      <protection locked="0"/>
    </xf>
    <xf numFmtId="187" fontId="7" fillId="7" borderId="447"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8"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228"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85"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3"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6"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2" xfId="1" applyFont="1" applyBorder="1"/>
    <xf numFmtId="0" fontId="33" fillId="0" borderId="472" xfId="1" applyFont="1" applyBorder="1" applyAlignment="1">
      <alignment vertical="center"/>
    </xf>
    <xf numFmtId="0" fontId="70"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2"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1" xfId="1" applyNumberFormat="1" applyFont="1" applyFill="1" applyBorder="1" applyAlignment="1" applyProtection="1">
      <alignment horizontal="right" vertical="center" shrinkToFit="1"/>
      <protection locked="0"/>
    </xf>
    <xf numFmtId="0" fontId="7" fillId="6" borderId="477" xfId="1" applyFont="1" applyFill="1" applyBorder="1" applyAlignment="1" applyProtection="1">
      <alignment horizontal="center" vertical="center" shrinkToFit="1"/>
      <protection locked="0"/>
    </xf>
    <xf numFmtId="0" fontId="7" fillId="6" borderId="478" xfId="1" applyFont="1" applyFill="1" applyBorder="1" applyAlignment="1">
      <alignment horizontal="center" vertical="center" shrinkToFit="1"/>
    </xf>
    <xf numFmtId="180" fontId="7" fillId="7" borderId="214"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3"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1"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3" xfId="1" applyFont="1" applyFill="1" applyBorder="1" applyAlignment="1" applyProtection="1">
      <alignment horizontal="center" vertical="center" shrinkToFit="1"/>
      <protection locked="0"/>
    </xf>
    <xf numFmtId="0" fontId="7" fillId="6" borderId="484" xfId="1" applyFont="1" applyFill="1" applyBorder="1" applyAlignment="1">
      <alignment horizontal="center" vertical="center" shrinkToFit="1"/>
    </xf>
    <xf numFmtId="180" fontId="7" fillId="7" borderId="199"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1" xfId="1" applyFont="1" applyBorder="1" applyAlignment="1">
      <alignment vertical="top" shrinkToFit="1"/>
    </xf>
    <xf numFmtId="0" fontId="36" fillId="0" borderId="0" xfId="1" applyFont="1" applyAlignment="1">
      <alignment vertical="top" shrinkToFit="1"/>
    </xf>
    <xf numFmtId="0" fontId="36" fillId="0" borderId="429" xfId="1" applyFont="1" applyBorder="1" applyAlignment="1">
      <alignment vertical="top" shrinkToFit="1"/>
    </xf>
    <xf numFmtId="0" fontId="36" fillId="0" borderId="472"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2"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5"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6"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79" xfId="1" applyFont="1" applyFill="1" applyBorder="1" applyAlignment="1" applyProtection="1">
      <alignment horizontal="center" vertical="center" shrinkToFit="1"/>
      <protection locked="0"/>
    </xf>
    <xf numFmtId="0" fontId="7" fillId="6" borderId="487" xfId="1" applyFont="1" applyFill="1" applyBorder="1" applyAlignment="1">
      <alignment horizontal="center" vertical="center" shrinkToFit="1"/>
    </xf>
    <xf numFmtId="0" fontId="83" fillId="0" borderId="488"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9" xfId="1" applyFont="1" applyFill="1" applyBorder="1" applyAlignment="1" applyProtection="1">
      <alignment horizontal="center" vertical="center" shrinkToFit="1"/>
      <protection locked="0"/>
    </xf>
    <xf numFmtId="0" fontId="7" fillId="6" borderId="490"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8" xfId="1" applyFont="1" applyBorder="1" applyAlignment="1">
      <alignment horizontal="center" vertical="center" shrinkToFit="1"/>
    </xf>
    <xf numFmtId="0" fontId="3" fillId="0" borderId="135" xfId="1" applyBorder="1"/>
    <xf numFmtId="0" fontId="59" fillId="0" borderId="0" xfId="1" applyFont="1" applyAlignment="1">
      <alignment horizontal="center" vertical="center"/>
    </xf>
    <xf numFmtId="0" fontId="3" fillId="0" borderId="0" xfId="1" applyAlignment="1">
      <alignment horizontal="right" vertical="top"/>
    </xf>
    <xf numFmtId="0" fontId="9" fillId="0" borderId="30"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6" xfId="1" applyNumberFormat="1" applyFont="1" applyFill="1" applyBorder="1" applyAlignment="1" applyProtection="1">
      <alignment horizontal="right" vertical="center" shrinkToFit="1"/>
      <protection locked="0"/>
    </xf>
    <xf numFmtId="186" fontId="7" fillId="3" borderId="497" xfId="1" applyNumberFormat="1" applyFont="1" applyFill="1" applyBorder="1" applyAlignment="1" applyProtection="1">
      <alignment horizontal="right" vertical="center" shrinkToFit="1"/>
      <protection locked="0"/>
    </xf>
    <xf numFmtId="186" fontId="7" fillId="3" borderId="498" xfId="1" applyNumberFormat="1" applyFont="1" applyFill="1" applyBorder="1" applyAlignment="1" applyProtection="1">
      <alignment horizontal="right" vertical="center" shrinkToFit="1"/>
      <protection locked="0"/>
    </xf>
    <xf numFmtId="186" fontId="7" fillId="3" borderId="499" xfId="1" applyNumberFormat="1" applyFont="1" applyFill="1" applyBorder="1" applyAlignment="1" applyProtection="1">
      <alignment horizontal="right" vertical="center" shrinkToFit="1"/>
      <protection locked="0"/>
    </xf>
    <xf numFmtId="186" fontId="7" fillId="3" borderId="500" xfId="1" applyNumberFormat="1" applyFont="1" applyFill="1" applyBorder="1" applyAlignment="1" applyProtection="1">
      <alignment horizontal="right" vertical="center" shrinkToFit="1"/>
      <protection locked="0"/>
    </xf>
    <xf numFmtId="186" fontId="7" fillId="3" borderId="501" xfId="1" applyNumberFormat="1" applyFont="1" applyFill="1" applyBorder="1" applyAlignment="1" applyProtection="1">
      <alignment horizontal="right" vertical="center" shrinkToFit="1"/>
      <protection locked="0"/>
    </xf>
    <xf numFmtId="0" fontId="9" fillId="0" borderId="247"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6" xfId="1" applyNumberFormat="1" applyFont="1" applyFill="1" applyBorder="1" applyAlignment="1" applyProtection="1">
      <alignment horizontal="right" vertical="center" shrinkToFit="1"/>
      <protection locked="0"/>
    </xf>
    <xf numFmtId="186" fontId="7" fillId="3" borderId="207" xfId="1" applyNumberFormat="1" applyFont="1" applyFill="1" applyBorder="1" applyAlignment="1" applyProtection="1">
      <alignment horizontal="right" vertical="center" shrinkToFit="1"/>
      <protection locked="0"/>
    </xf>
    <xf numFmtId="186" fontId="7" fillId="3" borderId="503" xfId="1" applyNumberFormat="1" applyFont="1" applyFill="1" applyBorder="1" applyAlignment="1" applyProtection="1">
      <alignment horizontal="right" vertical="center" shrinkToFit="1"/>
      <protection locked="0"/>
    </xf>
    <xf numFmtId="0" fontId="9" fillId="0" borderId="479"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5"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3" borderId="5" xfId="1" applyNumberFormat="1" applyFont="1" applyFill="1" applyBorder="1" applyAlignment="1" applyProtection="1">
      <alignment horizontal="right" vertical="center" shrinkToFit="1"/>
      <protection locked="0"/>
    </xf>
    <xf numFmtId="186" fontId="7" fillId="3" borderId="508" xfId="1" applyNumberFormat="1" applyFont="1" applyFill="1" applyBorder="1" applyAlignment="1" applyProtection="1">
      <alignment horizontal="right" vertical="center" shrinkToFit="1"/>
      <protection locked="0"/>
    </xf>
    <xf numFmtId="186" fontId="7" fillId="0" borderId="510" xfId="1" applyNumberFormat="1" applyFont="1" applyBorder="1" applyAlignment="1" applyProtection="1">
      <alignment horizontal="center" vertical="center" shrinkToFit="1"/>
      <protection locked="0"/>
    </xf>
    <xf numFmtId="0" fontId="9" fillId="0" borderId="511" xfId="1" applyFont="1" applyBorder="1" applyAlignment="1">
      <alignment vertical="center" wrapText="1" justifyLastLine="1"/>
    </xf>
    <xf numFmtId="0" fontId="9" fillId="0" borderId="513" xfId="1" applyFont="1" applyBorder="1" applyAlignment="1">
      <alignment vertical="center" wrapText="1" justifyLastLine="1"/>
    </xf>
    <xf numFmtId="186" fontId="7" fillId="3" borderId="516" xfId="1" applyNumberFormat="1" applyFont="1" applyFill="1" applyBorder="1" applyAlignment="1" applyProtection="1">
      <alignment horizontal="right" vertical="center" shrinkToFit="1"/>
      <protection locked="0"/>
    </xf>
    <xf numFmtId="186" fontId="7" fillId="3" borderId="517" xfId="1" applyNumberFormat="1" applyFont="1" applyFill="1" applyBorder="1" applyAlignment="1" applyProtection="1">
      <alignment horizontal="right" vertical="center" shrinkToFit="1"/>
      <protection locked="0"/>
    </xf>
    <xf numFmtId="186" fontId="7" fillId="3" borderId="519" xfId="1" applyNumberFormat="1" applyFont="1" applyFill="1" applyBorder="1" applyAlignment="1" applyProtection="1">
      <alignment horizontal="right" vertical="center" shrinkToFit="1"/>
      <protection locked="0"/>
    </xf>
    <xf numFmtId="0" fontId="9" fillId="0" borderId="520" xfId="1" applyFont="1" applyBorder="1" applyAlignment="1">
      <alignment vertical="center" wrapText="1" justifyLastLine="1"/>
    </xf>
    <xf numFmtId="0" fontId="36" fillId="0" borderId="521"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99" fillId="0" borderId="0" xfId="1" applyFont="1" applyAlignment="1">
      <alignment vertical="center"/>
    </xf>
    <xf numFmtId="0" fontId="99"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0" fillId="0" borderId="0" xfId="1" applyFont="1" applyAlignment="1">
      <alignment horizontal="distributed" vertical="center" justifyLastLine="1"/>
    </xf>
    <xf numFmtId="0" fontId="66" fillId="0" borderId="1" xfId="4" applyFont="1" applyBorder="1" applyAlignment="1">
      <alignment horizontal="center" vertical="center"/>
    </xf>
    <xf numFmtId="0" fontId="9" fillId="7" borderId="432" xfId="4" applyFont="1" applyFill="1" applyBorder="1" applyAlignment="1" applyProtection="1">
      <alignment horizontal="center" vertical="center" wrapText="1"/>
      <protection locked="0"/>
    </xf>
    <xf numFmtId="180" fontId="7" fillId="7" borderId="433" xfId="5" applyNumberFormat="1" applyFont="1" applyFill="1" applyBorder="1" applyAlignment="1" applyProtection="1">
      <alignment horizontal="right" vertical="center" shrinkToFit="1"/>
      <protection locked="0"/>
    </xf>
    <xf numFmtId="0" fontId="9" fillId="7" borderId="200"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6" xfId="4" applyFont="1" applyFill="1" applyBorder="1" applyAlignment="1" applyProtection="1">
      <alignment horizontal="center" vertical="center" wrapText="1"/>
      <protection locked="0"/>
    </xf>
    <xf numFmtId="180" fontId="7" fillId="7" borderId="527"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0" borderId="0" xfId="6" applyFont="1" applyFill="1">
      <alignment vertical="center"/>
    </xf>
    <xf numFmtId="0" fontId="9" fillId="0" borderId="528" xfId="6" quotePrefix="1" applyFont="1" applyBorder="1" applyAlignment="1">
      <alignment horizontal="center" vertical="center"/>
    </xf>
    <xf numFmtId="0" fontId="9" fillId="0" borderId="6" xfId="6" applyFont="1" applyBorder="1" applyAlignment="1">
      <alignment vertical="center" wrapText="1" shrinkToFit="1"/>
    </xf>
    <xf numFmtId="0" fontId="9" fillId="0" borderId="528"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151" xfId="1" applyNumberFormat="1" applyFont="1" applyBorder="1" applyAlignment="1">
      <alignment horizontal="center" vertical="center" shrinkToFit="1"/>
    </xf>
    <xf numFmtId="191" fontId="7" fillId="3" borderId="421"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228" xfId="2" applyNumberFormat="1" applyFont="1" applyFill="1" applyBorder="1" applyAlignment="1" applyProtection="1">
      <alignment horizontal="right" vertical="center" shrinkToFit="1"/>
    </xf>
    <xf numFmtId="191" fontId="7" fillId="3" borderId="6"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516"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0" borderId="509" xfId="1" applyNumberFormat="1" applyFont="1" applyBorder="1" applyAlignment="1" applyProtection="1">
      <alignment horizontal="center" vertical="center" shrinkToFit="1"/>
      <protection locked="0"/>
    </xf>
    <xf numFmtId="191" fontId="7" fillId="3" borderId="518" xfId="1" applyNumberFormat="1" applyFont="1" applyFill="1" applyBorder="1" applyAlignment="1" applyProtection="1">
      <alignment horizontal="right" vertical="center" shrinkToFit="1"/>
      <protection locked="0"/>
    </xf>
    <xf numFmtId="0" fontId="7" fillId="3" borderId="206" xfId="1" applyFont="1" applyFill="1" applyBorder="1" applyAlignment="1" applyProtection="1">
      <alignment horizontal="center" vertical="center" shrinkToFit="1"/>
      <protection locked="0"/>
    </xf>
    <xf numFmtId="0" fontId="7" fillId="4" borderId="215" xfId="1" applyFont="1" applyFill="1" applyBorder="1" applyAlignment="1" applyProtection="1">
      <alignment horizontal="center" vertical="center" shrinkToFit="1"/>
      <protection locked="0"/>
    </xf>
    <xf numFmtId="0" fontId="7" fillId="4" borderId="234" xfId="1" applyFont="1" applyFill="1" applyBorder="1" applyAlignment="1" applyProtection="1">
      <alignment horizontal="center" vertical="center" shrinkToFit="1"/>
      <protection locked="0"/>
    </xf>
    <xf numFmtId="0" fontId="7" fillId="4" borderId="200" xfId="1" applyFont="1" applyFill="1" applyBorder="1" applyAlignment="1" applyProtection="1">
      <alignment horizontal="center" vertical="center" shrinkToFit="1"/>
      <protection locked="0"/>
    </xf>
    <xf numFmtId="0" fontId="7" fillId="4" borderId="238" xfId="1" applyFont="1" applyFill="1" applyBorder="1" applyAlignment="1" applyProtection="1">
      <alignment horizontal="center" vertical="center" shrinkToFit="1"/>
      <protection locked="0"/>
    </xf>
    <xf numFmtId="0" fontId="7" fillId="3" borderId="241" xfId="1" applyFont="1" applyFill="1" applyBorder="1" applyAlignment="1" applyProtection="1">
      <alignment horizontal="center" vertical="center"/>
      <protection locked="0"/>
    </xf>
    <xf numFmtId="0" fontId="7" fillId="3" borderId="243" xfId="1" applyFont="1" applyFill="1" applyBorder="1" applyAlignment="1" applyProtection="1">
      <alignment horizontal="center" vertical="center"/>
      <protection locked="0"/>
    </xf>
    <xf numFmtId="0" fontId="7" fillId="3" borderId="245" xfId="1" applyFont="1" applyFill="1" applyBorder="1" applyAlignment="1" applyProtection="1">
      <alignment horizontal="center" vertical="center"/>
      <protection locked="0"/>
    </xf>
    <xf numFmtId="0" fontId="7" fillId="4" borderId="251" xfId="1" applyFont="1" applyFill="1" applyBorder="1" applyAlignment="1" applyProtection="1">
      <alignment horizontal="center" vertical="center" shrinkToFit="1"/>
      <protection locked="0"/>
    </xf>
    <xf numFmtId="0" fontId="7" fillId="4" borderId="252" xfId="1" applyFont="1" applyFill="1" applyBorder="1" applyAlignment="1" applyProtection="1">
      <alignment horizontal="center" vertical="center" shrinkToFit="1"/>
      <protection locked="0"/>
    </xf>
    <xf numFmtId="0" fontId="7" fillId="3" borderId="391" xfId="1" applyFont="1" applyFill="1" applyBorder="1" applyAlignment="1" applyProtection="1">
      <alignment horizontal="center" vertical="center" shrinkToFit="1"/>
      <protection locked="0"/>
    </xf>
    <xf numFmtId="0" fontId="7" fillId="3" borderId="243" xfId="1" applyFont="1" applyFill="1" applyBorder="1" applyAlignment="1" applyProtection="1">
      <alignment horizontal="center" vertical="center" shrinkToFit="1"/>
      <protection locked="0"/>
    </xf>
    <xf numFmtId="0" fontId="7" fillId="3" borderId="396" xfId="1" applyFont="1" applyFill="1" applyBorder="1" applyAlignment="1" applyProtection="1">
      <alignment horizontal="center" vertical="center" shrinkToFit="1"/>
      <protection locked="0"/>
    </xf>
    <xf numFmtId="0" fontId="7" fillId="3" borderId="398"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400"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407" xfId="1" applyFont="1" applyFill="1" applyBorder="1" applyAlignment="1" applyProtection="1">
      <alignment horizontal="center"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241" xfId="3" applyFont="1" applyFill="1" applyBorder="1" applyAlignment="1" applyProtection="1">
      <alignment horizontal="center" vertical="center" shrinkToFit="1"/>
      <protection locked="0"/>
    </xf>
    <xf numFmtId="0" fontId="7" fillId="3" borderId="243" xfId="3" applyFont="1" applyFill="1" applyBorder="1" applyAlignment="1" applyProtection="1">
      <alignment horizontal="center" vertical="center" shrinkToFit="1"/>
      <protection locked="0"/>
    </xf>
    <xf numFmtId="0" fontId="7" fillId="3" borderId="396" xfId="3" applyFont="1" applyFill="1" applyBorder="1" applyAlignment="1" applyProtection="1">
      <alignment horizontal="center" vertical="center" shrinkToFit="1"/>
      <protection locked="0"/>
    </xf>
    <xf numFmtId="0" fontId="7" fillId="3" borderId="398" xfId="3" applyFont="1" applyFill="1" applyBorder="1" applyAlignment="1" applyProtection="1">
      <alignment horizontal="center" vertical="center" shrinkToFit="1"/>
      <protection locked="0"/>
    </xf>
    <xf numFmtId="0" fontId="7" fillId="3" borderId="133"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3" borderId="482" xfId="1" applyFont="1" applyFill="1" applyBorder="1" applyAlignment="1" applyProtection="1">
      <alignment horizontal="center" vertical="center" shrinkToFit="1"/>
      <protection locked="0"/>
    </xf>
    <xf numFmtId="0" fontId="7" fillId="3" borderId="483" xfId="1" applyFont="1" applyFill="1" applyBorder="1" applyAlignment="1" applyProtection="1">
      <alignment horizontal="center"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4" xfId="3" applyFont="1" applyFill="1" applyBorder="1" applyAlignment="1" applyProtection="1">
      <alignment horizontal="center" vertical="center" shrinkToFit="1"/>
      <protection locked="0"/>
    </xf>
    <xf numFmtId="0" fontId="7" fillId="7" borderId="428"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9" fillId="0" borderId="31" xfId="1" applyFont="1" applyBorder="1" applyAlignment="1">
      <alignment horizontal="center" vertical="center"/>
    </xf>
    <xf numFmtId="0" fontId="9" fillId="0" borderId="35" xfId="1" applyFont="1" applyBorder="1" applyAlignment="1">
      <alignment horizontal="center" vertical="center"/>
    </xf>
    <xf numFmtId="0" fontId="45" fillId="0" borderId="31"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0" xfId="1" applyFont="1" applyBorder="1" applyAlignment="1">
      <alignment horizontal="center" vertical="center" justifyLastLine="1"/>
    </xf>
    <xf numFmtId="0" fontId="44" fillId="0" borderId="34"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31"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5"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3" fillId="0" borderId="18" xfId="1" applyBorder="1" applyAlignment="1">
      <alignment horizontal="distributed" vertical="center" justifyLastLine="1"/>
    </xf>
    <xf numFmtId="0" fontId="3" fillId="0" borderId="30" xfId="1" applyBorder="1" applyAlignment="1">
      <alignment horizontal="distributed" vertical="center" justifyLastLine="1"/>
    </xf>
    <xf numFmtId="0" fontId="3" fillId="0" borderId="21" xfId="1" applyBorder="1" applyAlignment="1">
      <alignment horizontal="distributed" vertical="center" justifyLastLine="1"/>
    </xf>
    <xf numFmtId="0" fontId="3" fillId="0" borderId="66" xfId="1" applyBorder="1" applyAlignment="1">
      <alignment horizontal="distributed" vertical="center" justifyLastLine="1"/>
    </xf>
    <xf numFmtId="0" fontId="9" fillId="0" borderId="131" xfId="1" applyFont="1" applyBorder="1" applyAlignment="1">
      <alignment horizontal="center" vertical="center"/>
    </xf>
    <xf numFmtId="0" fontId="9" fillId="0" borderId="50" xfId="1" applyFont="1" applyBorder="1" applyAlignment="1">
      <alignment horizontal="distributed" vertical="center" justifyLastLine="1"/>
    </xf>
    <xf numFmtId="0" fontId="9" fillId="0" borderId="132" xfId="1" applyFont="1" applyBorder="1" applyAlignment="1">
      <alignment horizontal="distributed" vertical="center" justifyLastLine="1"/>
    </xf>
    <xf numFmtId="0" fontId="9" fillId="0" borderId="31" xfId="1" applyFont="1" applyBorder="1" applyAlignment="1">
      <alignment horizontal="distributed" vertical="distributed" justifyLastLine="1"/>
    </xf>
    <xf numFmtId="0" fontId="9" fillId="0" borderId="18" xfId="1" applyFont="1" applyBorder="1" applyAlignment="1">
      <alignment horizontal="distributed" vertical="distributed" justifyLastLine="1"/>
    </xf>
    <xf numFmtId="0" fontId="36" fillId="0" borderId="68" xfId="1" applyFont="1" applyBorder="1" applyAlignment="1">
      <alignment horizontal="left" vertical="center" wrapText="1"/>
    </xf>
    <xf numFmtId="0" fontId="36" fillId="0" borderId="69" xfId="1" applyFont="1" applyBorder="1" applyAlignment="1">
      <alignment horizontal="left" vertical="center" wrapText="1"/>
    </xf>
    <xf numFmtId="0" fontId="3" fillId="0" borderId="69" xfId="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3" fillId="0" borderId="3" xfId="1" applyBorder="1" applyAlignment="1">
      <alignment horizontal="left" vertical="center" wrapText="1"/>
    </xf>
    <xf numFmtId="0" fontId="66" fillId="0" borderId="6" xfId="1" applyFont="1" applyBorder="1" applyAlignment="1">
      <alignment horizontal="center" vertical="center"/>
    </xf>
    <xf numFmtId="0" fontId="9" fillId="0" borderId="1" xfId="1" applyFont="1" applyBorder="1" applyAlignment="1">
      <alignment horizontal="center" vertical="center" textRotation="255"/>
    </xf>
    <xf numFmtId="0" fontId="3" fillId="0" borderId="5" xfId="1" applyBorder="1" applyAlignment="1">
      <alignment horizontal="center" vertical="center" textRotation="255"/>
    </xf>
    <xf numFmtId="0" fontId="3" fillId="0" borderId="109" xfId="1" applyBorder="1" applyAlignment="1">
      <alignment horizontal="center" vertical="center" textRotation="255"/>
    </xf>
    <xf numFmtId="0" fontId="3" fillId="0" borderId="6" xfId="1" applyBorder="1" applyAlignment="1">
      <alignment horizontal="center" vertical="center" textRotation="255"/>
    </xf>
    <xf numFmtId="0" fontId="9" fillId="0" borderId="39"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5" xfId="1" applyFont="1" applyBorder="1" applyAlignment="1">
      <alignment horizontal="center" vertical="distributed" textRotation="255" justifyLastLine="1"/>
    </xf>
    <xf numFmtId="0" fontId="9" fillId="0" borderId="16"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0" fontId="9" fillId="0" borderId="16" xfId="1" applyFont="1" applyBorder="1" applyAlignment="1">
      <alignment horizontal="center" vertical="distributed"/>
    </xf>
    <xf numFmtId="0" fontId="9" fillId="0" borderId="23" xfId="1" applyFont="1" applyBorder="1" applyAlignment="1">
      <alignment horizontal="center" vertical="distributed"/>
    </xf>
    <xf numFmtId="0" fontId="9" fillId="0" borderId="0" xfId="1" applyFont="1" applyAlignment="1">
      <alignment horizontal="center" vertical="center"/>
    </xf>
    <xf numFmtId="0" fontId="9" fillId="0" borderId="144"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6" xfId="1" applyFont="1" applyBorder="1" applyAlignment="1">
      <alignment horizontal="center" vertical="distributed" textRotation="255" justifyLastLine="1"/>
    </xf>
    <xf numFmtId="0" fontId="9" fillId="0" borderId="2" xfId="1" applyFont="1" applyBorder="1" applyAlignment="1">
      <alignment horizontal="distributed" vertical="distributed" justifyLastLine="1"/>
    </xf>
    <xf numFmtId="0" fontId="9" fillId="0" borderId="3" xfId="1" applyFont="1" applyBorder="1" applyAlignment="1">
      <alignment horizontal="distributed" vertical="distributed" justifyLastLine="1"/>
    </xf>
    <xf numFmtId="0" fontId="9" fillId="0" borderId="73" xfId="1" applyFont="1" applyBorder="1" applyAlignment="1">
      <alignment horizontal="distributed" vertical="distributed" justifyLastLine="1"/>
    </xf>
    <xf numFmtId="0" fontId="3" fillId="0" borderId="143" xfId="1" applyBorder="1" applyAlignment="1">
      <alignment horizontal="left" vertical="center" wrapText="1"/>
    </xf>
    <xf numFmtId="0" fontId="6" fillId="0" borderId="146" xfId="1" applyFont="1" applyBorder="1" applyAlignment="1">
      <alignment horizontal="center" vertical="top"/>
    </xf>
    <xf numFmtId="0" fontId="6" fillId="0" borderId="147" xfId="1" applyFont="1" applyBorder="1" applyAlignment="1">
      <alignment horizontal="center" vertical="top"/>
    </xf>
    <xf numFmtId="0" fontId="6" fillId="0" borderId="150"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9" fillId="0" borderId="116" xfId="1" applyFont="1" applyBorder="1" applyAlignment="1">
      <alignment horizontal="distributed" vertical="distributed" justifyLastLine="1"/>
    </xf>
    <xf numFmtId="0" fontId="9" fillId="0" borderId="60" xfId="1" applyFont="1" applyBorder="1" applyAlignment="1">
      <alignment horizontal="distributed" vertical="distributed" justifyLastLine="1"/>
    </xf>
    <xf numFmtId="0" fontId="9" fillId="0" borderId="129" xfId="1" applyFont="1" applyBorder="1" applyAlignment="1">
      <alignment horizontal="distributed" vertical="distributed"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 fillId="0" borderId="60" xfId="1" applyBorder="1" applyAlignment="1">
      <alignment horizontal="left" vertical="center" wrapText="1"/>
    </xf>
    <xf numFmtId="0" fontId="3" fillId="0" borderId="148" xfId="1" applyBorder="1" applyAlignment="1">
      <alignment horizontal="left" vertical="center" wrapText="1"/>
    </xf>
    <xf numFmtId="185" fontId="7" fillId="0" borderId="151" xfId="2" applyNumberFormat="1" applyFont="1" applyFill="1" applyBorder="1" applyAlignment="1" applyProtection="1">
      <alignment horizontal="right" vertical="center" shrinkToFit="1"/>
    </xf>
    <xf numFmtId="185" fontId="3" fillId="0" borderId="109" xfId="1" applyNumberFormat="1" applyBorder="1" applyAlignment="1">
      <alignment shrinkToFit="1"/>
    </xf>
    <xf numFmtId="180" fontId="7" fillId="0" borderId="1" xfId="1" applyNumberFormat="1" applyFont="1" applyBorder="1" applyAlignment="1">
      <alignment horizontal="right" vertical="center" shrinkToFit="1"/>
    </xf>
    <xf numFmtId="0" fontId="3" fillId="0" borderId="109" xfId="1" applyBorder="1" applyAlignment="1">
      <alignment shrinkToFit="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18" xfId="1" applyFont="1" applyBorder="1" applyAlignment="1">
      <alignment horizontal="center" vertical="center" wrapTex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66" fillId="0" borderId="1" xfId="1" applyFont="1" applyBorder="1" applyAlignment="1">
      <alignment horizontal="center" vertical="center"/>
    </xf>
    <xf numFmtId="0" fontId="66" fillId="0" borderId="109" xfId="1" applyFont="1" applyBorder="1" applyAlignment="1">
      <alignment horizontal="center" vertical="center"/>
    </xf>
    <xf numFmtId="0" fontId="66" fillId="0" borderId="1" xfId="1" applyFont="1" applyBorder="1" applyAlignment="1">
      <alignment horizontal="center" vertical="center" shrinkToFit="1"/>
    </xf>
    <xf numFmtId="0" fontId="66" fillId="0" borderId="109" xfId="1" applyFont="1" applyBorder="1" applyAlignment="1">
      <alignment horizontal="center" vertical="center" shrinkToFit="1"/>
    </xf>
    <xf numFmtId="0" fontId="9" fillId="0" borderId="20" xfId="1" applyFont="1" applyBorder="1" applyAlignment="1">
      <alignment horizontal="distributed" vertical="center" wrapText="1" justifyLastLine="1"/>
    </xf>
    <xf numFmtId="0" fontId="9" fillId="0" borderId="21" xfId="1" applyFont="1" applyBorder="1" applyAlignment="1">
      <alignment horizontal="distributed" vertical="center" wrapText="1" justifyLastLine="1"/>
    </xf>
    <xf numFmtId="0" fontId="3" fillId="0" borderId="155" xfId="1" applyBorder="1" applyAlignment="1">
      <alignment horizontal="left" vertical="center" wrapText="1"/>
    </xf>
    <xf numFmtId="0" fontId="3" fillId="0" borderId="109" xfId="1" applyBorder="1"/>
    <xf numFmtId="0" fontId="9" fillId="0" borderId="68" xfId="1" applyFont="1" applyBorder="1" applyAlignment="1">
      <alignment horizontal="distributed" vertical="center" wrapText="1" justifyLastLine="1"/>
    </xf>
    <xf numFmtId="0" fontId="9" fillId="0" borderId="69" xfId="1" applyFont="1" applyBorder="1" applyAlignment="1">
      <alignment horizontal="distributed" vertical="center" wrapText="1" justifyLastLine="1"/>
    </xf>
    <xf numFmtId="0" fontId="3" fillId="0" borderId="152" xfId="1" applyBorder="1" applyAlignment="1">
      <alignment horizontal="left" vertical="center" wrapText="1"/>
    </xf>
    <xf numFmtId="0" fontId="9" fillId="0" borderId="19" xfId="1" applyFont="1" applyBorder="1" applyAlignment="1">
      <alignment horizontal="distributed" vertical="center" justifyLastLine="1"/>
    </xf>
    <xf numFmtId="0" fontId="9" fillId="0" borderId="50" xfId="1" applyFont="1" applyBorder="1" applyAlignment="1">
      <alignment horizontal="center" vertical="center"/>
    </xf>
    <xf numFmtId="0" fontId="9" fillId="0" borderId="172" xfId="1" applyFont="1" applyBorder="1" applyAlignment="1">
      <alignment horizontal="center" vertical="center"/>
    </xf>
    <xf numFmtId="0" fontId="9" fillId="0" borderId="51" xfId="1" applyFont="1" applyBorder="1" applyAlignment="1">
      <alignment horizontal="center" vertical="center"/>
    </xf>
    <xf numFmtId="0" fontId="3" fillId="0" borderId="171" xfId="1" applyBorder="1" applyAlignment="1">
      <alignment horizontal="center" vertical="center"/>
    </xf>
    <xf numFmtId="0" fontId="3" fillId="0" borderId="173"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83" xfId="1" applyFont="1" applyBorder="1" applyAlignment="1">
      <alignment horizontal="distributed" vertical="distributed" textRotation="255" justifyLastLine="1"/>
    </xf>
    <xf numFmtId="0" fontId="9" fillId="0" borderId="184" xfId="1" applyFont="1" applyBorder="1" applyAlignment="1">
      <alignment horizontal="distributed" vertical="distributed" textRotation="255" justifyLastLine="1"/>
    </xf>
    <xf numFmtId="0" fontId="76" fillId="0" borderId="202" xfId="1" applyFont="1" applyBorder="1" applyAlignment="1">
      <alignment horizontal="center" vertical="center" shrinkToFit="1"/>
    </xf>
    <xf numFmtId="0" fontId="76" fillId="0" borderId="203" xfId="1" applyFont="1" applyBorder="1" applyAlignment="1">
      <alignment horizontal="center" vertical="center" shrinkToFit="1"/>
    </xf>
    <xf numFmtId="0" fontId="76" fillId="0" borderId="177" xfId="1" applyFont="1" applyBorder="1" applyAlignment="1">
      <alignment horizontal="center" vertical="center"/>
    </xf>
    <xf numFmtId="0" fontId="76" fillId="0" borderId="178" xfId="1" applyFont="1" applyBorder="1" applyAlignment="1">
      <alignment horizontal="center" vertical="center"/>
    </xf>
    <xf numFmtId="0" fontId="66" fillId="0" borderId="6" xfId="1" applyFont="1" applyBorder="1" applyAlignment="1">
      <alignment horizontal="center" vertical="center" shrinkToFit="1"/>
    </xf>
    <xf numFmtId="0" fontId="9" fillId="0" borderId="187" xfId="1" applyFont="1" applyBorder="1" applyAlignment="1">
      <alignment horizontal="center" vertical="distributed" textRotation="255" wrapText="1" justifyLastLine="1"/>
    </xf>
    <xf numFmtId="0" fontId="9" fillId="0" borderId="188"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3" xfId="1" applyFont="1" applyBorder="1" applyAlignment="1">
      <alignment horizontal="center" vertical="distributed" textRotation="255" wrapText="1" justifyLastLine="1"/>
    </xf>
    <xf numFmtId="0" fontId="3" fillId="0" borderId="192" xfId="1" applyBorder="1" applyAlignment="1">
      <alignment horizontal="center" vertical="center"/>
    </xf>
    <xf numFmtId="0" fontId="3" fillId="0" borderId="196" xfId="1" applyBorder="1" applyAlignment="1">
      <alignment horizontal="center" vertical="center"/>
    </xf>
    <xf numFmtId="0" fontId="9" fillId="0" borderId="6" xfId="1" applyFont="1" applyBorder="1" applyAlignment="1">
      <alignment horizontal="center" vertical="center" textRotation="255"/>
    </xf>
    <xf numFmtId="0" fontId="76" fillId="0" borderId="177" xfId="1" applyFont="1" applyBorder="1" applyAlignment="1">
      <alignment horizontal="center" vertical="center" shrinkToFit="1"/>
    </xf>
    <xf numFmtId="0" fontId="76" fillId="0" borderId="178"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4" xfId="1" applyFont="1" applyBorder="1" applyAlignment="1">
      <alignment horizontal="distributed" vertical="center" wrapText="1" justifyLastLine="1"/>
    </xf>
    <xf numFmtId="0" fontId="9" fillId="0" borderId="132"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0" fillId="0" borderId="177" xfId="1" applyFont="1" applyBorder="1" applyAlignment="1">
      <alignment horizontal="center"/>
    </xf>
    <xf numFmtId="0" fontId="60" fillId="0" borderId="178"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16" xfId="1" applyFont="1" applyBorder="1" applyAlignment="1">
      <alignment horizontal="center" vertical="distributed" textRotation="255" wrapText="1" justifyLastLine="1"/>
    </xf>
    <xf numFmtId="0" fontId="3" fillId="0" borderId="212" xfId="1" applyBorder="1" applyAlignment="1">
      <alignment horizontal="center" vertical="center"/>
    </xf>
    <xf numFmtId="0" fontId="3" fillId="0" borderId="220"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221"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129"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3" xfId="1" applyFont="1" applyBorder="1" applyAlignment="1">
      <alignment horizontal="center" vertical="center"/>
    </xf>
    <xf numFmtId="0" fontId="45" fillId="0" borderId="222"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4"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3"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9" xfId="1" applyNumberFormat="1" applyFont="1" applyBorder="1" applyAlignment="1">
      <alignment horizontal="right" vertical="center" shrinkToFit="1"/>
    </xf>
    <xf numFmtId="0" fontId="3" fillId="0" borderId="230" xfId="1" applyBorder="1" applyAlignment="1">
      <alignment horizontal="right" vertical="center" shrinkToFit="1"/>
    </xf>
    <xf numFmtId="0" fontId="3" fillId="0" borderId="178"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 fillId="0" borderId="231" xfId="1" applyBorder="1" applyAlignment="1">
      <alignment horizontal="right" vertical="center" shrinkToFit="1"/>
    </xf>
    <xf numFmtId="0" fontId="3" fillId="0" borderId="203" xfId="1" applyBorder="1" applyAlignment="1">
      <alignment horizontal="right" vertical="center" shrinkToFit="1"/>
    </xf>
    <xf numFmtId="0" fontId="36" fillId="0" borderId="0" xfId="1" applyFont="1" applyAlignment="1">
      <alignment horizontal="left" vertical="top" wrapText="1"/>
    </xf>
    <xf numFmtId="0" fontId="36" fillId="0" borderId="6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5" xfId="1" applyFont="1" applyBorder="1" applyAlignment="1">
      <alignment horizontal="center" vertical="center" wrapText="1"/>
    </xf>
    <xf numFmtId="0" fontId="3" fillId="0" borderId="235"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42"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3" xfId="1" applyFont="1" applyBorder="1" applyAlignment="1">
      <alignment horizontal="distributed" vertical="center"/>
    </xf>
    <xf numFmtId="0" fontId="9" fillId="0" borderId="21" xfId="1" applyFont="1" applyBorder="1" applyAlignment="1">
      <alignment horizontal="distributed" vertical="center"/>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39"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72"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4" xfId="1" applyFont="1" applyBorder="1" applyAlignment="1">
      <alignment horizontal="center" vertical="center" wrapText="1"/>
    </xf>
    <xf numFmtId="3" fontId="7" fillId="0" borderId="249" xfId="1" applyNumberFormat="1" applyFont="1" applyBorder="1" applyAlignment="1">
      <alignment horizontal="right" vertical="center" shrinkToFit="1"/>
    </xf>
    <xf numFmtId="0" fontId="3" fillId="0" borderId="250" xfId="1" applyBorder="1" applyAlignment="1">
      <alignment vertical="center" shrinkToFit="1"/>
    </xf>
    <xf numFmtId="0" fontId="9" fillId="0" borderId="142" xfId="1" applyFont="1" applyBorder="1" applyAlignment="1">
      <alignment horizontal="distributed" vertical="center"/>
    </xf>
    <xf numFmtId="3" fontId="7" fillId="0" borderId="254" xfId="1" applyNumberFormat="1" applyFont="1" applyBorder="1" applyAlignment="1">
      <alignment horizontal="right" vertical="center" shrinkToFit="1"/>
    </xf>
    <xf numFmtId="0" fontId="3" fillId="0" borderId="255" xfId="1" applyBorder="1" applyAlignment="1">
      <alignment vertical="center" shrinkToFit="1"/>
    </xf>
    <xf numFmtId="0" fontId="66"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56" xfId="1" applyFont="1" applyBorder="1" applyAlignment="1">
      <alignment vertical="center" wrapText="1"/>
    </xf>
    <xf numFmtId="0" fontId="3" fillId="0" borderId="256"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42" xfId="1" applyBorder="1" applyAlignment="1">
      <alignment wrapText="1"/>
    </xf>
    <xf numFmtId="0" fontId="3" fillId="0" borderId="0" xfId="1" applyAlignment="1">
      <alignment wrapText="1"/>
    </xf>
    <xf numFmtId="0" fontId="3" fillId="0" borderId="64"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4"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1" xfId="1" applyFont="1" applyBorder="1" applyAlignment="1" applyProtection="1">
      <alignment horizontal="center" vertical="center" shrinkToFit="1"/>
      <protection locked="0"/>
    </xf>
    <xf numFmtId="0" fontId="7" fillId="0" borderId="262"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42" xfId="1" applyFont="1" applyBorder="1" applyAlignment="1">
      <alignment horizontal="distributed" vertical="center" wrapText="1" indent="1"/>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7" fillId="4" borderId="277"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79" xfId="1" applyFont="1" applyBorder="1" applyAlignment="1">
      <alignment horizontal="center" vertical="distributed" textRotation="255" wrapText="1" justifyLastLine="1"/>
    </xf>
    <xf numFmtId="0" fontId="9" fillId="0" borderId="288"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1"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0" fontId="46" fillId="0" borderId="283" xfId="1" applyFont="1" applyBorder="1" applyAlignment="1">
      <alignment horizontal="center" vertical="top" shrinkToFit="1"/>
    </xf>
    <xf numFmtId="0" fontId="46" fillId="0" borderId="294" xfId="1" applyFont="1" applyBorder="1" applyAlignment="1">
      <alignment horizontal="center" vertical="top" shrinkToFit="1"/>
    </xf>
    <xf numFmtId="0" fontId="7" fillId="3" borderId="284" xfId="1" applyFont="1" applyFill="1" applyBorder="1" applyAlignment="1" applyProtection="1">
      <alignment horizontal="center" vertical="center" shrinkToFit="1"/>
      <protection locked="0"/>
    </xf>
    <xf numFmtId="0" fontId="7" fillId="0" borderId="285" xfId="1" applyFont="1" applyBorder="1" applyAlignment="1" applyProtection="1">
      <alignment horizontal="center" vertical="center" shrinkToFit="1"/>
      <protection locked="0"/>
    </xf>
    <xf numFmtId="0" fontId="7" fillId="0" borderId="286"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289"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291" xfId="1" applyNumberFormat="1" applyFont="1" applyFill="1" applyBorder="1" applyAlignment="1" applyProtection="1">
      <alignment horizontal="center" vertical="center" wrapText="1"/>
      <protection locked="0"/>
    </xf>
    <xf numFmtId="0" fontId="7" fillId="3" borderId="295" xfId="1" applyFont="1" applyFill="1" applyBorder="1" applyAlignment="1" applyProtection="1">
      <alignment horizontal="center" vertical="center" shrinkToFit="1"/>
      <protection locked="0"/>
    </xf>
    <xf numFmtId="0" fontId="7" fillId="0" borderId="296" xfId="1" applyFont="1" applyBorder="1" applyAlignment="1" applyProtection="1">
      <alignment horizontal="center" vertical="center" shrinkToFit="1"/>
      <protection locked="0"/>
    </xf>
    <xf numFmtId="0" fontId="7" fillId="0" borderId="297"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8"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0" fontId="7" fillId="3" borderId="304" xfId="1" applyFont="1" applyFill="1" applyBorder="1" applyAlignment="1" applyProtection="1">
      <alignment horizontal="center" vertical="center" shrinkToFit="1"/>
      <protection locked="0"/>
    </xf>
    <xf numFmtId="0" fontId="7" fillId="0" borderId="305" xfId="1" applyFont="1" applyBorder="1" applyAlignment="1" applyProtection="1">
      <alignment horizontal="center" vertical="center" shrinkToFit="1"/>
      <protection locked="0"/>
    </xf>
    <xf numFmtId="0" fontId="7" fillId="0" borderId="306"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1"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10" xfId="1" applyNumberFormat="1" applyFont="1" applyBorder="1" applyAlignment="1">
      <alignment horizontal="right" vertical="center" shrinkToFit="1"/>
    </xf>
    <xf numFmtId="0" fontId="3" fillId="0" borderId="311" xfId="1" applyBorder="1" applyAlignment="1">
      <alignment vertical="center" shrinkToFit="1"/>
    </xf>
    <xf numFmtId="0" fontId="3" fillId="0" borderId="312"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1"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52"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13" xfId="1" applyNumberFormat="1" applyFont="1" applyFill="1" applyBorder="1" applyAlignment="1" applyProtection="1">
      <alignment horizontal="center" vertical="center" wrapText="1"/>
      <protection locked="0"/>
    </xf>
    <xf numFmtId="49" fontId="9" fillId="4" borderId="314" xfId="1" applyNumberFormat="1" applyFont="1" applyFill="1" applyBorder="1" applyAlignment="1" applyProtection="1">
      <alignment horizontal="center" vertical="center" wrapText="1"/>
      <protection locked="0"/>
    </xf>
    <xf numFmtId="49" fontId="9" fillId="4" borderId="315" xfId="1" applyNumberFormat="1" applyFont="1" applyFill="1" applyBorder="1" applyAlignment="1" applyProtection="1">
      <alignment horizontal="center" vertical="center" wrapText="1"/>
      <protection locked="0"/>
    </xf>
    <xf numFmtId="0" fontId="7" fillId="4" borderId="317" xfId="1" applyFont="1" applyFill="1" applyBorder="1" applyAlignment="1" applyProtection="1">
      <alignment horizontal="center" vertical="center" shrinkToFit="1"/>
      <protection locked="0"/>
    </xf>
    <xf numFmtId="0" fontId="7" fillId="4" borderId="314"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49" fontId="9" fillId="3" borderId="318" xfId="1" applyNumberFormat="1" applyFont="1" applyFill="1" applyBorder="1" applyAlignment="1" applyProtection="1">
      <alignment horizontal="center" vertical="center" wrapText="1"/>
      <protection locked="0"/>
    </xf>
    <xf numFmtId="49" fontId="9" fillId="3" borderId="319" xfId="1" applyNumberFormat="1" applyFont="1" applyFill="1" applyBorder="1" applyAlignment="1" applyProtection="1">
      <alignment horizontal="center" vertical="center" wrapText="1"/>
      <protection locked="0"/>
    </xf>
    <xf numFmtId="49" fontId="9" fillId="3" borderId="320" xfId="1" applyNumberFormat="1" applyFont="1" applyFill="1" applyBorder="1" applyAlignment="1" applyProtection="1">
      <alignment horizontal="center" vertical="center" wrapText="1"/>
      <protection locked="0"/>
    </xf>
    <xf numFmtId="0" fontId="46" fillId="0" borderId="332"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90" xfId="1" applyFont="1" applyBorder="1" applyAlignment="1" applyProtection="1">
      <alignment horizontal="center" vertical="center" shrinkToFit="1"/>
      <protection locked="0"/>
    </xf>
    <xf numFmtId="0" fontId="7" fillId="0" borderId="323"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24"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64"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49" fontId="9" fillId="3" borderId="329"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8"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42"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23"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4" fillId="0" borderId="17" xfId="1" applyFont="1" applyBorder="1" applyAlignment="1">
      <alignment horizontal="center" vertical="center"/>
    </xf>
    <xf numFmtId="0" fontId="84" fillId="0" borderId="69" xfId="1" applyFont="1" applyBorder="1" applyAlignment="1">
      <alignment horizontal="center" vertical="center"/>
    </xf>
    <xf numFmtId="0" fontId="84" fillId="0" borderId="221" xfId="1" applyFont="1" applyBorder="1" applyAlignment="1">
      <alignment horizontal="center" vertical="center"/>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3" fontId="7" fillId="3" borderId="318" xfId="1" applyNumberFormat="1" applyFont="1" applyFill="1" applyBorder="1" applyAlignment="1" applyProtection="1">
      <alignment horizontal="right" vertical="center" shrinkToFit="1"/>
      <protection locked="0"/>
    </xf>
    <xf numFmtId="3" fontId="7" fillId="0" borderId="319" xfId="1" applyNumberFormat="1" applyFont="1" applyBorder="1" applyAlignment="1" applyProtection="1">
      <alignment horizontal="right" vertical="center" shrinkToFit="1"/>
      <protection locked="0"/>
    </xf>
    <xf numFmtId="3" fontId="7" fillId="0" borderId="337" xfId="1" applyNumberFormat="1" applyFont="1" applyBorder="1" applyAlignment="1" applyProtection="1">
      <alignment horizontal="right" vertical="center" shrinkToFit="1"/>
      <protection locked="0"/>
    </xf>
    <xf numFmtId="0" fontId="7" fillId="3" borderId="338" xfId="1" applyFont="1" applyFill="1" applyBorder="1" applyAlignment="1" applyProtection="1">
      <alignment horizontal="center" vertical="center" shrinkToFit="1"/>
      <protection locked="0"/>
    </xf>
    <xf numFmtId="0" fontId="7" fillId="0" borderId="319" xfId="1" applyFont="1" applyBorder="1" applyAlignment="1" applyProtection="1">
      <alignment horizontal="center" vertical="center" shrinkToFit="1"/>
      <protection locked="0"/>
    </xf>
    <xf numFmtId="0" fontId="7" fillId="0" borderId="337"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4"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255" xfId="1" applyFont="1" applyBorder="1" applyAlignment="1">
      <alignment horizontal="center" vertical="center" shrinkToFit="1"/>
    </xf>
    <xf numFmtId="3" fontId="7" fillId="4" borderId="138"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45"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46"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5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4" borderId="342" xfId="1" applyNumberFormat="1" applyFont="1" applyFill="1" applyBorder="1" applyAlignment="1" applyProtection="1">
      <alignment horizontal="right" vertical="center" shrinkToFit="1"/>
      <protection locked="0"/>
    </xf>
    <xf numFmtId="3" fontId="7" fillId="4" borderId="319" xfId="1" applyNumberFormat="1" applyFont="1" applyFill="1" applyBorder="1" applyAlignment="1" applyProtection="1">
      <alignment horizontal="right" vertical="center" shrinkToFit="1"/>
      <protection locked="0"/>
    </xf>
    <xf numFmtId="3" fontId="7" fillId="4" borderId="343" xfId="1" applyNumberFormat="1" applyFont="1" applyFill="1" applyBorder="1" applyAlignment="1" applyProtection="1">
      <alignment horizontal="right" vertical="center" shrinkToFit="1"/>
      <protection locked="0"/>
    </xf>
    <xf numFmtId="0" fontId="7" fillId="4" borderId="319"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9" fillId="0" borderId="23" xfId="1" applyFont="1" applyBorder="1" applyAlignment="1">
      <alignment horizontal="distributed" vertical="distributed"/>
    </xf>
    <xf numFmtId="181" fontId="7" fillId="4" borderId="350"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181" fontId="7" fillId="4" borderId="352" xfId="1" applyNumberFormat="1" applyFont="1" applyFill="1" applyBorder="1" applyAlignment="1" applyProtection="1">
      <alignment horizontal="right" vertical="center" shrinkToFit="1"/>
      <protection locked="0"/>
    </xf>
    <xf numFmtId="0" fontId="24" fillId="0" borderId="347"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349" xfId="1" applyFont="1" applyBorder="1" applyAlignment="1">
      <alignment horizontal="center" vertical="center" shrinkToFit="1"/>
    </xf>
    <xf numFmtId="181" fontId="7" fillId="4" borderId="353"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3" fontId="7" fillId="4" borderId="360" xfId="1" applyNumberFormat="1" applyFont="1" applyFill="1" applyBorder="1" applyAlignment="1" applyProtection="1">
      <alignment horizontal="right" vertical="center" shrinkToFit="1"/>
      <protection locked="0"/>
    </xf>
    <xf numFmtId="0" fontId="7" fillId="4" borderId="359" xfId="1" applyFont="1" applyFill="1" applyBorder="1" applyAlignment="1" applyProtection="1">
      <alignment horizontal="center" vertical="center" shrinkToFit="1"/>
      <protection locked="0"/>
    </xf>
    <xf numFmtId="0" fontId="7" fillId="4" borderId="361" xfId="1" applyFont="1" applyFill="1" applyBorder="1" applyAlignment="1" applyProtection="1">
      <alignment horizontal="center" vertical="center" shrinkToFit="1"/>
      <protection locked="0"/>
    </xf>
    <xf numFmtId="0" fontId="59" fillId="0" borderId="362" xfId="1" applyFont="1" applyBorder="1" applyAlignment="1">
      <alignment horizontal="center" vertical="center"/>
    </xf>
    <xf numFmtId="0" fontId="59" fillId="0" borderId="363" xfId="1" applyFont="1" applyBorder="1" applyAlignment="1">
      <alignment horizontal="center" vertical="center"/>
    </xf>
    <xf numFmtId="0" fontId="9" fillId="0" borderId="3" xfId="1" applyFont="1" applyBorder="1" applyAlignment="1">
      <alignment horizontal="distributed" vertical="distributed"/>
    </xf>
    <xf numFmtId="181" fontId="7" fillId="4" borderId="325" xfId="1" applyNumberFormat="1" applyFont="1" applyFill="1" applyBorder="1" applyAlignment="1" applyProtection="1">
      <alignment horizontal="right" vertical="center" shrinkToFit="1"/>
      <protection locked="0"/>
    </xf>
    <xf numFmtId="181" fontId="7" fillId="4" borderId="290" xfId="1" applyNumberFormat="1" applyFont="1" applyFill="1" applyBorder="1" applyAlignment="1" applyProtection="1">
      <alignment horizontal="right" vertical="center" shrinkToFit="1"/>
      <protection locked="0"/>
    </xf>
    <xf numFmtId="181"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3" fontId="7" fillId="4" borderId="290"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0" fontId="7" fillId="4" borderId="290" xfId="1" applyFont="1" applyFill="1" applyBorder="1" applyAlignment="1" applyProtection="1">
      <alignment horizontal="center" vertical="center" shrinkToFit="1"/>
      <protection locked="0"/>
    </xf>
    <xf numFmtId="0" fontId="7" fillId="4" borderId="324"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4"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182" fontId="7" fillId="4" borderId="365"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3"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54"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25" xfId="1" applyNumberFormat="1" applyFont="1" applyFill="1" applyBorder="1" applyAlignment="1" applyProtection="1">
      <alignment horizontal="right" vertical="center" shrinkToFit="1"/>
      <protection locked="0"/>
    </xf>
    <xf numFmtId="182" fontId="7" fillId="4" borderId="290"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0" fontId="36" fillId="0" borderId="0" xfId="1" applyFont="1" applyAlignment="1">
      <alignment horizontal="left" vertical="center" wrapText="1"/>
    </xf>
    <xf numFmtId="0" fontId="3" fillId="0" borderId="0" xfId="1" applyAlignment="1">
      <alignment horizontal="left" vertical="center" wrapText="1"/>
    </xf>
    <xf numFmtId="0" fontId="24" fillId="0" borderId="366" xfId="1" applyFont="1" applyBorder="1" applyAlignment="1">
      <alignment horizontal="center" vertical="center" shrinkToFit="1"/>
    </xf>
    <xf numFmtId="0" fontId="24" fillId="0" borderId="367" xfId="1" applyFont="1" applyBorder="1" applyAlignment="1">
      <alignment horizontal="center" vertical="center" shrinkToFit="1"/>
    </xf>
    <xf numFmtId="0" fontId="24" fillId="0" borderId="368" xfId="1" applyFont="1" applyBorder="1" applyAlignment="1">
      <alignment horizontal="center" vertical="center" shrinkToFit="1"/>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3" fontId="7" fillId="4" borderId="371"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7" xfId="1" applyFont="1" applyFill="1" applyBorder="1" applyAlignment="1" applyProtection="1">
      <alignment horizontal="center" vertical="center" shrinkToFit="1"/>
      <protection locked="0"/>
    </xf>
    <xf numFmtId="0" fontId="7" fillId="4" borderId="378"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1" xfId="1" applyNumberFormat="1" applyFont="1" applyBorder="1" applyAlignment="1" applyProtection="1">
      <alignment horizontal="right" vertical="center" shrinkToFit="1"/>
      <protection locked="0"/>
    </xf>
    <xf numFmtId="3" fontId="7" fillId="0" borderId="373" xfId="1" applyNumberFormat="1" applyFont="1" applyBorder="1" applyAlignment="1" applyProtection="1">
      <alignment horizontal="right" vertical="center" shrinkToFit="1"/>
      <protection locked="0"/>
    </xf>
    <xf numFmtId="0" fontId="7" fillId="3" borderId="133" xfId="1" applyFont="1" applyFill="1" applyBorder="1" applyAlignment="1" applyProtection="1">
      <alignment horizontal="center" vertical="center" shrinkToFit="1"/>
      <protection locked="0"/>
    </xf>
    <xf numFmtId="0" fontId="7" fillId="0" borderId="201" xfId="1" applyFont="1" applyBorder="1" applyAlignment="1" applyProtection="1">
      <alignment horizontal="center" vertical="center" shrinkToFit="1"/>
      <protection locked="0"/>
    </xf>
    <xf numFmtId="0" fontId="7" fillId="0" borderId="374"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3"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79"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0" xfId="1" applyFont="1" applyFill="1" applyBorder="1" applyAlignment="1" applyProtection="1">
      <alignment horizontal="center" vertical="center" shrinkToFit="1"/>
      <protection locked="0"/>
    </xf>
    <xf numFmtId="3" fontId="7" fillId="4" borderId="381" xfId="1" applyNumberFormat="1" applyFont="1" applyFill="1" applyBorder="1" applyAlignment="1" applyProtection="1">
      <alignment horizontal="right" vertical="center" shrinkToFit="1"/>
      <protection locked="0"/>
    </xf>
    <xf numFmtId="3" fontId="7" fillId="4" borderId="382" xfId="1" applyNumberFormat="1" applyFont="1" applyFill="1" applyBorder="1" applyAlignment="1" applyProtection="1">
      <alignment horizontal="right"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88" xfId="1" applyNumberFormat="1" applyFont="1" applyFill="1" applyBorder="1" applyAlignment="1" applyProtection="1">
      <alignment horizontal="right" vertical="center" shrinkToFit="1"/>
      <protection locked="0"/>
    </xf>
    <xf numFmtId="3" fontId="7" fillId="4" borderId="389" xfId="1" applyNumberFormat="1" applyFont="1" applyFill="1" applyBorder="1" applyAlignment="1" applyProtection="1">
      <alignment horizontal="right"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3" fontId="7" fillId="4" borderId="258" xfId="1" applyNumberFormat="1" applyFont="1" applyFill="1" applyBorder="1" applyAlignment="1" applyProtection="1">
      <alignment horizontal="right" vertical="center" shrinkToFit="1"/>
      <protection locked="0"/>
    </xf>
    <xf numFmtId="3" fontId="7" fillId="4" borderId="384" xfId="1" applyNumberFormat="1" applyFont="1" applyFill="1" applyBorder="1" applyAlignment="1" applyProtection="1">
      <alignment horizontal="right" vertical="center" shrinkToFit="1"/>
      <protection locked="0"/>
    </xf>
    <xf numFmtId="0" fontId="7" fillId="4" borderId="384"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90" xfId="1" applyNumberFormat="1" applyFont="1" applyBorder="1" applyAlignment="1" applyProtection="1">
      <alignment horizontal="right" vertical="center" shrinkToFit="1"/>
      <protection locked="0"/>
    </xf>
    <xf numFmtId="3" fontId="7" fillId="0" borderId="386" xfId="1" applyNumberFormat="1" applyFont="1" applyBorder="1" applyAlignment="1" applyProtection="1">
      <alignment horizontal="right" vertical="center" shrinkToFit="1"/>
      <protection locked="0"/>
    </xf>
    <xf numFmtId="0" fontId="7" fillId="3" borderId="387" xfId="1" applyFont="1" applyFill="1" applyBorder="1" applyAlignment="1" applyProtection="1">
      <alignment horizontal="center" vertical="center" shrinkToFit="1"/>
      <protection locked="0"/>
    </xf>
    <xf numFmtId="0" fontId="7" fillId="0" borderId="386"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7" xfId="1" applyFont="1" applyBorder="1" applyAlignment="1">
      <alignment horizontal="distributed" vertical="center" wrapText="1"/>
    </xf>
    <xf numFmtId="0" fontId="45" fillId="0" borderId="132"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3"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2" xfId="1" applyFont="1" applyBorder="1" applyAlignment="1">
      <alignment horizontal="center" vertical="center" wrapText="1"/>
    </xf>
    <xf numFmtId="3" fontId="7" fillId="0" borderId="404" xfId="1" applyNumberFormat="1" applyFont="1" applyBorder="1" applyAlignment="1">
      <alignment horizontal="right" vertical="center" shrinkToFit="1"/>
    </xf>
    <xf numFmtId="0" fontId="3" fillId="0" borderId="405" xfId="1" applyBorder="1" applyAlignment="1">
      <alignment vertical="center"/>
    </xf>
    <xf numFmtId="0" fontId="3" fillId="0" borderId="406"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72"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222"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410"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5"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2" fillId="0" borderId="1" xfId="3" applyFont="1" applyBorder="1" applyAlignment="1">
      <alignment horizontal="center" vertical="center" wrapText="1"/>
    </xf>
    <xf numFmtId="0" fontId="92" fillId="0" borderId="5" xfId="3" applyFont="1" applyBorder="1" applyAlignment="1">
      <alignment horizontal="center" vertical="center" wrapText="1"/>
    </xf>
    <xf numFmtId="0" fontId="92"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8" xfId="1" applyFont="1" applyBorder="1" applyAlignment="1">
      <alignment horizontal="center" vertical="center" wrapText="1"/>
    </xf>
    <xf numFmtId="0" fontId="66" fillId="0" borderId="409" xfId="1" applyFont="1" applyBorder="1" applyAlignment="1">
      <alignment horizontal="center" vertical="center" wrapText="1"/>
    </xf>
    <xf numFmtId="0" fontId="66" fillId="0" borderId="339"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9" xfId="1" applyFont="1" applyBorder="1" applyAlignment="1">
      <alignment horizontal="center" vertical="center" wrapText="1"/>
    </xf>
    <xf numFmtId="0" fontId="93"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22"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2" xfId="3" applyFont="1" applyBorder="1" applyAlignment="1">
      <alignment horizontal="center" vertical="center" wrapText="1"/>
    </xf>
    <xf numFmtId="0" fontId="9" fillId="0" borderId="5" xfId="1" applyFont="1" applyBorder="1" applyAlignment="1">
      <alignment horizontal="center" vertical="center" wrapText="1"/>
    </xf>
    <xf numFmtId="0" fontId="9" fillId="0" borderId="410" xfId="1" applyFont="1" applyBorder="1" applyAlignment="1">
      <alignment horizontal="center" vertical="center" wrapText="1"/>
    </xf>
    <xf numFmtId="0" fontId="9" fillId="0" borderId="222" xfId="1" applyFont="1" applyBorder="1" applyAlignment="1">
      <alignment horizontal="center" vertical="distributed" textRotation="255" wrapText="1" justifyLastLine="1"/>
    </xf>
    <xf numFmtId="0" fontId="9" fillId="0" borderId="411"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81" xfId="3" applyFont="1" applyFill="1" applyBorder="1" applyAlignment="1" applyProtection="1">
      <alignment horizontal="center" vertical="center" shrinkToFit="1"/>
      <protection locked="0"/>
    </xf>
    <xf numFmtId="0" fontId="9" fillId="0" borderId="416"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410"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72" xfId="3"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23"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8"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2"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410"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410"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5" xfId="3" applyFont="1" applyBorder="1" applyAlignment="1">
      <alignment horizontal="center" vertical="center" wrapText="1" justifyLastLine="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1"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11" xfId="1" applyFont="1" applyBorder="1" applyAlignment="1">
      <alignment horizontal="center" vertical="center" wrapText="1"/>
    </xf>
    <xf numFmtId="0" fontId="60" fillId="3" borderId="181" xfId="3" applyFont="1" applyFill="1" applyBorder="1" applyAlignment="1" applyProtection="1">
      <alignment horizontal="center" vertical="center" shrinkToFit="1"/>
      <protection locked="0"/>
    </xf>
    <xf numFmtId="0" fontId="60" fillId="0" borderId="416"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410" xfId="3" applyFont="1" applyBorder="1" applyAlignment="1">
      <alignment horizontal="center" vertical="center" wrapText="1" justifyLastLine="1"/>
    </xf>
    <xf numFmtId="0" fontId="9" fillId="0" borderId="172"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2"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1"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35" xfId="1" applyFont="1" applyBorder="1" applyAlignment="1">
      <alignment horizontal="center" vertical="center" textRotation="255" wrapText="1"/>
    </xf>
    <xf numFmtId="0" fontId="9" fillId="0" borderId="222"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49" xfId="4" applyFont="1" applyBorder="1" applyAlignment="1">
      <alignment vertical="center"/>
    </xf>
    <xf numFmtId="0" fontId="66" fillId="0" borderId="450" xfId="4" applyFont="1" applyBorder="1" applyAlignment="1">
      <alignment vertical="center"/>
    </xf>
    <xf numFmtId="0" fontId="66" fillId="0" borderId="451"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52" xfId="4" applyFont="1" applyBorder="1" applyAlignment="1">
      <alignment horizontal="distributed" vertical="center"/>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0" fontId="66" fillId="0" borderId="457"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8" xfId="4" applyFont="1" applyBorder="1" applyAlignment="1">
      <alignment horizontal="distributed" vertical="center"/>
    </xf>
    <xf numFmtId="0" fontId="66" fillId="0" borderId="459" xfId="4" applyFont="1" applyBorder="1" applyAlignment="1">
      <alignment horizontal="distributed" vertical="center"/>
    </xf>
    <xf numFmtId="0" fontId="66" fillId="0" borderId="460" xfId="4" applyFont="1" applyBorder="1" applyAlignment="1">
      <alignment horizontal="distributed" vertical="center"/>
    </xf>
    <xf numFmtId="0" fontId="66" fillId="0" borderId="461"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131" xfId="1" applyFont="1" applyBorder="1" applyAlignment="1">
      <alignment horizontal="center" vertical="center"/>
    </xf>
    <xf numFmtId="0" fontId="45" fillId="0" borderId="462" xfId="1" applyFont="1" applyBorder="1" applyAlignment="1">
      <alignment horizontal="center" vertical="center"/>
    </xf>
    <xf numFmtId="0" fontId="45" fillId="0" borderId="463" xfId="1" applyFont="1" applyBorder="1" applyAlignment="1">
      <alignment horizontal="center" vertical="center"/>
    </xf>
    <xf numFmtId="3" fontId="7" fillId="4" borderId="464" xfId="1" applyNumberFormat="1" applyFont="1" applyFill="1" applyBorder="1" applyAlignment="1" applyProtection="1">
      <alignment horizontal="right" vertical="center" shrinkToFit="1"/>
      <protection locked="0"/>
    </xf>
    <xf numFmtId="3" fontId="7" fillId="4" borderId="190"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0" fontId="7" fillId="4" borderId="466" xfId="1" applyFont="1" applyFill="1" applyBorder="1" applyAlignment="1" applyProtection="1">
      <alignment horizontal="center" vertical="center" shrinkToFit="1"/>
      <protection locked="0"/>
    </xf>
    <xf numFmtId="0" fontId="7" fillId="4" borderId="211" xfId="1" applyFont="1" applyFill="1" applyBorder="1" applyAlignment="1" applyProtection="1">
      <alignment horizontal="center" vertical="center" shrinkToFit="1"/>
      <protection locked="0"/>
    </xf>
    <xf numFmtId="0" fontId="7" fillId="4" borderId="467"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8"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9"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42" xfId="1" applyNumberFormat="1" applyFont="1" applyFill="1" applyBorder="1" applyAlignment="1" applyProtection="1">
      <alignment horizontal="center" vertical="center" wrapText="1"/>
      <protection locked="0"/>
    </xf>
    <xf numFmtId="3" fontId="7" fillId="4" borderId="14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0" fontId="7" fillId="4" borderId="471"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228" xfId="1" applyBorder="1" applyAlignment="1">
      <alignment horizontal="center"/>
    </xf>
    <xf numFmtId="0" fontId="9" fillId="0" borderId="476"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73" xfId="1" applyFont="1" applyBorder="1" applyAlignment="1">
      <alignment horizontal="center" vertical="distributed" textRotation="255" justifyLastLine="1"/>
    </xf>
    <xf numFmtId="0" fontId="9" fillId="0" borderId="474" xfId="1" applyFont="1" applyBorder="1" applyAlignment="1">
      <alignment horizontal="center" vertical="distributed" textRotation="255" justifyLastLine="1"/>
    </xf>
    <xf numFmtId="0" fontId="9" fillId="0" borderId="475"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5" xfId="1" applyFont="1" applyBorder="1" applyAlignment="1">
      <alignment horizontal="center" vertical="center" wrapText="1"/>
    </xf>
    <xf numFmtId="0" fontId="45" fillId="0" borderId="132"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1"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91" xfId="1" applyFont="1" applyBorder="1" applyAlignment="1">
      <alignment horizontal="distributed" vertical="center" justifyLastLine="1"/>
    </xf>
    <xf numFmtId="0" fontId="9" fillId="0" borderId="492"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93" xfId="1" applyFont="1" applyBorder="1" applyAlignment="1">
      <alignment horizontal="distributed" vertical="center" justifyLastLine="1"/>
    </xf>
    <xf numFmtId="0" fontId="9" fillId="0" borderId="252"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11"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234" xfId="1" applyFont="1" applyBorder="1" applyAlignment="1">
      <alignment horizontal="center" vertical="center" wrapText="1" shrinkToFit="1"/>
    </xf>
    <xf numFmtId="0" fontId="9" fillId="0" borderId="495"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32" xfId="1" applyFont="1" applyBorder="1" applyAlignment="1">
      <alignment horizontal="center" vertical="center" wrapText="1" shrinkToFit="1"/>
    </xf>
    <xf numFmtId="0" fontId="9" fillId="0" borderId="144" xfId="1" applyFont="1" applyBorder="1" applyAlignment="1">
      <alignment horizontal="center" vertical="center" wrapText="1" shrinkToFit="1"/>
    </xf>
    <xf numFmtId="0" fontId="9" fillId="0" borderId="494" xfId="1" applyFont="1" applyBorder="1" applyAlignment="1">
      <alignment horizontal="center" vertical="center" wrapText="1" shrinkToFit="1"/>
    </xf>
    <xf numFmtId="0" fontId="9" fillId="0" borderId="228"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8"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6" xfId="1" applyFont="1" applyBorder="1" applyAlignment="1">
      <alignment horizontal="left" vertical="center" wrapText="1"/>
    </xf>
    <xf numFmtId="0" fontId="9" fillId="0" borderId="512" xfId="1" applyFont="1" applyBorder="1" applyAlignment="1">
      <alignment horizontal="distributed" vertical="center"/>
    </xf>
    <xf numFmtId="0" fontId="57" fillId="0" borderId="512" xfId="1" applyFont="1" applyBorder="1" applyAlignment="1">
      <alignment horizontal="left" vertical="center" wrapText="1"/>
    </xf>
    <xf numFmtId="0" fontId="57" fillId="0" borderId="514"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16" xfId="1" applyFont="1" applyBorder="1" applyAlignment="1">
      <alignment horizontal="center" vertical="center" shrinkToFit="1"/>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0" xfId="1" applyBorder="1"/>
    <xf numFmtId="0" fontId="3" fillId="0" borderId="19" xfId="1" applyBorder="1"/>
    <xf numFmtId="0" fontId="66" fillId="0" borderId="228"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22" xfId="1" applyFont="1" applyBorder="1" applyAlignment="1">
      <alignment horizontal="distributed" vertical="center" justifyLastLine="1"/>
    </xf>
    <xf numFmtId="3" fontId="7" fillId="6" borderId="523" xfId="1" applyNumberFormat="1" applyFont="1" applyFill="1" applyBorder="1" applyAlignment="1" applyProtection="1">
      <alignment vertical="center" shrinkToFit="1"/>
      <protection locked="0"/>
    </xf>
    <xf numFmtId="0" fontId="3" fillId="0" borderId="524" xfId="1" applyBorder="1" applyAlignment="1" applyProtection="1">
      <alignment shrinkToFit="1"/>
      <protection locked="0"/>
    </xf>
    <xf numFmtId="0" fontId="3" fillId="0" borderId="525" xfId="1" applyBorder="1" applyAlignment="1" applyProtection="1">
      <alignment shrinkToFit="1"/>
      <protection locked="0"/>
    </xf>
    <xf numFmtId="0" fontId="7" fillId="3" borderId="523" xfId="1" applyFont="1" applyFill="1" applyBorder="1" applyAlignment="1" applyProtection="1">
      <alignment horizontal="center" vertical="center" shrinkToFit="1"/>
      <protection locked="0"/>
    </xf>
    <xf numFmtId="0" fontId="3" fillId="0" borderId="524" xfId="1" applyBorder="1" applyAlignment="1" applyProtection="1">
      <alignment horizontal="center" shrinkToFit="1"/>
      <protection locked="0"/>
    </xf>
    <xf numFmtId="0" fontId="3" fillId="0" borderId="525" xfId="1" applyBorder="1" applyAlignment="1" applyProtection="1">
      <alignment horizontal="center" shrinkToFit="1"/>
      <protection locked="0"/>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6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6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6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6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60-EC42-11CE-9E0D-00AA006002F3}" ax:persistence="persistStreamInit" r:id="rId1"/>
</file>

<file path=xl/activeX/activeX86.xml><?xml version="1.0" encoding="utf-8"?>
<ax:ocx xmlns:ax="http://schemas.microsoft.com/office/2006/activeX" xmlns:r="http://schemas.openxmlformats.org/officeDocument/2006/relationships" ax:classid="{8BD21D60-EC42-11CE-9E0D-00AA006002F3}"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activeX/activeX89.xml><?xml version="1.0" encoding="utf-8"?>
<ax:ocx xmlns:ax="http://schemas.microsoft.com/office/2006/activeX" xmlns:r="http://schemas.openxmlformats.org/officeDocument/2006/relationships" ax:classid="{8BD21D60-EC42-11CE-9E0D-00AA006002F3}"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png"/><Relationship Id="rId1" Type="http://schemas.openxmlformats.org/officeDocument/2006/relationships/image" Target="../media/image71.emf"/></Relationships>
</file>

<file path=xl/drawings/_rels/drawing16.x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2.emf"/><Relationship Id="rId13" Type="http://schemas.openxmlformats.org/officeDocument/2006/relationships/image" Target="../media/image97.emf"/><Relationship Id="rId18" Type="http://schemas.openxmlformats.org/officeDocument/2006/relationships/image" Target="../media/image102.emf"/><Relationship Id="rId3" Type="http://schemas.openxmlformats.org/officeDocument/2006/relationships/image" Target="../media/image87.emf"/><Relationship Id="rId7" Type="http://schemas.openxmlformats.org/officeDocument/2006/relationships/image" Target="../media/image91.emf"/><Relationship Id="rId12" Type="http://schemas.openxmlformats.org/officeDocument/2006/relationships/image" Target="../media/image96.emf"/><Relationship Id="rId17" Type="http://schemas.openxmlformats.org/officeDocument/2006/relationships/image" Target="../media/image101.emf"/><Relationship Id="rId2" Type="http://schemas.openxmlformats.org/officeDocument/2006/relationships/image" Target="../media/image86.emf"/><Relationship Id="rId16" Type="http://schemas.openxmlformats.org/officeDocument/2006/relationships/image" Target="../media/image100.emf"/><Relationship Id="rId1" Type="http://schemas.openxmlformats.org/officeDocument/2006/relationships/image" Target="../media/image85.emf"/><Relationship Id="rId6" Type="http://schemas.openxmlformats.org/officeDocument/2006/relationships/image" Target="../media/image90.emf"/><Relationship Id="rId11" Type="http://schemas.openxmlformats.org/officeDocument/2006/relationships/image" Target="../media/image95.emf"/><Relationship Id="rId5" Type="http://schemas.openxmlformats.org/officeDocument/2006/relationships/image" Target="../media/image89.emf"/><Relationship Id="rId15" Type="http://schemas.openxmlformats.org/officeDocument/2006/relationships/image" Target="../media/image99.emf"/><Relationship Id="rId10" Type="http://schemas.openxmlformats.org/officeDocument/2006/relationships/image" Target="../media/image94.emf"/><Relationship Id="rId19" Type="http://schemas.openxmlformats.org/officeDocument/2006/relationships/image" Target="../media/image103.emf"/><Relationship Id="rId4" Type="http://schemas.openxmlformats.org/officeDocument/2006/relationships/image" Target="../media/image88.emf"/><Relationship Id="rId9" Type="http://schemas.openxmlformats.org/officeDocument/2006/relationships/image" Target="../media/image93.emf"/><Relationship Id="rId14" Type="http://schemas.openxmlformats.org/officeDocument/2006/relationships/image" Target="../media/image9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6.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8.emf"/><Relationship Id="rId10" Type="http://schemas.openxmlformats.org/officeDocument/2006/relationships/image" Target="../media/image13.emf"/><Relationship Id="rId4" Type="http://schemas.openxmlformats.org/officeDocument/2006/relationships/image" Target="../media/image7.emf"/><Relationship Id="rId9"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9.emf"/><Relationship Id="rId7" Type="http://schemas.openxmlformats.org/officeDocument/2006/relationships/image" Target="../media/image23.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36.emf"/><Relationship Id="rId3" Type="http://schemas.openxmlformats.org/officeDocument/2006/relationships/image" Target="../media/image26.emf"/><Relationship Id="rId7" Type="http://schemas.openxmlformats.org/officeDocument/2006/relationships/image" Target="../media/image30.emf"/><Relationship Id="rId12" Type="http://schemas.openxmlformats.org/officeDocument/2006/relationships/image" Target="../media/image35.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5" Type="http://schemas.openxmlformats.org/officeDocument/2006/relationships/image" Target="../media/image38.emf"/><Relationship Id="rId10" Type="http://schemas.openxmlformats.org/officeDocument/2006/relationships/image" Target="../media/image33.emf"/><Relationship Id="rId4" Type="http://schemas.openxmlformats.org/officeDocument/2006/relationships/image" Target="../media/image27.emf"/><Relationship Id="rId9" Type="http://schemas.openxmlformats.org/officeDocument/2006/relationships/image" Target="../media/image32.emf"/><Relationship Id="rId14" Type="http://schemas.openxmlformats.org/officeDocument/2006/relationships/image" Target="../media/image3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6.emf"/><Relationship Id="rId13" Type="http://schemas.openxmlformats.org/officeDocument/2006/relationships/image" Target="../media/image51.emf"/><Relationship Id="rId3" Type="http://schemas.openxmlformats.org/officeDocument/2006/relationships/image" Target="../media/image41.emf"/><Relationship Id="rId7" Type="http://schemas.openxmlformats.org/officeDocument/2006/relationships/image" Target="../media/image45.emf"/><Relationship Id="rId12" Type="http://schemas.openxmlformats.org/officeDocument/2006/relationships/image" Target="../media/image50.emf"/><Relationship Id="rId2" Type="http://schemas.openxmlformats.org/officeDocument/2006/relationships/image" Target="../media/image40.emf"/><Relationship Id="rId1" Type="http://schemas.openxmlformats.org/officeDocument/2006/relationships/image" Target="../media/image39.emf"/><Relationship Id="rId6" Type="http://schemas.openxmlformats.org/officeDocument/2006/relationships/image" Target="../media/image44.emf"/><Relationship Id="rId11" Type="http://schemas.openxmlformats.org/officeDocument/2006/relationships/image" Target="../media/image49.emf"/><Relationship Id="rId5" Type="http://schemas.openxmlformats.org/officeDocument/2006/relationships/image" Target="../media/image43.emf"/><Relationship Id="rId10" Type="http://schemas.openxmlformats.org/officeDocument/2006/relationships/image" Target="../media/image48.emf"/><Relationship Id="rId4" Type="http://schemas.openxmlformats.org/officeDocument/2006/relationships/image" Target="../media/image42.emf"/><Relationship Id="rId9" Type="http://schemas.openxmlformats.org/officeDocument/2006/relationships/image" Target="../media/image4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9.emf"/><Relationship Id="rId3" Type="http://schemas.openxmlformats.org/officeDocument/2006/relationships/image" Target="../media/image54.emf"/><Relationship Id="rId7" Type="http://schemas.openxmlformats.org/officeDocument/2006/relationships/image" Target="../media/image58.emf"/><Relationship Id="rId2" Type="http://schemas.openxmlformats.org/officeDocument/2006/relationships/image" Target="../media/image53.emf"/><Relationship Id="rId1" Type="http://schemas.openxmlformats.org/officeDocument/2006/relationships/image" Target="../media/image52.emf"/><Relationship Id="rId6" Type="http://schemas.openxmlformats.org/officeDocument/2006/relationships/image" Target="../media/image57.emf"/><Relationship Id="rId5" Type="http://schemas.openxmlformats.org/officeDocument/2006/relationships/image" Target="../media/image56.emf"/><Relationship Id="rId10" Type="http://schemas.openxmlformats.org/officeDocument/2006/relationships/image" Target="../media/image61.emf"/><Relationship Id="rId4" Type="http://schemas.openxmlformats.org/officeDocument/2006/relationships/image" Target="../media/image55.emf"/><Relationship Id="rId9"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67.emf"/><Relationship Id="rId2" Type="http://schemas.openxmlformats.org/officeDocument/2006/relationships/image" Target="../media/image62.emf"/><Relationship Id="rId1" Type="http://schemas.openxmlformats.org/officeDocument/2006/relationships/image" Target="../media/image55.emf"/><Relationship Id="rId6" Type="http://schemas.openxmlformats.org/officeDocument/2006/relationships/image" Target="../media/image66.emf"/><Relationship Id="rId5" Type="http://schemas.openxmlformats.org/officeDocument/2006/relationships/image" Target="../media/image65.emf"/><Relationship Id="rId4" Type="http://schemas.openxmlformats.org/officeDocument/2006/relationships/image" Target="../media/image6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1.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4.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7.emf"/><Relationship Id="rId2" Type="http://schemas.openxmlformats.org/officeDocument/2006/relationships/image" Target="../media/image106.emf"/><Relationship Id="rId1" Type="http://schemas.openxmlformats.org/officeDocument/2006/relationships/image" Target="../media/image10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6" Type="http://schemas.openxmlformats.org/officeDocument/2006/relationships/image" Target="../media/image113.emf"/><Relationship Id="rId5" Type="http://schemas.openxmlformats.org/officeDocument/2006/relationships/image" Target="../media/image112.emf"/><Relationship Id="rId4" Type="http://schemas.openxmlformats.org/officeDocument/2006/relationships/image" Target="../media/image1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 Id="rId6" Type="http://schemas.openxmlformats.org/officeDocument/2006/relationships/image" Target="../media/image120.emf"/><Relationship Id="rId5" Type="http://schemas.openxmlformats.org/officeDocument/2006/relationships/image" Target="../media/image119.emf"/><Relationship Id="rId4" Type="http://schemas.openxmlformats.org/officeDocument/2006/relationships/image" Target="../media/image11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4.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85725</xdr:rowOff>
        </xdr:from>
        <xdr:to>
          <xdr:col>11</xdr:col>
          <xdr:colOff>152400</xdr:colOff>
          <xdr:row>3</xdr:row>
          <xdr:rowOff>28575</xdr:rowOff>
        </xdr:to>
        <xdr:sp macro="" textlink="">
          <xdr:nvSpPr>
            <xdr:cNvPr id="22529" name="Label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xdr:row>
          <xdr:rowOff>76200</xdr:rowOff>
        </xdr:from>
        <xdr:to>
          <xdr:col>11</xdr:col>
          <xdr:colOff>142875</xdr:colOff>
          <xdr:row>2</xdr:row>
          <xdr:rowOff>28575</xdr:rowOff>
        </xdr:to>
        <xdr:sp macro="" textlink="">
          <xdr:nvSpPr>
            <xdr:cNvPr id="22530" name="Label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0</xdr:row>
          <xdr:rowOff>85725</xdr:rowOff>
        </xdr:from>
        <xdr:to>
          <xdr:col>14</xdr:col>
          <xdr:colOff>180975</xdr:colOff>
          <xdr:row>2</xdr:row>
          <xdr:rowOff>0</xdr:rowOff>
        </xdr:to>
        <xdr:sp macro="" textlink="">
          <xdr:nvSpPr>
            <xdr:cNvPr id="22531" name="Label3"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xdr:row>
          <xdr:rowOff>0</xdr:rowOff>
        </xdr:from>
        <xdr:to>
          <xdr:col>14</xdr:col>
          <xdr:colOff>180975</xdr:colOff>
          <xdr:row>3</xdr:row>
          <xdr:rowOff>28575</xdr:rowOff>
        </xdr:to>
        <xdr:sp macro="" textlink="">
          <xdr:nvSpPr>
            <xdr:cNvPr id="22532" name="txt_hyouji1" hidden="1">
              <a:extLst>
                <a:ext uri="{63B3BB69-23CF-44E3-9099-C40C66FF867C}">
                  <a14:compatExt spid="_x0000_s22532"/>
                </a:ext>
                <a:ext uri="{FF2B5EF4-FFF2-40B4-BE49-F238E27FC236}">
                  <a16:creationId xmlns:a16="http://schemas.microsoft.com/office/drawing/2014/main" id="{00000000-0008-0000-06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0</xdr:row>
          <xdr:rowOff>85725</xdr:rowOff>
        </xdr:from>
        <xdr:to>
          <xdr:col>20</xdr:col>
          <xdr:colOff>38100</xdr:colOff>
          <xdr:row>3</xdr:row>
          <xdr:rowOff>38100</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0</xdr:row>
          <xdr:rowOff>85725</xdr:rowOff>
        </xdr:from>
        <xdr:to>
          <xdr:col>18</xdr:col>
          <xdr:colOff>0</xdr:colOff>
          <xdr:row>2</xdr:row>
          <xdr:rowOff>0</xdr:rowOff>
        </xdr:to>
        <xdr:sp macro="" textlink="">
          <xdr:nvSpPr>
            <xdr:cNvPr id="22534" name="Label4" hidden="1">
              <a:extLst>
                <a:ext uri="{63B3BB69-23CF-44E3-9099-C40C66FF867C}">
                  <a14:compatExt spid="_x0000_s22534"/>
                </a:ext>
                <a:ext uri="{FF2B5EF4-FFF2-40B4-BE49-F238E27FC236}">
                  <a16:creationId xmlns:a16="http://schemas.microsoft.com/office/drawing/2014/main" id="{00000000-0008-0000-06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171450</xdr:colOff>
          <xdr:row>2</xdr:row>
          <xdr:rowOff>0</xdr:rowOff>
        </xdr:from>
        <xdr:to>
          <xdr:col>18</xdr:col>
          <xdr:colOff>0</xdr:colOff>
          <xdr:row>3</xdr:row>
          <xdr:rowOff>28575</xdr:rowOff>
        </xdr:to>
        <xdr:sp macro="" textlink="">
          <xdr:nvSpPr>
            <xdr:cNvPr id="22535" name="txt_hyouji2" hidden="1">
              <a:extLst>
                <a:ext uri="{63B3BB69-23CF-44E3-9099-C40C66FF867C}">
                  <a14:compatExt spid="_x0000_s22535"/>
                </a:ext>
                <a:ext uri="{FF2B5EF4-FFF2-40B4-BE49-F238E27FC236}">
                  <a16:creationId xmlns:a16="http://schemas.microsoft.com/office/drawing/2014/main" id="{00000000-0008-0000-06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200025</xdr:colOff>
          <xdr:row>0</xdr:row>
          <xdr:rowOff>85725</xdr:rowOff>
        </xdr:from>
        <xdr:to>
          <xdr:col>18</xdr:col>
          <xdr:colOff>695325</xdr:colOff>
          <xdr:row>2</xdr:row>
          <xdr:rowOff>0</xdr:rowOff>
        </xdr:to>
        <xdr:sp macro="" textlink="">
          <xdr:nvSpPr>
            <xdr:cNvPr id="22536" name="Label5" hidden="1">
              <a:extLst>
                <a:ext uri="{63B3BB69-23CF-44E3-9099-C40C66FF867C}">
                  <a14:compatExt spid="_x0000_s22536"/>
                </a:ext>
                <a:ext uri="{FF2B5EF4-FFF2-40B4-BE49-F238E27FC236}">
                  <a16:creationId xmlns:a16="http://schemas.microsoft.com/office/drawing/2014/main" id="{00000000-0008-0000-06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200025</xdr:colOff>
          <xdr:row>2</xdr:row>
          <xdr:rowOff>0</xdr:rowOff>
        </xdr:from>
        <xdr:to>
          <xdr:col>18</xdr:col>
          <xdr:colOff>695325</xdr:colOff>
          <xdr:row>3</xdr:row>
          <xdr:rowOff>28575</xdr:rowOff>
        </xdr:to>
        <xdr:sp macro="" textlink="">
          <xdr:nvSpPr>
            <xdr:cNvPr id="22537" name="txt_hyouji3" hidden="1">
              <a:extLst>
                <a:ext uri="{63B3BB69-23CF-44E3-9099-C40C66FF867C}">
                  <a14:compatExt spid="_x0000_s22537"/>
                </a:ext>
                <a:ext uri="{FF2B5EF4-FFF2-40B4-BE49-F238E27FC236}">
                  <a16:creationId xmlns:a16="http://schemas.microsoft.com/office/drawing/2014/main" id="{00000000-0008-0000-06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685800</xdr:colOff>
          <xdr:row>0</xdr:row>
          <xdr:rowOff>85725</xdr:rowOff>
        </xdr:from>
        <xdr:to>
          <xdr:col>19</xdr:col>
          <xdr:colOff>85725</xdr:colOff>
          <xdr:row>2</xdr:row>
          <xdr:rowOff>0</xdr:rowOff>
        </xdr:to>
        <xdr:sp macro="" textlink="">
          <xdr:nvSpPr>
            <xdr:cNvPr id="22538" name="Label6" hidden="1">
              <a:extLst>
                <a:ext uri="{63B3BB69-23CF-44E3-9099-C40C66FF867C}">
                  <a14:compatExt spid="_x0000_s22538"/>
                </a:ext>
                <a:ext uri="{FF2B5EF4-FFF2-40B4-BE49-F238E27FC236}">
                  <a16:creationId xmlns:a16="http://schemas.microsoft.com/office/drawing/2014/main" id="{00000000-0008-0000-06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685800</xdr:colOff>
          <xdr:row>2</xdr:row>
          <xdr:rowOff>0</xdr:rowOff>
        </xdr:from>
        <xdr:to>
          <xdr:col>19</xdr:col>
          <xdr:colOff>85725</xdr:colOff>
          <xdr:row>3</xdr:row>
          <xdr:rowOff>28575</xdr:rowOff>
        </xdr:to>
        <xdr:sp macro="" textlink="">
          <xdr:nvSpPr>
            <xdr:cNvPr id="22539" name="txt_hyouji4" hidden="1">
              <a:extLst>
                <a:ext uri="{63B3BB69-23CF-44E3-9099-C40C66FF867C}">
                  <a14:compatExt spid="_x0000_s22539"/>
                </a:ext>
                <a:ext uri="{FF2B5EF4-FFF2-40B4-BE49-F238E27FC236}">
                  <a16:creationId xmlns:a16="http://schemas.microsoft.com/office/drawing/2014/main" id="{00000000-0008-0000-06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0</xdr:row>
          <xdr:rowOff>161925</xdr:rowOff>
        </xdr:from>
        <xdr:to>
          <xdr:col>14</xdr:col>
          <xdr:colOff>28575</xdr:colOff>
          <xdr:row>1</xdr:row>
          <xdr:rowOff>152400</xdr:rowOff>
        </xdr:to>
        <xdr:sp macro="" textlink="">
          <xdr:nvSpPr>
            <xdr:cNvPr id="22540" name="Label7" hidden="1">
              <a:extLst>
                <a:ext uri="{63B3BB69-23CF-44E3-9099-C40C66FF867C}">
                  <a14:compatExt spid="_x0000_s22540"/>
                </a:ext>
                <a:ext uri="{FF2B5EF4-FFF2-40B4-BE49-F238E27FC236}">
                  <a16:creationId xmlns:a16="http://schemas.microsoft.com/office/drawing/2014/main" id="{00000000-0008-0000-06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0</xdr:row>
          <xdr:rowOff>161925</xdr:rowOff>
        </xdr:from>
        <xdr:to>
          <xdr:col>17</xdr:col>
          <xdr:colOff>19050</xdr:colOff>
          <xdr:row>1</xdr:row>
          <xdr:rowOff>152400</xdr:rowOff>
        </xdr:to>
        <xdr:sp macro="" textlink="">
          <xdr:nvSpPr>
            <xdr:cNvPr id="22541" name="Label8" hidden="1">
              <a:extLst>
                <a:ext uri="{63B3BB69-23CF-44E3-9099-C40C66FF867C}">
                  <a14:compatExt spid="_x0000_s22541"/>
                </a:ext>
                <a:ext uri="{FF2B5EF4-FFF2-40B4-BE49-F238E27FC236}">
                  <a16:creationId xmlns:a16="http://schemas.microsoft.com/office/drawing/2014/main" id="{00000000-0008-0000-06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1162050</xdr:colOff>
          <xdr:row>9</xdr:row>
          <xdr:rowOff>85725</xdr:rowOff>
        </xdr:from>
        <xdr:to>
          <xdr:col>6</xdr:col>
          <xdr:colOff>647700</xdr:colOff>
          <xdr:row>11</xdr:row>
          <xdr:rowOff>142875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1190625</xdr:colOff>
          <xdr:row>10</xdr:row>
          <xdr:rowOff>28575</xdr:rowOff>
        </xdr:from>
        <xdr:to>
          <xdr:col>6</xdr:col>
          <xdr:colOff>619125</xdr:colOff>
          <xdr:row>11</xdr:row>
          <xdr:rowOff>19050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9</xdr:row>
          <xdr:rowOff>85725</xdr:rowOff>
        </xdr:from>
        <xdr:to>
          <xdr:col>7</xdr:col>
          <xdr:colOff>323850</xdr:colOff>
          <xdr:row>10</xdr:row>
          <xdr:rowOff>114300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10</xdr:row>
          <xdr:rowOff>114300</xdr:rowOff>
        </xdr:from>
        <xdr:to>
          <xdr:col>7</xdr:col>
          <xdr:colOff>323850</xdr:colOff>
          <xdr:row>11</xdr:row>
          <xdr:rowOff>142875</xdr:rowOff>
        </xdr:to>
        <xdr:sp macro="" textlink="">
          <xdr:nvSpPr>
            <xdr:cNvPr id="7172" name="txt_kounyu"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9</xdr:row>
          <xdr:rowOff>85725</xdr:rowOff>
        </xdr:from>
        <xdr:to>
          <xdr:col>8</xdr:col>
          <xdr:colOff>933450</xdr:colOff>
          <xdr:row>10</xdr:row>
          <xdr:rowOff>114300</xdr:rowOff>
        </xdr:to>
        <xdr:sp macro="" textlink="">
          <xdr:nvSpPr>
            <xdr:cNvPr id="7173" name="Label4"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10</xdr:row>
          <xdr:rowOff>114300</xdr:rowOff>
        </xdr:from>
        <xdr:to>
          <xdr:col>8</xdr:col>
          <xdr:colOff>933450</xdr:colOff>
          <xdr:row>11</xdr:row>
          <xdr:rowOff>142875</xdr:rowOff>
        </xdr:to>
        <xdr:sp macro="" textlink="">
          <xdr:nvSpPr>
            <xdr:cNvPr id="7174" name="txt_jikyu"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1028700</xdr:colOff>
          <xdr:row>9</xdr:row>
          <xdr:rowOff>85725</xdr:rowOff>
        </xdr:from>
        <xdr:to>
          <xdr:col>13</xdr:col>
          <xdr:colOff>0</xdr:colOff>
          <xdr:row>11</xdr:row>
          <xdr:rowOff>142875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1381125</xdr:colOff>
          <xdr:row>0</xdr:row>
          <xdr:rowOff>57150</xdr:rowOff>
        </xdr:from>
        <xdr:to>
          <xdr:col>5</xdr:col>
          <xdr:colOff>266700</xdr:colOff>
          <xdr:row>2</xdr:row>
          <xdr:rowOff>0</xdr:rowOff>
        </xdr:to>
        <xdr:sp macro="" textlink="">
          <xdr:nvSpPr>
            <xdr:cNvPr id="8208" name="Label1" hidden="1">
              <a:extLst>
                <a:ext uri="{63B3BB69-23CF-44E3-9099-C40C66FF867C}">
                  <a14:compatExt spid="_x0000_s8208"/>
                </a:ext>
                <a:ext uri="{FF2B5EF4-FFF2-40B4-BE49-F238E27FC236}">
                  <a16:creationId xmlns:a16="http://schemas.microsoft.com/office/drawing/2014/main" id="{00000000-0008-0000-09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1409700</xdr:colOff>
          <xdr:row>0</xdr:row>
          <xdr:rowOff>257175</xdr:rowOff>
        </xdr:from>
        <xdr:to>
          <xdr:col>5</xdr:col>
          <xdr:colOff>257175</xdr:colOff>
          <xdr:row>1</xdr:row>
          <xdr:rowOff>47625</xdr:rowOff>
        </xdr:to>
        <xdr:sp macro="" textlink="">
          <xdr:nvSpPr>
            <xdr:cNvPr id="8209" name="Label2" hidden="1">
              <a:extLst>
                <a:ext uri="{63B3BB69-23CF-44E3-9099-C40C66FF867C}">
                  <a14:compatExt spid="_x0000_s8209"/>
                </a:ext>
                <a:ext uri="{FF2B5EF4-FFF2-40B4-BE49-F238E27FC236}">
                  <a16:creationId xmlns:a16="http://schemas.microsoft.com/office/drawing/2014/main" id="{00000000-0008-0000-09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0</xdr:row>
          <xdr:rowOff>57150</xdr:rowOff>
        </xdr:from>
        <xdr:to>
          <xdr:col>5</xdr:col>
          <xdr:colOff>857250</xdr:colOff>
          <xdr:row>1</xdr:row>
          <xdr:rowOff>19050</xdr:rowOff>
        </xdr:to>
        <xdr:sp macro="" textlink="">
          <xdr:nvSpPr>
            <xdr:cNvPr id="8210" name="Label3" hidden="1">
              <a:extLst>
                <a:ext uri="{63B3BB69-23CF-44E3-9099-C40C66FF867C}">
                  <a14:compatExt spid="_x0000_s8210"/>
                </a:ext>
                <a:ext uri="{FF2B5EF4-FFF2-40B4-BE49-F238E27FC236}">
                  <a16:creationId xmlns:a16="http://schemas.microsoft.com/office/drawing/2014/main" id="{00000000-0008-0000-09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xdr:row>
          <xdr:rowOff>19050</xdr:rowOff>
        </xdr:from>
        <xdr:to>
          <xdr:col>5</xdr:col>
          <xdr:colOff>857250</xdr:colOff>
          <xdr:row>2</xdr:row>
          <xdr:rowOff>0</xdr:rowOff>
        </xdr:to>
        <xdr:sp macro="" textlink="">
          <xdr:nvSpPr>
            <xdr:cNvPr id="8211" name="txt_chisso" hidden="1">
              <a:extLst>
                <a:ext uri="{63B3BB69-23CF-44E3-9099-C40C66FF867C}">
                  <a14:compatExt spid="_x0000_s8211"/>
                </a:ext>
                <a:ext uri="{FF2B5EF4-FFF2-40B4-BE49-F238E27FC236}">
                  <a16:creationId xmlns:a16="http://schemas.microsoft.com/office/drawing/2014/main" id="{00000000-0008-0000-09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2</xdr:row>
          <xdr:rowOff>0</xdr:rowOff>
        </xdr:from>
        <xdr:to>
          <xdr:col>8</xdr:col>
          <xdr:colOff>466725</xdr:colOff>
          <xdr:row>4</xdr:row>
          <xdr:rowOff>57150</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0</xdr:row>
          <xdr:rowOff>57150</xdr:rowOff>
        </xdr:from>
        <xdr:to>
          <xdr:col>5</xdr:col>
          <xdr:colOff>1457325</xdr:colOff>
          <xdr:row>1</xdr:row>
          <xdr:rowOff>19050</xdr:rowOff>
        </xdr:to>
        <xdr:sp macro="" textlink="">
          <xdr:nvSpPr>
            <xdr:cNvPr id="8213" name="Label4" hidden="1">
              <a:extLst>
                <a:ext uri="{63B3BB69-23CF-44E3-9099-C40C66FF867C}">
                  <a14:compatExt spid="_x0000_s8213"/>
                </a:ext>
                <a:ext uri="{FF2B5EF4-FFF2-40B4-BE49-F238E27FC236}">
                  <a16:creationId xmlns:a16="http://schemas.microsoft.com/office/drawing/2014/main" id="{00000000-0008-0000-09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847725</xdr:colOff>
          <xdr:row>1</xdr:row>
          <xdr:rowOff>19050</xdr:rowOff>
        </xdr:from>
        <xdr:to>
          <xdr:col>5</xdr:col>
          <xdr:colOff>1457325</xdr:colOff>
          <xdr:row>2</xdr:row>
          <xdr:rowOff>0</xdr:rowOff>
        </xdr:to>
        <xdr:sp macro="" textlink="">
          <xdr:nvSpPr>
            <xdr:cNvPr id="8214" name="txt_rinsan" hidden="1">
              <a:extLst>
                <a:ext uri="{63B3BB69-23CF-44E3-9099-C40C66FF867C}">
                  <a14:compatExt spid="_x0000_s8214"/>
                </a:ext>
                <a:ext uri="{FF2B5EF4-FFF2-40B4-BE49-F238E27FC236}">
                  <a16:creationId xmlns:a16="http://schemas.microsoft.com/office/drawing/2014/main" id="{00000000-0008-0000-09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1447800</xdr:colOff>
          <xdr:row>0</xdr:row>
          <xdr:rowOff>57150</xdr:rowOff>
        </xdr:from>
        <xdr:to>
          <xdr:col>7</xdr:col>
          <xdr:colOff>180975</xdr:colOff>
          <xdr:row>1</xdr:row>
          <xdr:rowOff>19050</xdr:rowOff>
        </xdr:to>
        <xdr:sp macro="" textlink="">
          <xdr:nvSpPr>
            <xdr:cNvPr id="8215" name="Label5" hidden="1">
              <a:extLst>
                <a:ext uri="{63B3BB69-23CF-44E3-9099-C40C66FF867C}">
                  <a14:compatExt spid="_x0000_s8215"/>
                </a:ext>
                <a:ext uri="{FF2B5EF4-FFF2-40B4-BE49-F238E27FC236}">
                  <a16:creationId xmlns:a16="http://schemas.microsoft.com/office/drawing/2014/main" id="{00000000-0008-0000-09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1447800</xdr:colOff>
          <xdr:row>1</xdr:row>
          <xdr:rowOff>19050</xdr:rowOff>
        </xdr:from>
        <xdr:to>
          <xdr:col>7</xdr:col>
          <xdr:colOff>180975</xdr:colOff>
          <xdr:row>2</xdr:row>
          <xdr:rowOff>0</xdr:rowOff>
        </xdr:to>
        <xdr:sp macro="" textlink="">
          <xdr:nvSpPr>
            <xdr:cNvPr id="8216" name="txt_kari" hidden="1">
              <a:extLst>
                <a:ext uri="{63B3BB69-23CF-44E3-9099-C40C66FF867C}">
                  <a14:compatExt spid="_x0000_s8216"/>
                </a:ext>
                <a:ext uri="{FF2B5EF4-FFF2-40B4-BE49-F238E27FC236}">
                  <a16:creationId xmlns:a16="http://schemas.microsoft.com/office/drawing/2014/main" id="{00000000-0008-0000-09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57150</xdr:rowOff>
        </xdr:from>
        <xdr:to>
          <xdr:col>7</xdr:col>
          <xdr:colOff>781050</xdr:colOff>
          <xdr:row>1</xdr:row>
          <xdr:rowOff>19050</xdr:rowOff>
        </xdr:to>
        <xdr:sp macro="" textlink="">
          <xdr:nvSpPr>
            <xdr:cNvPr id="8217" name="Label6" hidden="1">
              <a:extLst>
                <a:ext uri="{63B3BB69-23CF-44E3-9099-C40C66FF867C}">
                  <a14:compatExt spid="_x0000_s8217"/>
                </a:ext>
                <a:ext uri="{FF2B5EF4-FFF2-40B4-BE49-F238E27FC236}">
                  <a16:creationId xmlns:a16="http://schemas.microsoft.com/office/drawing/2014/main" id="{00000000-0008-0000-09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xdr:row>
          <xdr:rowOff>19050</xdr:rowOff>
        </xdr:from>
        <xdr:to>
          <xdr:col>7</xdr:col>
          <xdr:colOff>781050</xdr:colOff>
          <xdr:row>2</xdr:row>
          <xdr:rowOff>0</xdr:rowOff>
        </xdr:to>
        <xdr:sp macro="" textlink="">
          <xdr:nvSpPr>
            <xdr:cNvPr id="8218" name="txt_keisan" hidden="1">
              <a:extLst>
                <a:ext uri="{63B3BB69-23CF-44E3-9099-C40C66FF867C}">
                  <a14:compatExt spid="_x0000_s8218"/>
                </a:ext>
                <a:ext uri="{FF2B5EF4-FFF2-40B4-BE49-F238E27FC236}">
                  <a16:creationId xmlns:a16="http://schemas.microsoft.com/office/drawing/2014/main" id="{00000000-0008-0000-09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0</xdr:row>
          <xdr:rowOff>57150</xdr:rowOff>
        </xdr:from>
        <xdr:to>
          <xdr:col>7</xdr:col>
          <xdr:colOff>1381125</xdr:colOff>
          <xdr:row>1</xdr:row>
          <xdr:rowOff>19050</xdr:rowOff>
        </xdr:to>
        <xdr:sp macro="" textlink="">
          <xdr:nvSpPr>
            <xdr:cNvPr id="8219" name="Label7" hidden="1">
              <a:extLst>
                <a:ext uri="{63B3BB69-23CF-44E3-9099-C40C66FF867C}">
                  <a14:compatExt spid="_x0000_s8219"/>
                </a:ext>
                <a:ext uri="{FF2B5EF4-FFF2-40B4-BE49-F238E27FC236}">
                  <a16:creationId xmlns:a16="http://schemas.microsoft.com/office/drawing/2014/main" id="{00000000-0008-0000-09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771525</xdr:colOff>
          <xdr:row>1</xdr:row>
          <xdr:rowOff>19050</xdr:rowOff>
        </xdr:from>
        <xdr:to>
          <xdr:col>7</xdr:col>
          <xdr:colOff>1381125</xdr:colOff>
          <xdr:row>2</xdr:row>
          <xdr:rowOff>0</xdr:rowOff>
        </xdr:to>
        <xdr:sp macro="" textlink="">
          <xdr:nvSpPr>
            <xdr:cNvPr id="8220" name="txt_tansan" hidden="1">
              <a:extLst>
                <a:ext uri="{63B3BB69-23CF-44E3-9099-C40C66FF867C}">
                  <a14:compatExt spid="_x0000_s8220"/>
                </a:ext>
                <a:ext uri="{FF2B5EF4-FFF2-40B4-BE49-F238E27FC236}">
                  <a16:creationId xmlns:a16="http://schemas.microsoft.com/office/drawing/2014/main" id="{00000000-0008-0000-09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1371600</xdr:colOff>
          <xdr:row>0</xdr:row>
          <xdr:rowOff>57150</xdr:rowOff>
        </xdr:from>
        <xdr:to>
          <xdr:col>8</xdr:col>
          <xdr:colOff>457200</xdr:colOff>
          <xdr:row>1</xdr:row>
          <xdr:rowOff>19050</xdr:rowOff>
        </xdr:to>
        <xdr:sp macro="" textlink="">
          <xdr:nvSpPr>
            <xdr:cNvPr id="8221" name="Label8" hidden="1">
              <a:extLst>
                <a:ext uri="{63B3BB69-23CF-44E3-9099-C40C66FF867C}">
                  <a14:compatExt spid="_x0000_s8221"/>
                </a:ext>
                <a:ext uri="{FF2B5EF4-FFF2-40B4-BE49-F238E27FC236}">
                  <a16:creationId xmlns:a16="http://schemas.microsoft.com/office/drawing/2014/main" id="{00000000-0008-0000-09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1371600</xdr:colOff>
          <xdr:row>1</xdr:row>
          <xdr:rowOff>19050</xdr:rowOff>
        </xdr:from>
        <xdr:to>
          <xdr:col>8</xdr:col>
          <xdr:colOff>457200</xdr:colOff>
          <xdr:row>2</xdr:row>
          <xdr:rowOff>0</xdr:rowOff>
        </xdr:to>
        <xdr:sp macro="" textlink="">
          <xdr:nvSpPr>
            <xdr:cNvPr id="8222" name="txt_fukugou" hidden="1">
              <a:extLst>
                <a:ext uri="{63B3BB69-23CF-44E3-9099-C40C66FF867C}">
                  <a14:compatExt spid="_x0000_s8222"/>
                </a:ext>
                <a:ext uri="{FF2B5EF4-FFF2-40B4-BE49-F238E27FC236}">
                  <a16:creationId xmlns:a16="http://schemas.microsoft.com/office/drawing/2014/main" id="{00000000-0008-0000-09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1</xdr:row>
          <xdr:rowOff>9525</xdr:rowOff>
        </xdr:from>
        <xdr:to>
          <xdr:col>4</xdr:col>
          <xdr:colOff>123825</xdr:colOff>
          <xdr:row>3</xdr:row>
          <xdr:rowOff>104775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219075</xdr:rowOff>
        </xdr:from>
        <xdr:to>
          <xdr:col>4</xdr:col>
          <xdr:colOff>95250</xdr:colOff>
          <xdr:row>2</xdr:row>
          <xdr:rowOff>133350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1</xdr:row>
          <xdr:rowOff>9525</xdr:rowOff>
        </xdr:from>
        <xdr:to>
          <xdr:col>4</xdr:col>
          <xdr:colOff>657225</xdr:colOff>
          <xdr:row>2</xdr:row>
          <xdr:rowOff>123825</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123825</xdr:colOff>
          <xdr:row>2</xdr:row>
          <xdr:rowOff>123825</xdr:rowOff>
        </xdr:from>
        <xdr:to>
          <xdr:col>4</xdr:col>
          <xdr:colOff>657225</xdr:colOff>
          <xdr:row>3</xdr:row>
          <xdr:rowOff>104775</xdr:rowOff>
        </xdr:to>
        <xdr:sp macro="" textlink="">
          <xdr:nvSpPr>
            <xdr:cNvPr id="9220" name="txt_sacchuuzai"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xdr:row>
          <xdr:rowOff>9525</xdr:rowOff>
        </xdr:from>
        <xdr:to>
          <xdr:col>6</xdr:col>
          <xdr:colOff>0</xdr:colOff>
          <xdr:row>3</xdr:row>
          <xdr:rowOff>104775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1</xdr:row>
          <xdr:rowOff>9525</xdr:rowOff>
        </xdr:from>
        <xdr:to>
          <xdr:col>4</xdr:col>
          <xdr:colOff>1190625</xdr:colOff>
          <xdr:row>2</xdr:row>
          <xdr:rowOff>123825</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2</xdr:row>
          <xdr:rowOff>123825</xdr:rowOff>
        </xdr:from>
        <xdr:to>
          <xdr:col>4</xdr:col>
          <xdr:colOff>1190625</xdr:colOff>
          <xdr:row>3</xdr:row>
          <xdr:rowOff>104775</xdr:rowOff>
        </xdr:to>
        <xdr:sp macro="" textlink="">
          <xdr:nvSpPr>
            <xdr:cNvPr id="9223" name="txt_sakkinzai"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1</xdr:row>
          <xdr:rowOff>9525</xdr:rowOff>
        </xdr:from>
        <xdr:to>
          <xdr:col>5</xdr:col>
          <xdr:colOff>19050</xdr:colOff>
          <xdr:row>2</xdr:row>
          <xdr:rowOff>123825</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2</xdr:row>
          <xdr:rowOff>123825</xdr:rowOff>
        </xdr:from>
        <xdr:to>
          <xdr:col>5</xdr:col>
          <xdr:colOff>19050</xdr:colOff>
          <xdr:row>3</xdr:row>
          <xdr:rowOff>104775</xdr:rowOff>
        </xdr:to>
        <xdr:sp macro="" textlink="">
          <xdr:nvSpPr>
            <xdr:cNvPr id="9225" name="txt_sachuukin"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9525</xdr:rowOff>
        </xdr:from>
        <xdr:to>
          <xdr:col>5</xdr:col>
          <xdr:colOff>533400</xdr:colOff>
          <xdr:row>2</xdr:row>
          <xdr:rowOff>123825</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123825</xdr:rowOff>
        </xdr:from>
        <xdr:to>
          <xdr:col>5</xdr:col>
          <xdr:colOff>533400</xdr:colOff>
          <xdr:row>3</xdr:row>
          <xdr:rowOff>104775</xdr:rowOff>
        </xdr:to>
        <xdr:sp macro="" textlink="">
          <xdr:nvSpPr>
            <xdr:cNvPr id="9227" name="txt_josouzai"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123825</xdr:rowOff>
        </xdr:from>
        <xdr:to>
          <xdr:col>4</xdr:col>
          <xdr:colOff>590550</xdr:colOff>
          <xdr:row>2</xdr:row>
          <xdr:rowOff>57150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723900</xdr:colOff>
          <xdr:row>1</xdr:row>
          <xdr:rowOff>123825</xdr:rowOff>
        </xdr:from>
        <xdr:to>
          <xdr:col>4</xdr:col>
          <xdr:colOff>1123950</xdr:colOff>
          <xdr:row>2</xdr:row>
          <xdr:rowOff>57150</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1</xdr:row>
          <xdr:rowOff>66675</xdr:rowOff>
        </xdr:from>
        <xdr:to>
          <xdr:col>4</xdr:col>
          <xdr:colOff>1657350</xdr:colOff>
          <xdr:row>2</xdr:row>
          <xdr:rowOff>95250</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133350</xdr:rowOff>
        </xdr:from>
        <xdr:to>
          <xdr:col>5</xdr:col>
          <xdr:colOff>447675</xdr:colOff>
          <xdr:row>2</xdr:row>
          <xdr:rowOff>66675</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8</xdr:row>
          <xdr:rowOff>28575</xdr:rowOff>
        </xdr:from>
        <xdr:to>
          <xdr:col>26</xdr:col>
          <xdr:colOff>142875</xdr:colOff>
          <xdr:row>8</xdr:row>
          <xdr:rowOff>238125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238125</xdr:rowOff>
        </xdr:from>
        <xdr:to>
          <xdr:col>26</xdr:col>
          <xdr:colOff>142875</xdr:colOff>
          <xdr:row>9</xdr:row>
          <xdr:rowOff>66675</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66675</xdr:rowOff>
        </xdr:from>
        <xdr:to>
          <xdr:col>26</xdr:col>
          <xdr:colOff>142875</xdr:colOff>
          <xdr:row>10</xdr:row>
          <xdr:rowOff>104775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428625</xdr:colOff>
          <xdr:row>39</xdr:row>
          <xdr:rowOff>9525</xdr:rowOff>
        </xdr:from>
        <xdr:to>
          <xdr:col>12</xdr:col>
          <xdr:colOff>1152525</xdr:colOff>
          <xdr:row>40</xdr:row>
          <xdr:rowOff>171450</xdr:rowOff>
        </xdr:to>
        <xdr:sp macro="" textlink="">
          <xdr:nvSpPr>
            <xdr:cNvPr id="10251" name="Label2" hidden="1">
              <a:extLst>
                <a:ext uri="{63B3BB69-23CF-44E3-9099-C40C66FF867C}">
                  <a14:compatExt spid="_x0000_s10251"/>
                </a:ext>
                <a:ext uri="{FF2B5EF4-FFF2-40B4-BE49-F238E27FC236}">
                  <a16:creationId xmlns:a16="http://schemas.microsoft.com/office/drawing/2014/main" id="{00000000-0008-0000-0B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466725</xdr:colOff>
          <xdr:row>39</xdr:row>
          <xdr:rowOff>123825</xdr:rowOff>
        </xdr:from>
        <xdr:to>
          <xdr:col>12</xdr:col>
          <xdr:colOff>1104900</xdr:colOff>
          <xdr:row>40</xdr:row>
          <xdr:rowOff>66675</xdr:rowOff>
        </xdr:to>
        <xdr:sp macro="" textlink="">
          <xdr:nvSpPr>
            <xdr:cNvPr id="10252" name="Label3" hidden="1">
              <a:extLst>
                <a:ext uri="{63B3BB69-23CF-44E3-9099-C40C66FF867C}">
                  <a14:compatExt spid="_x0000_s10252"/>
                </a:ext>
                <a:ext uri="{FF2B5EF4-FFF2-40B4-BE49-F238E27FC236}">
                  <a16:creationId xmlns:a16="http://schemas.microsoft.com/office/drawing/2014/main" id="{00000000-0008-0000-0B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39</xdr:row>
          <xdr:rowOff>9525</xdr:rowOff>
        </xdr:from>
        <xdr:to>
          <xdr:col>14</xdr:col>
          <xdr:colOff>219075</xdr:colOff>
          <xdr:row>40</xdr:row>
          <xdr:rowOff>0</xdr:rowOff>
        </xdr:to>
        <xdr:sp macro="" textlink="">
          <xdr:nvSpPr>
            <xdr:cNvPr id="10253" name="Label4" hidden="1">
              <a:extLst>
                <a:ext uri="{63B3BB69-23CF-44E3-9099-C40C66FF867C}">
                  <a14:compatExt spid="_x0000_s10253"/>
                </a:ext>
                <a:ext uri="{FF2B5EF4-FFF2-40B4-BE49-F238E27FC236}">
                  <a16:creationId xmlns:a16="http://schemas.microsoft.com/office/drawing/2014/main" id="{00000000-0008-0000-0B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40</xdr:row>
          <xdr:rowOff>0</xdr:rowOff>
        </xdr:from>
        <xdr:to>
          <xdr:col>14</xdr:col>
          <xdr:colOff>219075</xdr:colOff>
          <xdr:row>40</xdr:row>
          <xdr:rowOff>171450</xdr:rowOff>
        </xdr:to>
        <xdr:sp macro="" textlink="">
          <xdr:nvSpPr>
            <xdr:cNvPr id="10254" name="txt_kounyu" hidden="1">
              <a:extLst>
                <a:ext uri="{63B3BB69-23CF-44E3-9099-C40C66FF867C}">
                  <a14:compatExt spid="_x0000_s10254"/>
                </a:ext>
                <a:ext uri="{FF2B5EF4-FFF2-40B4-BE49-F238E27FC236}">
                  <a16:creationId xmlns:a16="http://schemas.microsoft.com/office/drawing/2014/main" id="{00000000-0008-0000-0B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9525</xdr:rowOff>
        </xdr:from>
        <xdr:to>
          <xdr:col>14</xdr:col>
          <xdr:colOff>923925</xdr:colOff>
          <xdr:row>40</xdr:row>
          <xdr:rowOff>0</xdr:rowOff>
        </xdr:to>
        <xdr:sp macro="" textlink="">
          <xdr:nvSpPr>
            <xdr:cNvPr id="10256" name="Label5" hidden="1">
              <a:extLst>
                <a:ext uri="{63B3BB69-23CF-44E3-9099-C40C66FF867C}">
                  <a14:compatExt spid="_x0000_s10256"/>
                </a:ext>
                <a:ext uri="{FF2B5EF4-FFF2-40B4-BE49-F238E27FC236}">
                  <a16:creationId xmlns:a16="http://schemas.microsoft.com/office/drawing/2014/main" id="{00000000-0008-0000-0B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0</xdr:rowOff>
        </xdr:from>
        <xdr:to>
          <xdr:col>14</xdr:col>
          <xdr:colOff>923925</xdr:colOff>
          <xdr:row>40</xdr:row>
          <xdr:rowOff>171450</xdr:rowOff>
        </xdr:to>
        <xdr:sp macro="" textlink="">
          <xdr:nvSpPr>
            <xdr:cNvPr id="10257" name="txt_jikyu" hidden="1">
              <a:extLst>
                <a:ext uri="{63B3BB69-23CF-44E3-9099-C40C66FF867C}">
                  <a14:compatExt spid="_x0000_s10257"/>
                </a:ext>
                <a:ext uri="{FF2B5EF4-FFF2-40B4-BE49-F238E27FC236}">
                  <a16:creationId xmlns:a16="http://schemas.microsoft.com/office/drawing/2014/main" id="{00000000-0008-0000-0B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133350</xdr:colOff>
          <xdr:row>36</xdr:row>
          <xdr:rowOff>0</xdr:rowOff>
        </xdr:from>
        <xdr:to>
          <xdr:col>12</xdr:col>
          <xdr:colOff>57150</xdr:colOff>
          <xdr:row>36</xdr:row>
          <xdr:rowOff>342900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36</xdr:row>
          <xdr:rowOff>104775</xdr:rowOff>
        </xdr:from>
        <xdr:to>
          <xdr:col>12</xdr:col>
          <xdr:colOff>0</xdr:colOff>
          <xdr:row>36</xdr:row>
          <xdr:rowOff>238125</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E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36</xdr:row>
          <xdr:rowOff>0</xdr:rowOff>
        </xdr:from>
        <xdr:to>
          <xdr:col>14</xdr:col>
          <xdr:colOff>190500</xdr:colOff>
          <xdr:row>36</xdr:row>
          <xdr:rowOff>171450</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36</xdr:row>
          <xdr:rowOff>171450</xdr:rowOff>
        </xdr:from>
        <xdr:to>
          <xdr:col>14</xdr:col>
          <xdr:colOff>190500</xdr:colOff>
          <xdr:row>36</xdr:row>
          <xdr:rowOff>342900</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E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36</xdr:row>
          <xdr:rowOff>352425</xdr:rowOff>
        </xdr:from>
        <xdr:to>
          <xdr:col>17</xdr:col>
          <xdr:colOff>104775</xdr:colOff>
          <xdr:row>37</xdr:row>
          <xdr:rowOff>314325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36</xdr:row>
          <xdr:rowOff>0</xdr:rowOff>
        </xdr:from>
        <xdr:to>
          <xdr:col>17</xdr:col>
          <xdr:colOff>114300</xdr:colOff>
          <xdr:row>36</xdr:row>
          <xdr:rowOff>171450</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E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36</xdr:row>
          <xdr:rowOff>171450</xdr:rowOff>
        </xdr:from>
        <xdr:to>
          <xdr:col>17</xdr:col>
          <xdr:colOff>114300</xdr:colOff>
          <xdr:row>36</xdr:row>
          <xdr:rowOff>342900</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E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142875</xdr:rowOff>
        </xdr:from>
        <xdr:to>
          <xdr:col>11</xdr:col>
          <xdr:colOff>466725</xdr:colOff>
          <xdr:row>1</xdr:row>
          <xdr:rowOff>171450</xdr:rowOff>
        </xdr:to>
        <xdr:sp macro="" textlink="">
          <xdr:nvSpPr>
            <xdr:cNvPr id="14357" name="Label1" hidden="1">
              <a:extLst>
                <a:ext uri="{63B3BB69-23CF-44E3-9099-C40C66FF867C}">
                  <a14:compatExt spid="_x0000_s14357"/>
                </a:ext>
                <a:ext uri="{FF2B5EF4-FFF2-40B4-BE49-F238E27FC236}">
                  <a16:creationId xmlns:a16="http://schemas.microsoft.com/office/drawing/2014/main" id="{00000000-0008-0000-0F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466725</xdr:colOff>
          <xdr:row>3</xdr:row>
          <xdr:rowOff>28575</xdr:rowOff>
        </xdr:to>
        <xdr:sp macro="" textlink="">
          <xdr:nvSpPr>
            <xdr:cNvPr id="14358" name="txt_hyouji" hidden="1">
              <a:extLst>
                <a:ext uri="{63B3BB69-23CF-44E3-9099-C40C66FF867C}">
                  <a14:compatExt spid="_x0000_s14358"/>
                </a:ext>
                <a:ext uri="{FF2B5EF4-FFF2-40B4-BE49-F238E27FC236}">
                  <a16:creationId xmlns:a16="http://schemas.microsoft.com/office/drawing/2014/main" id="{00000000-0008-0000-0F00-00001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142875</xdr:rowOff>
        </xdr:from>
        <xdr:to>
          <xdr:col>11</xdr:col>
          <xdr:colOff>1800225</xdr:colOff>
          <xdr:row>3</xdr:row>
          <xdr:rowOff>19050</xdr:rowOff>
        </xdr:to>
        <xdr:sp macro="" textlink="">
          <xdr:nvSpPr>
            <xdr:cNvPr id="14359" name="btnKoushin1" hidden="1">
              <a:extLst>
                <a:ext uri="{63B3BB69-23CF-44E3-9099-C40C66FF867C}">
                  <a14:compatExt spid="_x0000_s14359"/>
                </a:ext>
                <a:ext uri="{FF2B5EF4-FFF2-40B4-BE49-F238E27FC236}">
                  <a16:creationId xmlns:a16="http://schemas.microsoft.com/office/drawing/2014/main" id="{00000000-0008-0000-0F00-00001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457200</xdr:colOff>
          <xdr:row>1</xdr:row>
          <xdr:rowOff>0</xdr:rowOff>
        </xdr:from>
        <xdr:to>
          <xdr:col>11</xdr:col>
          <xdr:colOff>152400</xdr:colOff>
          <xdr:row>2</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2</xdr:row>
          <xdr:rowOff>19050</xdr:rowOff>
        </xdr:from>
        <xdr:to>
          <xdr:col>11</xdr:col>
          <xdr:colOff>152400</xdr:colOff>
          <xdr:row>3</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xdr:row>
          <xdr:rowOff>0</xdr:rowOff>
        </xdr:from>
        <xdr:to>
          <xdr:col>11</xdr:col>
          <xdr:colOff>1552575</xdr:colOff>
          <xdr:row>3</xdr:row>
          <xdr:rowOff>57150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9525</xdr:colOff>
          <xdr:row>5</xdr:row>
          <xdr:rowOff>161925</xdr:rowOff>
        </xdr:from>
        <xdr:to>
          <xdr:col>5</xdr:col>
          <xdr:colOff>28575</xdr:colOff>
          <xdr:row>7</xdr:row>
          <xdr:rowOff>19050</xdr:rowOff>
        </xdr:to>
        <xdr:sp macro="" textlink="">
          <xdr:nvSpPr>
            <xdr:cNvPr id="16388" name="Label1"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19050</xdr:rowOff>
        </xdr:from>
        <xdr:to>
          <xdr:col>5</xdr:col>
          <xdr:colOff>28575</xdr:colOff>
          <xdr:row>8</xdr:row>
          <xdr:rowOff>47625</xdr:rowOff>
        </xdr:to>
        <xdr:sp macro="" textlink="">
          <xdr:nvSpPr>
            <xdr:cNvPr id="16389" name="txt_hyouji"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161925</xdr:rowOff>
        </xdr:from>
        <xdr:to>
          <xdr:col>6</xdr:col>
          <xdr:colOff>85725</xdr:colOff>
          <xdr:row>8</xdr:row>
          <xdr:rowOff>47625</xdr:rowOff>
        </xdr:to>
        <xdr:sp macro="" textlink="">
          <xdr:nvSpPr>
            <xdr:cNvPr id="16390" name="btnKoushin1"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152400</xdr:rowOff>
        </xdr:from>
        <xdr:to>
          <xdr:col>57</xdr:col>
          <xdr:colOff>104775</xdr:colOff>
          <xdr:row>5</xdr:row>
          <xdr:rowOff>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0</xdr:rowOff>
        </xdr:from>
        <xdr:to>
          <xdr:col>57</xdr:col>
          <xdr:colOff>104775</xdr:colOff>
          <xdr:row>6</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19050</xdr:colOff>
          <xdr:row>3</xdr:row>
          <xdr:rowOff>152400</xdr:rowOff>
        </xdr:from>
        <xdr:to>
          <xdr:col>64</xdr:col>
          <xdr:colOff>85725</xdr:colOff>
          <xdr:row>6</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76200</xdr:rowOff>
        </xdr:from>
        <xdr:to>
          <xdr:col>4</xdr:col>
          <xdr:colOff>1076325</xdr:colOff>
          <xdr:row>18</xdr:row>
          <xdr:rowOff>57150</xdr:rowOff>
        </xdr:to>
        <xdr:sp macro="" textlink="">
          <xdr:nvSpPr>
            <xdr:cNvPr id="18436" name="Label1" hidden="1">
              <a:extLst>
                <a:ext uri="{63B3BB69-23CF-44E3-9099-C40C66FF867C}">
                  <a14:compatExt spid="_x0000_s18436"/>
                </a:ext>
                <a:ext uri="{FF2B5EF4-FFF2-40B4-BE49-F238E27FC236}">
                  <a16:creationId xmlns:a16="http://schemas.microsoft.com/office/drawing/2014/main" id="{00000000-0008-0000-14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57150</xdr:rowOff>
        </xdr:from>
        <xdr:to>
          <xdr:col>4</xdr:col>
          <xdr:colOff>1076325</xdr:colOff>
          <xdr:row>19</xdr:row>
          <xdr:rowOff>38100</xdr:rowOff>
        </xdr:to>
        <xdr:sp macro="" textlink="">
          <xdr:nvSpPr>
            <xdr:cNvPr id="18437" name="txt_hyouji1"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76200</xdr:rowOff>
        </xdr:from>
        <xdr:to>
          <xdr:col>6</xdr:col>
          <xdr:colOff>180975</xdr:colOff>
          <xdr:row>19</xdr:row>
          <xdr:rowOff>38100</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1066800</xdr:colOff>
          <xdr:row>184</xdr:row>
          <xdr:rowOff>28575</xdr:rowOff>
        </xdr:to>
        <xdr:sp macro="" textlink="">
          <xdr:nvSpPr>
            <xdr:cNvPr id="18442" name="Label2" hidden="1">
              <a:extLst>
                <a:ext uri="{63B3BB69-23CF-44E3-9099-C40C66FF867C}">
                  <a14:compatExt spid="_x0000_s18442"/>
                </a:ext>
                <a:ext uri="{FF2B5EF4-FFF2-40B4-BE49-F238E27FC236}">
                  <a16:creationId xmlns:a16="http://schemas.microsoft.com/office/drawing/2014/main" id="{00000000-0008-0000-14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28575</xdr:rowOff>
        </xdr:from>
        <xdr:to>
          <xdr:col>4</xdr:col>
          <xdr:colOff>1066800</xdr:colOff>
          <xdr:row>185</xdr:row>
          <xdr:rowOff>9525</xdr:rowOff>
        </xdr:to>
        <xdr:sp macro="" textlink="">
          <xdr:nvSpPr>
            <xdr:cNvPr id="18443" name="txt_hyouji2" hidden="1">
              <a:extLst>
                <a:ext uri="{63B3BB69-23CF-44E3-9099-C40C66FF867C}">
                  <a14:compatExt spid="_x0000_s18443"/>
                </a:ext>
                <a:ext uri="{FF2B5EF4-FFF2-40B4-BE49-F238E27FC236}">
                  <a16:creationId xmlns:a16="http://schemas.microsoft.com/office/drawing/2014/main" id="{00000000-0008-0000-14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183</xdr:row>
          <xdr:rowOff>0</xdr:rowOff>
        </xdr:from>
        <xdr:to>
          <xdr:col>6</xdr:col>
          <xdr:colOff>171450</xdr:colOff>
          <xdr:row>185</xdr:row>
          <xdr:rowOff>9525</xdr:rowOff>
        </xdr:to>
        <xdr:sp macro="" textlink="">
          <xdr:nvSpPr>
            <xdr:cNvPr id="18444" name="btnKoushin2" hidden="1">
              <a:extLst>
                <a:ext uri="{63B3BB69-23CF-44E3-9099-C40C66FF867C}">
                  <a14:compatExt spid="_x0000_s18444"/>
                </a:ext>
                <a:ext uri="{FF2B5EF4-FFF2-40B4-BE49-F238E27FC236}">
                  <a16:creationId xmlns:a16="http://schemas.microsoft.com/office/drawing/2014/main" id="{00000000-0008-0000-14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14</xdr:row>
          <xdr:rowOff>161925</xdr:rowOff>
        </xdr:from>
        <xdr:to>
          <xdr:col>6</xdr:col>
          <xdr:colOff>171450</xdr:colOff>
          <xdr:row>16</xdr:row>
          <xdr:rowOff>142875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14</xdr:row>
          <xdr:rowOff>161925</xdr:rowOff>
        </xdr:from>
        <xdr:to>
          <xdr:col>5</xdr:col>
          <xdr:colOff>9525</xdr:colOff>
          <xdr:row>15</xdr:row>
          <xdr:rowOff>152400</xdr:rowOff>
        </xdr:to>
        <xdr:sp macro="" textlink="">
          <xdr:nvSpPr>
            <xdr:cNvPr id="19458" name="Label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152400</xdr:rowOff>
        </xdr:from>
        <xdr:to>
          <xdr:col>5</xdr:col>
          <xdr:colOff>9525</xdr:colOff>
          <xdr:row>16</xdr:row>
          <xdr:rowOff>142875</xdr:rowOff>
        </xdr:to>
        <xdr:sp macro="" textlink="">
          <xdr:nvSpPr>
            <xdr:cNvPr id="19459" name="txt_hyouji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182</xdr:row>
          <xdr:rowOff>0</xdr:rowOff>
        </xdr:from>
        <xdr:to>
          <xdr:col>6</xdr:col>
          <xdr:colOff>161925</xdr:colOff>
          <xdr:row>183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5</xdr:col>
          <xdr:colOff>0</xdr:colOff>
          <xdr:row>182</xdr:row>
          <xdr:rowOff>171450</xdr:rowOff>
        </xdr:to>
        <xdr:sp macro="" textlink="">
          <xdr:nvSpPr>
            <xdr:cNvPr id="19461" name="Label2" hidden="1">
              <a:extLst>
                <a:ext uri="{63B3BB69-23CF-44E3-9099-C40C66FF867C}">
                  <a14:compatExt spid="_x0000_s19461"/>
                </a:ext>
                <a:ext uri="{FF2B5EF4-FFF2-40B4-BE49-F238E27FC236}">
                  <a16:creationId xmlns:a16="http://schemas.microsoft.com/office/drawing/2014/main" id="{00000000-0008-0000-15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161925</xdr:rowOff>
        </xdr:from>
        <xdr:to>
          <xdr:col>5</xdr:col>
          <xdr:colOff>0</xdr:colOff>
          <xdr:row>183</xdr:row>
          <xdr:rowOff>152400</xdr:rowOff>
        </xdr:to>
        <xdr:sp macro="" textlink="">
          <xdr:nvSpPr>
            <xdr:cNvPr id="19462" name="txt_hyouji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3.vml"/><Relationship Id="rId21" Type="http://schemas.openxmlformats.org/officeDocument/2006/relationships/image" Target="../media/image12.emf"/><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5" Type="http://schemas.openxmlformats.org/officeDocument/2006/relationships/image" Target="../media/image14.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6.emf"/><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7.emf"/><Relationship Id="rId24" Type="http://schemas.openxmlformats.org/officeDocument/2006/relationships/control" Target="../activeX/activeX11.xml"/><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5.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3" Type="http://schemas.openxmlformats.org/officeDocument/2006/relationships/vmlDrawing" Target="../drawings/vmlDrawing4.vml"/><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 Type="http://schemas.openxmlformats.org/officeDocument/2006/relationships/drawing" Target="../drawings/drawing8.xml"/><Relationship Id="rId16" Type="http://schemas.openxmlformats.org/officeDocument/2006/relationships/control" Target="../activeX/activeX20.xml"/><Relationship Id="rId1" Type="http://schemas.openxmlformats.org/officeDocument/2006/relationships/printerSettings" Target="../printerSettings/printerSettings9.bin"/><Relationship Id="rId6" Type="http://schemas.openxmlformats.org/officeDocument/2006/relationships/control" Target="../activeX/activeX15.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vmlDrawing" Target="../drawings/vmlDrawing5.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5.xml"/><Relationship Id="rId17" Type="http://schemas.openxmlformats.org/officeDocument/2006/relationships/image" Target="../media/image30.emf"/><Relationship Id="rId25" Type="http://schemas.openxmlformats.org/officeDocument/2006/relationships/image" Target="../media/image34.emf"/><Relationship Id="rId33" Type="http://schemas.openxmlformats.org/officeDocument/2006/relationships/image" Target="../media/image38.emf"/><Relationship Id="rId2" Type="http://schemas.openxmlformats.org/officeDocument/2006/relationships/drawing" Target="../drawings/drawing9.xm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36.emf"/><Relationship Id="rId1" Type="http://schemas.openxmlformats.org/officeDocument/2006/relationships/printerSettings" Target="../printerSettings/printerSettings10.bin"/><Relationship Id="rId6" Type="http://schemas.openxmlformats.org/officeDocument/2006/relationships/control" Target="../activeX/activeX22.xml"/><Relationship Id="rId11" Type="http://schemas.openxmlformats.org/officeDocument/2006/relationships/image" Target="../media/image27.emf"/><Relationship Id="rId24" Type="http://schemas.openxmlformats.org/officeDocument/2006/relationships/control" Target="../activeX/activeX31.xml"/><Relationship Id="rId32" Type="http://schemas.openxmlformats.org/officeDocument/2006/relationships/control" Target="../activeX/activeX35.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28" Type="http://schemas.openxmlformats.org/officeDocument/2006/relationships/control" Target="../activeX/activeX33.xml"/><Relationship Id="rId10" Type="http://schemas.openxmlformats.org/officeDocument/2006/relationships/control" Target="../activeX/activeX24.xml"/><Relationship Id="rId19" Type="http://schemas.openxmlformats.org/officeDocument/2006/relationships/image" Target="../media/image31.emf"/><Relationship Id="rId31" Type="http://schemas.openxmlformats.org/officeDocument/2006/relationships/image" Target="../media/image37.emf"/><Relationship Id="rId4" Type="http://schemas.openxmlformats.org/officeDocument/2006/relationships/control" Target="../activeX/activeX21.xml"/><Relationship Id="rId9" Type="http://schemas.openxmlformats.org/officeDocument/2006/relationships/image" Target="../media/image26.emf"/><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image" Target="../media/image35.emf"/><Relationship Id="rId30" Type="http://schemas.openxmlformats.org/officeDocument/2006/relationships/control" Target="../activeX/activeX34.xml"/><Relationship Id="rId8"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8.xml"/><Relationship Id="rId13" Type="http://schemas.openxmlformats.org/officeDocument/2006/relationships/image" Target="../media/image43.emf"/><Relationship Id="rId18" Type="http://schemas.openxmlformats.org/officeDocument/2006/relationships/image" Target="../media/image45.emf"/><Relationship Id="rId26" Type="http://schemas.openxmlformats.org/officeDocument/2006/relationships/control" Target="../activeX/activeX48.xml"/><Relationship Id="rId3" Type="http://schemas.openxmlformats.org/officeDocument/2006/relationships/vmlDrawing" Target="../drawings/vmlDrawing6.vml"/><Relationship Id="rId21" Type="http://schemas.openxmlformats.org/officeDocument/2006/relationships/control" Target="../activeX/activeX45.xml"/><Relationship Id="rId7" Type="http://schemas.openxmlformats.org/officeDocument/2006/relationships/image" Target="../media/image40.emf"/><Relationship Id="rId12" Type="http://schemas.openxmlformats.org/officeDocument/2006/relationships/control" Target="../activeX/activeX40.xml"/><Relationship Id="rId17" Type="http://schemas.openxmlformats.org/officeDocument/2006/relationships/control" Target="../activeX/activeX43.xml"/><Relationship Id="rId25" Type="http://schemas.openxmlformats.org/officeDocument/2006/relationships/image" Target="../media/image48.emf"/><Relationship Id="rId2" Type="http://schemas.openxmlformats.org/officeDocument/2006/relationships/drawing" Target="../drawings/drawing10.xml"/><Relationship Id="rId16" Type="http://schemas.openxmlformats.org/officeDocument/2006/relationships/image" Target="../media/image44.emf"/><Relationship Id="rId20" Type="http://schemas.openxmlformats.org/officeDocument/2006/relationships/image" Target="../media/image46.emf"/><Relationship Id="rId29" Type="http://schemas.openxmlformats.org/officeDocument/2006/relationships/image" Target="../media/image50.emf"/><Relationship Id="rId1" Type="http://schemas.openxmlformats.org/officeDocument/2006/relationships/printerSettings" Target="../printerSettings/printerSettings11.bin"/><Relationship Id="rId6" Type="http://schemas.openxmlformats.org/officeDocument/2006/relationships/control" Target="../activeX/activeX37.xml"/><Relationship Id="rId11" Type="http://schemas.openxmlformats.org/officeDocument/2006/relationships/image" Target="../media/image42.emf"/><Relationship Id="rId24" Type="http://schemas.openxmlformats.org/officeDocument/2006/relationships/control" Target="../activeX/activeX47.xml"/><Relationship Id="rId5" Type="http://schemas.openxmlformats.org/officeDocument/2006/relationships/image" Target="../media/image39.emf"/><Relationship Id="rId15" Type="http://schemas.openxmlformats.org/officeDocument/2006/relationships/control" Target="../activeX/activeX42.xml"/><Relationship Id="rId23" Type="http://schemas.openxmlformats.org/officeDocument/2006/relationships/image" Target="../media/image47.emf"/><Relationship Id="rId28" Type="http://schemas.openxmlformats.org/officeDocument/2006/relationships/control" Target="../activeX/activeX49.xml"/><Relationship Id="rId10" Type="http://schemas.openxmlformats.org/officeDocument/2006/relationships/control" Target="../activeX/activeX39.xml"/><Relationship Id="rId19" Type="http://schemas.openxmlformats.org/officeDocument/2006/relationships/control" Target="../activeX/activeX44.xml"/><Relationship Id="rId31" Type="http://schemas.openxmlformats.org/officeDocument/2006/relationships/image" Target="../media/image51.emf"/><Relationship Id="rId4" Type="http://schemas.openxmlformats.org/officeDocument/2006/relationships/control" Target="../activeX/activeX36.xml"/><Relationship Id="rId9" Type="http://schemas.openxmlformats.org/officeDocument/2006/relationships/image" Target="../media/image41.emf"/><Relationship Id="rId14" Type="http://schemas.openxmlformats.org/officeDocument/2006/relationships/control" Target="../activeX/activeX41.xml"/><Relationship Id="rId22" Type="http://schemas.openxmlformats.org/officeDocument/2006/relationships/control" Target="../activeX/activeX46.xml"/><Relationship Id="rId27" Type="http://schemas.openxmlformats.org/officeDocument/2006/relationships/image" Target="../media/image49.emf"/><Relationship Id="rId30" Type="http://schemas.openxmlformats.org/officeDocument/2006/relationships/control" Target="../activeX/activeX5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6.emf"/><Relationship Id="rId18" Type="http://schemas.openxmlformats.org/officeDocument/2006/relationships/control" Target="../activeX/activeX58.xml"/><Relationship Id="rId3" Type="http://schemas.openxmlformats.org/officeDocument/2006/relationships/vmlDrawing" Target="../drawings/vmlDrawing7.vml"/><Relationship Id="rId21" Type="http://schemas.openxmlformats.org/officeDocument/2006/relationships/image" Target="../media/image60.emf"/><Relationship Id="rId7" Type="http://schemas.openxmlformats.org/officeDocument/2006/relationships/image" Target="../media/image53.emf"/><Relationship Id="rId12" Type="http://schemas.openxmlformats.org/officeDocument/2006/relationships/control" Target="../activeX/activeX55.xml"/><Relationship Id="rId17" Type="http://schemas.openxmlformats.org/officeDocument/2006/relationships/image" Target="../media/image58.emf"/><Relationship Id="rId2" Type="http://schemas.openxmlformats.org/officeDocument/2006/relationships/drawing" Target="../drawings/drawing11.xml"/><Relationship Id="rId16" Type="http://schemas.openxmlformats.org/officeDocument/2006/relationships/control" Target="../activeX/activeX57.xml"/><Relationship Id="rId20" Type="http://schemas.openxmlformats.org/officeDocument/2006/relationships/control" Target="../activeX/activeX59.xml"/><Relationship Id="rId1" Type="http://schemas.openxmlformats.org/officeDocument/2006/relationships/printerSettings" Target="../printerSettings/printerSettings12.bin"/><Relationship Id="rId6" Type="http://schemas.openxmlformats.org/officeDocument/2006/relationships/control" Target="../activeX/activeX52.xml"/><Relationship Id="rId11" Type="http://schemas.openxmlformats.org/officeDocument/2006/relationships/image" Target="../media/image55.emf"/><Relationship Id="rId5" Type="http://schemas.openxmlformats.org/officeDocument/2006/relationships/image" Target="../media/image52.emf"/><Relationship Id="rId15" Type="http://schemas.openxmlformats.org/officeDocument/2006/relationships/image" Target="../media/image57.emf"/><Relationship Id="rId23" Type="http://schemas.openxmlformats.org/officeDocument/2006/relationships/image" Target="../media/image61.emf"/><Relationship Id="rId10" Type="http://schemas.openxmlformats.org/officeDocument/2006/relationships/control" Target="../activeX/activeX54.xml"/><Relationship Id="rId19" Type="http://schemas.openxmlformats.org/officeDocument/2006/relationships/image" Target="../media/image59.emf"/><Relationship Id="rId4" Type="http://schemas.openxmlformats.org/officeDocument/2006/relationships/control" Target="../activeX/activeX51.xml"/><Relationship Id="rId9" Type="http://schemas.openxmlformats.org/officeDocument/2006/relationships/image" Target="../media/image54.emf"/><Relationship Id="rId14" Type="http://schemas.openxmlformats.org/officeDocument/2006/relationships/control" Target="../activeX/activeX56.xml"/><Relationship Id="rId22" Type="http://schemas.openxmlformats.org/officeDocument/2006/relationships/control" Target="../activeX/activeX6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5.emf"/><Relationship Id="rId3" Type="http://schemas.openxmlformats.org/officeDocument/2006/relationships/vmlDrawing" Target="../drawings/vmlDrawing8.vml"/><Relationship Id="rId7" Type="http://schemas.openxmlformats.org/officeDocument/2006/relationships/image" Target="../media/image62.emf"/><Relationship Id="rId12" Type="http://schemas.openxmlformats.org/officeDocument/2006/relationships/control" Target="../activeX/activeX65.xml"/><Relationship Id="rId17" Type="http://schemas.openxmlformats.org/officeDocument/2006/relationships/image" Target="../media/image67.emf"/><Relationship Id="rId2" Type="http://schemas.openxmlformats.org/officeDocument/2006/relationships/drawing" Target="../drawings/drawing14.xml"/><Relationship Id="rId16" Type="http://schemas.openxmlformats.org/officeDocument/2006/relationships/control" Target="../activeX/activeX67.xml"/><Relationship Id="rId1" Type="http://schemas.openxmlformats.org/officeDocument/2006/relationships/printerSettings" Target="../printerSettings/printerSettings15.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55.emf"/><Relationship Id="rId15" Type="http://schemas.openxmlformats.org/officeDocument/2006/relationships/image" Target="../media/image66.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 Id="rId14" Type="http://schemas.openxmlformats.org/officeDocument/2006/relationships/control" Target="../activeX/activeX6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9.vml"/><Relationship Id="rId7" Type="http://schemas.openxmlformats.org/officeDocument/2006/relationships/control" Target="../activeX/activeX69.x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image" Target="../media/image68.emf"/><Relationship Id="rId5" Type="http://schemas.openxmlformats.org/officeDocument/2006/relationships/control" Target="../activeX/activeX68.xml"/><Relationship Id="rId10" Type="http://schemas.openxmlformats.org/officeDocument/2006/relationships/image" Target="../media/image70.emf"/><Relationship Id="rId4" Type="http://schemas.openxmlformats.org/officeDocument/2006/relationships/vmlDrawing" Target="../drawings/vmlDrawing10.vml"/><Relationship Id="rId9" Type="http://schemas.openxmlformats.org/officeDocument/2006/relationships/control" Target="../activeX/activeX7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1.vml"/><Relationship Id="rId7" Type="http://schemas.openxmlformats.org/officeDocument/2006/relationships/control" Target="../activeX/activeX72.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75.emf"/><Relationship Id="rId5" Type="http://schemas.openxmlformats.org/officeDocument/2006/relationships/control" Target="../activeX/activeX71.xml"/><Relationship Id="rId10" Type="http://schemas.openxmlformats.org/officeDocument/2006/relationships/image" Target="../media/image77.emf"/><Relationship Id="rId4" Type="http://schemas.openxmlformats.org/officeDocument/2006/relationships/vmlDrawing" Target="../drawings/vmlDrawing12.vml"/><Relationship Id="rId9" Type="http://schemas.openxmlformats.org/officeDocument/2006/relationships/control" Target="../activeX/activeX7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vmlDrawing" Target="../drawings/vmlDrawing13.vml"/><Relationship Id="rId7" Type="http://schemas.openxmlformats.org/officeDocument/2006/relationships/control" Target="../activeX/activeX75.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82.emf"/><Relationship Id="rId5" Type="http://schemas.openxmlformats.org/officeDocument/2006/relationships/control" Target="../activeX/activeX74.xml"/><Relationship Id="rId10" Type="http://schemas.openxmlformats.org/officeDocument/2006/relationships/image" Target="../media/image84.emf"/><Relationship Id="rId4" Type="http://schemas.openxmlformats.org/officeDocument/2006/relationships/vmlDrawing" Target="../drawings/vmlDrawing14.vml"/><Relationship Id="rId9" Type="http://schemas.openxmlformats.org/officeDocument/2006/relationships/control" Target="../activeX/activeX7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vmlDrawing" Target="../drawings/vmlDrawing15.vml"/><Relationship Id="rId7" Type="http://schemas.openxmlformats.org/officeDocument/2006/relationships/image" Target="../media/image106.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78.xml"/><Relationship Id="rId5" Type="http://schemas.openxmlformats.org/officeDocument/2006/relationships/image" Target="../media/image105.emf"/><Relationship Id="rId4" Type="http://schemas.openxmlformats.org/officeDocument/2006/relationships/control" Target="../activeX/activeX77.xml"/><Relationship Id="rId9" Type="http://schemas.openxmlformats.org/officeDocument/2006/relationships/image" Target="../media/image107.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4.xml"/><Relationship Id="rId3" Type="http://schemas.openxmlformats.org/officeDocument/2006/relationships/vmlDrawing" Target="../drawings/vmlDrawing16.vml"/><Relationship Id="rId7" Type="http://schemas.openxmlformats.org/officeDocument/2006/relationships/control" Target="../activeX/activeX81.xml"/><Relationship Id="rId12" Type="http://schemas.openxmlformats.org/officeDocument/2006/relationships/image" Target="../media/image111.emf"/><Relationship Id="rId2" Type="http://schemas.openxmlformats.org/officeDocument/2006/relationships/drawing" Target="../drawings/drawing19.xml"/><Relationship Id="rId16" Type="http://schemas.openxmlformats.org/officeDocument/2006/relationships/image" Target="../media/image113.emf"/><Relationship Id="rId1" Type="http://schemas.openxmlformats.org/officeDocument/2006/relationships/printerSettings" Target="../printerSettings/printerSettings21.bin"/><Relationship Id="rId6" Type="http://schemas.openxmlformats.org/officeDocument/2006/relationships/image" Target="../media/image108.emf"/><Relationship Id="rId11" Type="http://schemas.openxmlformats.org/officeDocument/2006/relationships/control" Target="../activeX/activeX83.xml"/><Relationship Id="rId5" Type="http://schemas.openxmlformats.org/officeDocument/2006/relationships/control" Target="../activeX/activeX80.xml"/><Relationship Id="rId15" Type="http://schemas.openxmlformats.org/officeDocument/2006/relationships/control" Target="../activeX/activeX85.xml"/><Relationship Id="rId10" Type="http://schemas.openxmlformats.org/officeDocument/2006/relationships/image" Target="../media/image110.emf"/><Relationship Id="rId4" Type="http://schemas.openxmlformats.org/officeDocument/2006/relationships/vmlDrawing" Target="../drawings/vmlDrawing17.vml"/><Relationship Id="rId9" Type="http://schemas.openxmlformats.org/officeDocument/2006/relationships/control" Target="../activeX/activeX82.xml"/><Relationship Id="rId14" Type="http://schemas.openxmlformats.org/officeDocument/2006/relationships/image" Target="../media/image112.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16.emf"/><Relationship Id="rId13" Type="http://schemas.openxmlformats.org/officeDocument/2006/relationships/control" Target="../activeX/activeX90.xml"/><Relationship Id="rId3" Type="http://schemas.openxmlformats.org/officeDocument/2006/relationships/vmlDrawing" Target="../drawings/vmlDrawing18.vml"/><Relationship Id="rId7" Type="http://schemas.openxmlformats.org/officeDocument/2006/relationships/control" Target="../activeX/activeX87.xml"/><Relationship Id="rId12" Type="http://schemas.openxmlformats.org/officeDocument/2006/relationships/image" Target="../media/image118.emf"/><Relationship Id="rId2" Type="http://schemas.openxmlformats.org/officeDocument/2006/relationships/drawing" Target="../drawings/drawing20.xml"/><Relationship Id="rId16" Type="http://schemas.openxmlformats.org/officeDocument/2006/relationships/image" Target="../media/image120.emf"/><Relationship Id="rId1" Type="http://schemas.openxmlformats.org/officeDocument/2006/relationships/printerSettings" Target="../printerSettings/printerSettings22.bin"/><Relationship Id="rId6" Type="http://schemas.openxmlformats.org/officeDocument/2006/relationships/image" Target="../media/image115.emf"/><Relationship Id="rId11" Type="http://schemas.openxmlformats.org/officeDocument/2006/relationships/control" Target="../activeX/activeX89.xml"/><Relationship Id="rId5" Type="http://schemas.openxmlformats.org/officeDocument/2006/relationships/control" Target="../activeX/activeX86.xml"/><Relationship Id="rId15" Type="http://schemas.openxmlformats.org/officeDocument/2006/relationships/control" Target="../activeX/activeX91.xml"/><Relationship Id="rId10" Type="http://schemas.openxmlformats.org/officeDocument/2006/relationships/image" Target="../media/image117.emf"/><Relationship Id="rId4" Type="http://schemas.openxmlformats.org/officeDocument/2006/relationships/vmlDrawing" Target="../drawings/vmlDrawing19.vml"/><Relationship Id="rId9" Type="http://schemas.openxmlformats.org/officeDocument/2006/relationships/control" Target="../activeX/activeX88.xml"/><Relationship Id="rId14" Type="http://schemas.openxmlformats.org/officeDocument/2006/relationships/image" Target="../media/image119.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7" t="s">
        <v>2</v>
      </c>
      <c r="B5" s="4"/>
      <c r="C5" s="1090" t="s">
        <v>3</v>
      </c>
      <c r="D5" s="1091"/>
      <c r="E5" s="1091"/>
      <c r="F5" s="1091"/>
      <c r="G5" s="1091"/>
      <c r="H5" s="1092"/>
    </row>
    <row r="6" spans="1:8" ht="17.25">
      <c r="A6" s="1088"/>
      <c r="B6" s="4"/>
      <c r="C6" s="1093" t="s">
        <v>4</v>
      </c>
      <c r="D6" s="1093" t="s">
        <v>5</v>
      </c>
      <c r="E6" s="1093" t="s">
        <v>6</v>
      </c>
      <c r="F6" s="1093" t="s">
        <v>7</v>
      </c>
      <c r="G6" s="1093" t="s">
        <v>8</v>
      </c>
      <c r="H6" s="1093" t="s">
        <v>9</v>
      </c>
    </row>
    <row r="7" spans="1:8" ht="18" thickBot="1">
      <c r="A7" s="1089"/>
      <c r="B7" s="4"/>
      <c r="C7" s="1094"/>
      <c r="D7" s="1094"/>
      <c r="E7" s="1094"/>
      <c r="F7" s="1094"/>
      <c r="G7" s="1094"/>
      <c r="H7" s="109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大豆生産費統計（組織法人）</v>
      </c>
      <c r="F12" s="1085"/>
      <c r="G12" s="1085"/>
      <c r="H12" s="108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96" t="s">
        <v>19</v>
      </c>
      <c r="E3" s="1096"/>
      <c r="F3" s="1096"/>
      <c r="G3" s="1096"/>
      <c r="H3" s="1096"/>
      <c r="I3" s="1096"/>
    </row>
    <row r="4" spans="4:66" ht="3.75" customHeight="1" thickBot="1">
      <c r="BG4" s="20"/>
      <c r="BH4" s="21"/>
      <c r="BI4" s="21"/>
      <c r="BJ4" s="21"/>
      <c r="BK4" s="21"/>
      <c r="BL4" s="21"/>
      <c r="BM4" s="21"/>
      <c r="BN4" s="21"/>
    </row>
    <row r="5" spans="4:66" ht="14.25" customHeight="1">
      <c r="E5" s="1097" t="s">
        <v>20</v>
      </c>
      <c r="F5" s="1098"/>
      <c r="G5" s="1098"/>
      <c r="H5" s="1099"/>
      <c r="BG5" s="20"/>
      <c r="BH5" s="22"/>
      <c r="BI5" s="22"/>
      <c r="BJ5" s="22"/>
      <c r="BK5" s="22"/>
      <c r="BL5" s="23"/>
      <c r="BM5" s="23"/>
      <c r="BN5" s="23"/>
    </row>
    <row r="6" spans="4:66" ht="14.25" customHeight="1" thickBot="1">
      <c r="E6" s="1100"/>
      <c r="F6" s="1101"/>
      <c r="G6" s="1101"/>
      <c r="H6" s="1102"/>
      <c r="BG6" s="20"/>
      <c r="BH6" s="22"/>
      <c r="BI6" s="22"/>
      <c r="BK6" s="22"/>
      <c r="BL6" s="23"/>
      <c r="BM6" s="23"/>
      <c r="BN6" s="23"/>
    </row>
    <row r="7" spans="4:66" ht="14.25" customHeight="1">
      <c r="E7" s="1103" t="s">
        <v>21</v>
      </c>
      <c r="F7" s="1104"/>
      <c r="G7" s="1104"/>
      <c r="H7" s="1105"/>
      <c r="BH7" s="24"/>
      <c r="BI7" s="24"/>
      <c r="BJ7" s="24"/>
      <c r="BK7" s="24"/>
      <c r="BL7" s="23"/>
      <c r="BM7" s="23"/>
      <c r="BN7" s="23"/>
    </row>
    <row r="8" spans="4:66" ht="14.25" customHeight="1" thickBot="1">
      <c r="E8" s="1106"/>
      <c r="F8" s="1107"/>
      <c r="G8" s="1107"/>
      <c r="H8" s="110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09" t="s">
        <v>22</v>
      </c>
      <c r="E12" s="1109"/>
      <c r="F12" s="1109"/>
      <c r="G12" s="1109"/>
      <c r="H12" s="1109"/>
      <c r="I12" s="1109"/>
      <c r="J12" s="1109"/>
      <c r="K12" s="1109"/>
      <c r="L12" s="1109"/>
      <c r="M12" s="1109"/>
      <c r="N12" s="1109"/>
      <c r="O12" s="1109"/>
      <c r="P12" s="1109"/>
      <c r="Q12" s="1109"/>
      <c r="R12" s="1109"/>
      <c r="S12" s="1109"/>
      <c r="T12" s="1109"/>
      <c r="U12" s="1109"/>
      <c r="V12" s="1109"/>
      <c r="W12" s="1109"/>
      <c r="X12" s="1109"/>
      <c r="Y12" s="1109"/>
      <c r="Z12" s="1109"/>
      <c r="AA12" s="1109"/>
      <c r="AB12" s="1109"/>
      <c r="AC12" s="1109"/>
      <c r="AD12" s="1109"/>
      <c r="AE12" s="1109"/>
      <c r="AF12" s="1109"/>
      <c r="AG12" s="1109"/>
      <c r="AH12" s="1109"/>
      <c r="AI12" s="1109"/>
      <c r="AJ12" s="1109"/>
      <c r="AK12" s="1109"/>
      <c r="AL12" s="1109"/>
      <c r="AM12" s="1109"/>
      <c r="AN12" s="1109"/>
      <c r="AO12" s="1109"/>
      <c r="AP12" s="1109"/>
      <c r="AQ12" s="1109"/>
      <c r="AR12" s="1109"/>
      <c r="AS12" s="1109"/>
      <c r="AT12" s="1109"/>
      <c r="AU12" s="1109"/>
      <c r="AV12" s="1109"/>
      <c r="AW12" s="1109"/>
      <c r="AX12" s="1109"/>
      <c r="AY12" s="1109"/>
      <c r="AZ12" s="1109"/>
      <c r="BA12" s="1109"/>
      <c r="BB12" s="1109"/>
      <c r="BC12" s="1109"/>
      <c r="BD12" s="1109"/>
      <c r="BE12" s="27"/>
      <c r="BF12" s="27"/>
      <c r="BG12" s="27"/>
      <c r="BH12" s="27"/>
      <c r="BI12" s="27"/>
      <c r="BJ12" s="27"/>
      <c r="BK12" s="27"/>
    </row>
    <row r="13" spans="4:66" ht="21" customHeight="1">
      <c r="D13" s="1109"/>
      <c r="E13" s="1109"/>
      <c r="F13" s="1109"/>
      <c r="G13" s="1109"/>
      <c r="H13" s="1109"/>
      <c r="I13" s="1109"/>
      <c r="J13" s="1109"/>
      <c r="K13" s="1109"/>
      <c r="L13" s="1109"/>
      <c r="M13" s="1109"/>
      <c r="N13" s="1109"/>
      <c r="O13" s="1109"/>
      <c r="P13" s="1109"/>
      <c r="Q13" s="1109"/>
      <c r="R13" s="1109"/>
      <c r="S13" s="1109"/>
      <c r="T13" s="1109"/>
      <c r="U13" s="1109"/>
      <c r="V13" s="1109"/>
      <c r="W13" s="1109"/>
      <c r="X13" s="1109"/>
      <c r="Y13" s="1109"/>
      <c r="Z13" s="1109"/>
      <c r="AA13" s="1109"/>
      <c r="AB13" s="1109"/>
      <c r="AC13" s="1109"/>
      <c r="AD13" s="1109"/>
      <c r="AE13" s="1109"/>
      <c r="AF13" s="1109"/>
      <c r="AG13" s="1109"/>
      <c r="AH13" s="1109"/>
      <c r="AI13" s="1109"/>
      <c r="AJ13" s="1109"/>
      <c r="AK13" s="1109"/>
      <c r="AL13" s="1109"/>
      <c r="AM13" s="1109"/>
      <c r="AN13" s="1109"/>
      <c r="AO13" s="1109"/>
      <c r="AP13" s="1109"/>
      <c r="AQ13" s="1109"/>
      <c r="AR13" s="1109"/>
      <c r="AS13" s="1109"/>
      <c r="AT13" s="1109"/>
      <c r="AU13" s="1109"/>
      <c r="AV13" s="1109"/>
      <c r="AW13" s="1109"/>
      <c r="AX13" s="1109"/>
      <c r="AY13" s="1109"/>
      <c r="AZ13" s="1109"/>
      <c r="BA13" s="1109"/>
      <c r="BB13" s="1109"/>
      <c r="BC13" s="1109"/>
      <c r="BD13" s="1109"/>
      <c r="BE13" s="27"/>
      <c r="BF13" s="27"/>
      <c r="BG13" s="27"/>
      <c r="BH13" s="27"/>
      <c r="BI13" s="27"/>
      <c r="BJ13" s="27"/>
      <c r="BK13" s="27"/>
    </row>
    <row r="14" spans="4:66" ht="13.5" customHeight="1">
      <c r="D14" s="1109"/>
      <c r="E14" s="1109"/>
      <c r="F14" s="1109"/>
      <c r="G14" s="1109"/>
      <c r="H14" s="1109"/>
      <c r="I14" s="1109"/>
      <c r="J14" s="1109"/>
      <c r="K14" s="1109"/>
      <c r="L14" s="1109"/>
      <c r="M14" s="1109"/>
      <c r="N14" s="1109"/>
      <c r="O14" s="1109"/>
      <c r="P14" s="1109"/>
      <c r="Q14" s="1109"/>
      <c r="R14" s="1109"/>
      <c r="S14" s="1109"/>
      <c r="T14" s="1109"/>
      <c r="U14" s="1109"/>
      <c r="V14" s="1109"/>
      <c r="W14" s="1109"/>
      <c r="X14" s="1109"/>
      <c r="Y14" s="1109"/>
      <c r="Z14" s="1109"/>
      <c r="AA14" s="1109"/>
      <c r="AB14" s="1109"/>
      <c r="AC14" s="1109"/>
      <c r="AD14" s="1109"/>
      <c r="AE14" s="1109"/>
      <c r="AF14" s="1109"/>
      <c r="AG14" s="1109"/>
      <c r="AH14" s="1109"/>
      <c r="AI14" s="1109"/>
      <c r="AJ14" s="1109"/>
      <c r="AK14" s="1109"/>
      <c r="AL14" s="1109"/>
      <c r="AM14" s="1109"/>
      <c r="AN14" s="1109"/>
      <c r="AO14" s="1109"/>
      <c r="AP14" s="1109"/>
      <c r="AQ14" s="1109"/>
      <c r="AR14" s="1109"/>
      <c r="AS14" s="1109"/>
      <c r="AT14" s="1109"/>
      <c r="AU14" s="1109"/>
      <c r="AV14" s="1109"/>
      <c r="AW14" s="1109"/>
      <c r="AX14" s="1109"/>
      <c r="AY14" s="1109"/>
      <c r="AZ14" s="1109"/>
      <c r="BA14" s="1109"/>
      <c r="BB14" s="1109"/>
      <c r="BC14" s="1109"/>
      <c r="BD14" s="110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0" t="str">
        <f>指標部入力!A8 &amp; "年産　" &amp; リスト!C21 &amp; "生産費統計調査票"</f>
        <v>年産　大豆生産費統計調査票</v>
      </c>
      <c r="E16" s="1110"/>
      <c r="F16" s="1110"/>
      <c r="G16" s="1110"/>
      <c r="H16" s="1110"/>
      <c r="I16" s="1110"/>
      <c r="J16" s="1110"/>
      <c r="K16" s="1110"/>
      <c r="L16" s="1110"/>
      <c r="M16" s="1110"/>
      <c r="N16" s="1110"/>
      <c r="O16" s="1110"/>
      <c r="P16" s="1110"/>
      <c r="Q16" s="1110"/>
      <c r="R16" s="1110"/>
      <c r="S16" s="1110"/>
      <c r="T16" s="1110"/>
      <c r="U16" s="1110"/>
      <c r="V16" s="1110"/>
      <c r="W16" s="1110"/>
      <c r="X16" s="1110"/>
      <c r="Y16" s="1110"/>
      <c r="Z16" s="1110"/>
      <c r="AA16" s="1110"/>
      <c r="AB16" s="1110"/>
      <c r="AC16" s="1110"/>
      <c r="AD16" s="1110"/>
      <c r="AE16" s="1110"/>
      <c r="AF16" s="1110"/>
      <c r="AG16" s="1110"/>
      <c r="AH16" s="1110"/>
      <c r="AI16" s="1110"/>
      <c r="AJ16" s="1110"/>
      <c r="AK16" s="1110"/>
      <c r="AL16" s="1110"/>
      <c r="AM16" s="1110"/>
      <c r="AN16" s="1110"/>
      <c r="AO16" s="1110"/>
      <c r="AP16" s="1110"/>
      <c r="AQ16" s="1110"/>
      <c r="AR16" s="1110"/>
      <c r="AS16" s="1110"/>
      <c r="AT16" s="1110"/>
      <c r="AU16" s="1110"/>
      <c r="AV16" s="1110"/>
      <c r="AW16" s="1110"/>
      <c r="AX16" s="1110"/>
      <c r="AY16" s="1110"/>
      <c r="AZ16" s="1110"/>
      <c r="BA16" s="1110"/>
      <c r="BB16" s="1110"/>
      <c r="BC16" s="1110"/>
      <c r="BD16" s="1110"/>
      <c r="BE16" s="29"/>
      <c r="BF16" s="29"/>
      <c r="BG16" s="29"/>
      <c r="BH16" s="29"/>
      <c r="BI16" s="29"/>
      <c r="BJ16" s="29"/>
    </row>
    <row r="17" spans="4:66" ht="13.5" customHeight="1">
      <c r="D17" s="1110"/>
      <c r="E17" s="1110"/>
      <c r="F17" s="1110"/>
      <c r="G17" s="1110"/>
      <c r="H17" s="1110"/>
      <c r="I17" s="1110"/>
      <c r="J17" s="1110"/>
      <c r="K17" s="1110"/>
      <c r="L17" s="1110"/>
      <c r="M17" s="1110"/>
      <c r="N17" s="1110"/>
      <c r="O17" s="1110"/>
      <c r="P17" s="1110"/>
      <c r="Q17" s="1110"/>
      <c r="R17" s="1110"/>
      <c r="S17" s="1110"/>
      <c r="T17" s="1110"/>
      <c r="U17" s="1110"/>
      <c r="V17" s="1110"/>
      <c r="W17" s="1110"/>
      <c r="X17" s="1110"/>
      <c r="Y17" s="1110"/>
      <c r="Z17" s="1110"/>
      <c r="AA17" s="1110"/>
      <c r="AB17" s="1110"/>
      <c r="AC17" s="1110"/>
      <c r="AD17" s="1110"/>
      <c r="AE17" s="1110"/>
      <c r="AF17" s="1110"/>
      <c r="AG17" s="1110"/>
      <c r="AH17" s="1110"/>
      <c r="AI17" s="1110"/>
      <c r="AJ17" s="1110"/>
      <c r="AK17" s="1110"/>
      <c r="AL17" s="1110"/>
      <c r="AM17" s="1110"/>
      <c r="AN17" s="1110"/>
      <c r="AO17" s="1110"/>
      <c r="AP17" s="1110"/>
      <c r="AQ17" s="1110"/>
      <c r="AR17" s="1110"/>
      <c r="AS17" s="1110"/>
      <c r="AT17" s="1110"/>
      <c r="AU17" s="1110"/>
      <c r="AV17" s="1110"/>
      <c r="AW17" s="1110"/>
      <c r="AX17" s="1110"/>
      <c r="AY17" s="1110"/>
      <c r="AZ17" s="1110"/>
      <c r="BA17" s="1110"/>
      <c r="BB17" s="1110"/>
      <c r="BC17" s="1110"/>
      <c r="BD17" s="1110"/>
      <c r="BE17" s="29"/>
      <c r="BF17" s="29"/>
      <c r="BG17" s="29"/>
      <c r="BH17" s="29"/>
      <c r="BI17" s="29"/>
      <c r="BJ17" s="29"/>
      <c r="BK17" s="30"/>
    </row>
    <row r="18" spans="4:66" ht="13.5" customHeight="1">
      <c r="D18" s="1110"/>
      <c r="E18" s="1110"/>
      <c r="F18" s="1110"/>
      <c r="G18" s="1110"/>
      <c r="H18" s="1110"/>
      <c r="I18" s="1110"/>
      <c r="J18" s="1110"/>
      <c r="K18" s="1110"/>
      <c r="L18" s="1110"/>
      <c r="M18" s="1110"/>
      <c r="N18" s="1110"/>
      <c r="O18" s="1110"/>
      <c r="P18" s="1110"/>
      <c r="Q18" s="1110"/>
      <c r="R18" s="1110"/>
      <c r="S18" s="1110"/>
      <c r="T18" s="1110"/>
      <c r="U18" s="1110"/>
      <c r="V18" s="1110"/>
      <c r="W18" s="1110"/>
      <c r="X18" s="1110"/>
      <c r="Y18" s="1110"/>
      <c r="Z18" s="1110"/>
      <c r="AA18" s="1110"/>
      <c r="AB18" s="1110"/>
      <c r="AC18" s="1110"/>
      <c r="AD18" s="1110"/>
      <c r="AE18" s="1110"/>
      <c r="AF18" s="1110"/>
      <c r="AG18" s="1110"/>
      <c r="AH18" s="1110"/>
      <c r="AI18" s="1110"/>
      <c r="AJ18" s="1110"/>
      <c r="AK18" s="1110"/>
      <c r="AL18" s="1110"/>
      <c r="AM18" s="1110"/>
      <c r="AN18" s="1110"/>
      <c r="AO18" s="1110"/>
      <c r="AP18" s="1110"/>
      <c r="AQ18" s="1110"/>
      <c r="AR18" s="1110"/>
      <c r="AS18" s="1110"/>
      <c r="AT18" s="1110"/>
      <c r="AU18" s="1110"/>
      <c r="AV18" s="1110"/>
      <c r="AW18" s="1110"/>
      <c r="AX18" s="1110"/>
      <c r="AY18" s="1110"/>
      <c r="AZ18" s="1110"/>
      <c r="BA18" s="1110"/>
      <c r="BB18" s="1110"/>
      <c r="BC18" s="1110"/>
      <c r="BD18" s="111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5" t="s">
        <v>23</v>
      </c>
      <c r="E20" s="1095"/>
      <c r="F20" s="1095"/>
      <c r="G20" s="1095"/>
      <c r="H20" s="1095"/>
      <c r="I20" s="1095"/>
      <c r="J20" s="1095"/>
      <c r="K20" s="1095"/>
      <c r="L20" s="1095"/>
      <c r="M20" s="1095"/>
      <c r="N20" s="1095"/>
      <c r="O20" s="1095"/>
      <c r="P20" s="1095"/>
      <c r="Q20" s="1095"/>
      <c r="R20" s="1095"/>
      <c r="S20" s="1095"/>
      <c r="T20" s="1095"/>
      <c r="U20" s="1095"/>
      <c r="V20" s="1095"/>
      <c r="W20" s="1095"/>
      <c r="X20" s="1095"/>
      <c r="Y20" s="1095"/>
      <c r="Z20" s="1095"/>
      <c r="AA20" s="1095"/>
      <c r="AB20" s="1095"/>
      <c r="AC20" s="1095"/>
      <c r="AD20" s="1095"/>
      <c r="AE20" s="1095"/>
      <c r="AF20" s="1095"/>
      <c r="AG20" s="1095"/>
      <c r="AH20" s="1095"/>
      <c r="AI20" s="1095"/>
      <c r="AJ20" s="1095"/>
      <c r="AK20" s="1095"/>
      <c r="AL20" s="1095"/>
      <c r="AM20" s="1095"/>
      <c r="AN20" s="1095"/>
      <c r="AO20" s="1095"/>
      <c r="AP20" s="1095"/>
      <c r="AQ20" s="1095"/>
      <c r="AR20" s="1095"/>
      <c r="AS20" s="1095"/>
      <c r="AT20" s="1095"/>
      <c r="AU20" s="1095"/>
      <c r="AV20" s="1095"/>
      <c r="AW20" s="1095"/>
      <c r="AX20" s="1095"/>
      <c r="AY20" s="1095"/>
      <c r="AZ20" s="1095"/>
      <c r="BA20" s="1095"/>
      <c r="BB20" s="1095"/>
      <c r="BC20" s="1095"/>
      <c r="BD20" s="1095"/>
      <c r="BE20" s="33"/>
      <c r="BF20" s="33"/>
      <c r="BG20" s="33"/>
      <c r="BH20" s="33"/>
      <c r="BI20" s="33"/>
      <c r="BJ20" s="33"/>
      <c r="BK20" s="33"/>
      <c r="BL20" s="31"/>
      <c r="BM20" s="31"/>
      <c r="BN20" s="31"/>
    </row>
    <row r="21" spans="4:66" ht="13.5" customHeight="1">
      <c r="D21" s="1095"/>
      <c r="E21" s="1095"/>
      <c r="F21" s="1095"/>
      <c r="G21" s="1095"/>
      <c r="H21" s="1095"/>
      <c r="I21" s="1095"/>
      <c r="J21" s="1095"/>
      <c r="K21" s="1095"/>
      <c r="L21" s="1095"/>
      <c r="M21" s="1095"/>
      <c r="N21" s="1095"/>
      <c r="O21" s="1095"/>
      <c r="P21" s="1095"/>
      <c r="Q21" s="1095"/>
      <c r="R21" s="1095"/>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33"/>
      <c r="BF21" s="33"/>
      <c r="BG21" s="33"/>
      <c r="BH21" s="33"/>
      <c r="BI21" s="33"/>
      <c r="BJ21" s="33"/>
      <c r="BK21" s="33"/>
      <c r="BL21" s="31"/>
      <c r="BM21" s="31"/>
      <c r="BN21" s="31"/>
    </row>
    <row r="22" spans="4:66" ht="13.5" customHeight="1">
      <c r="D22" s="1095"/>
      <c r="E22" s="1095"/>
      <c r="F22" s="1095"/>
      <c r="G22" s="1095"/>
      <c r="H22" s="1095"/>
      <c r="I22" s="1095"/>
      <c r="J22" s="1095"/>
      <c r="K22" s="1095"/>
      <c r="L22" s="1095"/>
      <c r="M22" s="1095"/>
      <c r="N22" s="1095"/>
      <c r="O22" s="1095"/>
      <c r="P22" s="1095"/>
      <c r="Q22" s="1095"/>
      <c r="R22" s="1095"/>
      <c r="S22" s="1095"/>
      <c r="T22" s="1095"/>
      <c r="U22" s="1095"/>
      <c r="V22" s="1095"/>
      <c r="W22" s="1095"/>
      <c r="X22" s="1095"/>
      <c r="Y22" s="1095"/>
      <c r="Z22" s="1095"/>
      <c r="AA22" s="1095"/>
      <c r="AB22" s="1095"/>
      <c r="AC22" s="1095"/>
      <c r="AD22" s="1095"/>
      <c r="AE22" s="1095"/>
      <c r="AF22" s="1095"/>
      <c r="AG22" s="1095"/>
      <c r="AH22" s="1095"/>
      <c r="AI22" s="1095"/>
      <c r="AJ22" s="1095"/>
      <c r="AK22" s="1095"/>
      <c r="AL22" s="1095"/>
      <c r="AM22" s="1095"/>
      <c r="AN22" s="1095"/>
      <c r="AO22" s="1095"/>
      <c r="AP22" s="1095"/>
      <c r="AQ22" s="1095"/>
      <c r="AR22" s="1095"/>
      <c r="AS22" s="1095"/>
      <c r="AT22" s="1095"/>
      <c r="AU22" s="1095"/>
      <c r="AV22" s="1095"/>
      <c r="AW22" s="1095"/>
      <c r="AX22" s="1095"/>
      <c r="AY22" s="1095"/>
      <c r="AZ22" s="1095"/>
      <c r="BA22" s="1095"/>
      <c r="BB22" s="1095"/>
      <c r="BC22" s="1095"/>
      <c r="BD22" s="109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1" t="s">
        <v>25</v>
      </c>
      <c r="F34" s="1122"/>
      <c r="G34" s="1123"/>
      <c r="H34" s="1123"/>
      <c r="I34" s="1123"/>
      <c r="J34" s="1123"/>
      <c r="K34" s="1123"/>
      <c r="L34" s="1123"/>
      <c r="M34" s="1123"/>
      <c r="N34" s="1123"/>
      <c r="O34" s="1123"/>
      <c r="P34" s="1123"/>
      <c r="Q34" s="1123"/>
      <c r="R34" s="1123"/>
      <c r="S34" s="1123"/>
      <c r="T34" s="1123"/>
      <c r="U34" s="1123"/>
      <c r="V34" s="1123"/>
      <c r="W34" s="1123"/>
      <c r="X34" s="1123"/>
      <c r="Y34" s="1123"/>
      <c r="Z34" s="1123"/>
      <c r="AA34" s="1123"/>
      <c r="AB34" s="1124"/>
      <c r="AC34" s="1124"/>
      <c r="AD34" s="1124"/>
      <c r="AE34" s="1124"/>
      <c r="AF34" s="1124"/>
      <c r="AG34" s="1124"/>
      <c r="AH34" s="1124"/>
      <c r="AI34" s="1124"/>
      <c r="AJ34" s="1124"/>
      <c r="AK34" s="1124"/>
      <c r="AL34" s="1124"/>
      <c r="AM34" s="1124"/>
      <c r="AN34" s="1124"/>
      <c r="AO34" s="1124"/>
      <c r="AP34" s="1124"/>
      <c r="AQ34" s="1124"/>
      <c r="AR34" s="1124"/>
      <c r="AS34" s="1124"/>
      <c r="AT34" s="1124"/>
      <c r="AU34" s="1124"/>
      <c r="AV34" s="1124"/>
      <c r="AW34" s="1124"/>
      <c r="AX34" s="1124"/>
      <c r="AY34" s="1124"/>
      <c r="AZ34" s="1124"/>
      <c r="BA34" s="1124"/>
      <c r="BB34" s="1124"/>
      <c r="BC34" s="1124"/>
      <c r="BD34" s="112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25"/>
      <c r="K36" s="1126"/>
      <c r="L36" s="1127"/>
      <c r="M36" s="38" t="s">
        <v>27</v>
      </c>
      <c r="P36" s="39"/>
      <c r="Q36" s="39"/>
      <c r="R36" s="39"/>
      <c r="S36" s="39"/>
      <c r="T36" s="39"/>
      <c r="U36" s="1128"/>
      <c r="V36" s="1129"/>
      <c r="W36" s="1130"/>
      <c r="X36" s="41" t="s">
        <v>28</v>
      </c>
      <c r="Y36" s="39"/>
      <c r="Z36" s="39"/>
      <c r="AA36" s="39"/>
      <c r="AB36" s="39"/>
      <c r="AC36" s="39"/>
      <c r="AD36" s="39"/>
    </row>
    <row r="38" spans="5:56" ht="17.25">
      <c r="E38" s="38" t="s">
        <v>29</v>
      </c>
      <c r="P38" s="39"/>
      <c r="Q38" s="1128"/>
      <c r="R38" s="1129"/>
      <c r="S38" s="1130"/>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31" t="s">
        <v>35</v>
      </c>
      <c r="G50" s="1132"/>
      <c r="H50" s="1132"/>
      <c r="I50" s="1132"/>
      <c r="J50" s="1132"/>
      <c r="K50" s="1132"/>
      <c r="L50" s="1132"/>
      <c r="M50" s="1132"/>
      <c r="N50" s="1132"/>
      <c r="O50" s="1132"/>
      <c r="P50" s="1132"/>
      <c r="Q50" s="1132"/>
      <c r="R50" s="1132"/>
      <c r="S50" s="1132"/>
      <c r="T50" s="1132"/>
      <c r="U50" s="1132"/>
      <c r="V50" s="1132"/>
      <c r="W50" s="1132"/>
      <c r="X50" s="1132"/>
      <c r="Y50" s="1132"/>
      <c r="Z50" s="1132"/>
      <c r="AA50" s="1132"/>
      <c r="AB50" s="1132"/>
      <c r="AC50" s="1132"/>
      <c r="AD50" s="1132"/>
      <c r="AE50" s="1132"/>
      <c r="AF50" s="1132"/>
      <c r="AG50" s="1132"/>
      <c r="AH50" s="1132"/>
      <c r="AI50" s="1132"/>
      <c r="AJ50" s="1132"/>
      <c r="AK50" s="1132"/>
      <c r="AL50" s="1132"/>
      <c r="AM50" s="1132"/>
      <c r="AN50" s="1132"/>
      <c r="AO50" s="1132"/>
      <c r="AP50" s="1132"/>
      <c r="AQ50" s="1132"/>
      <c r="AR50" s="1132"/>
      <c r="AS50" s="1132"/>
      <c r="AT50" s="1132"/>
      <c r="AU50" s="1132"/>
      <c r="AV50" s="1132"/>
      <c r="AW50" s="1132"/>
      <c r="AX50" s="1132"/>
      <c r="AY50" s="1132"/>
      <c r="AZ50" s="1132"/>
      <c r="BA50" s="1132"/>
      <c r="BB50" s="1132"/>
      <c r="BC50" s="1133"/>
    </row>
    <row r="51" spans="4:55" ht="13.5" customHeight="1">
      <c r="F51" s="1134"/>
      <c r="G51" s="1135"/>
      <c r="H51" s="1135"/>
      <c r="I51" s="1135"/>
      <c r="J51" s="1135"/>
      <c r="K51" s="1135"/>
      <c r="L51" s="1135"/>
      <c r="M51" s="1135"/>
      <c r="N51" s="1135"/>
      <c r="O51" s="1135"/>
      <c r="P51" s="1135"/>
      <c r="Q51" s="1135"/>
      <c r="R51" s="1135"/>
      <c r="S51" s="1135"/>
      <c r="T51" s="1135"/>
      <c r="U51" s="1135"/>
      <c r="V51" s="1135"/>
      <c r="W51" s="1135"/>
      <c r="X51" s="1135"/>
      <c r="Y51" s="1135"/>
      <c r="Z51" s="1135"/>
      <c r="AA51" s="1135"/>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c r="AY51" s="1135"/>
      <c r="AZ51" s="1135"/>
      <c r="BA51" s="1135"/>
      <c r="BB51" s="1135"/>
      <c r="BC51" s="1136"/>
    </row>
    <row r="52" spans="4:55" ht="13.5" customHeight="1">
      <c r="F52" s="1134"/>
      <c r="G52" s="1135"/>
      <c r="H52" s="1135"/>
      <c r="I52" s="1135"/>
      <c r="J52" s="1135"/>
      <c r="K52" s="1135"/>
      <c r="L52" s="1135"/>
      <c r="M52" s="1135"/>
      <c r="N52" s="1135"/>
      <c r="O52" s="1135"/>
      <c r="P52" s="1135"/>
      <c r="Q52" s="1135"/>
      <c r="R52" s="1135"/>
      <c r="S52" s="1135"/>
      <c r="T52" s="1135"/>
      <c r="U52" s="1135"/>
      <c r="V52" s="1135"/>
      <c r="W52" s="1135"/>
      <c r="X52" s="1135"/>
      <c r="Y52" s="1135"/>
      <c r="Z52" s="1135"/>
      <c r="AA52" s="1135"/>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35"/>
      <c r="AY52" s="1135"/>
      <c r="AZ52" s="1135"/>
      <c r="BA52" s="1135"/>
      <c r="BB52" s="1135"/>
      <c r="BC52" s="1136"/>
    </row>
    <row r="53" spans="4:55" ht="13.5" customHeight="1">
      <c r="F53" s="1134"/>
      <c r="G53" s="1135"/>
      <c r="H53" s="1135"/>
      <c r="I53" s="1135"/>
      <c r="J53" s="1135"/>
      <c r="K53" s="1135"/>
      <c r="L53" s="1135"/>
      <c r="M53" s="1135"/>
      <c r="N53" s="1135"/>
      <c r="O53" s="1135"/>
      <c r="P53" s="1135"/>
      <c r="Q53" s="1135"/>
      <c r="R53" s="1135"/>
      <c r="S53" s="1135"/>
      <c r="T53" s="1135"/>
      <c r="U53" s="1135"/>
      <c r="V53" s="1135"/>
      <c r="W53" s="1135"/>
      <c r="X53" s="1135"/>
      <c r="Y53" s="1135"/>
      <c r="Z53" s="1135"/>
      <c r="AA53" s="1135"/>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c r="AZ53" s="1135"/>
      <c r="BA53" s="1135"/>
      <c r="BB53" s="1135"/>
      <c r="BC53" s="1136"/>
    </row>
    <row r="54" spans="4:55" ht="13.5" customHeight="1">
      <c r="F54" s="1134"/>
      <c r="G54" s="1135"/>
      <c r="H54" s="1135"/>
      <c r="I54" s="1135"/>
      <c r="J54" s="1135"/>
      <c r="K54" s="1135"/>
      <c r="L54" s="1135"/>
      <c r="M54" s="1135"/>
      <c r="N54" s="1135"/>
      <c r="O54" s="1135"/>
      <c r="P54" s="1135"/>
      <c r="Q54" s="1135"/>
      <c r="R54" s="1135"/>
      <c r="S54" s="1135"/>
      <c r="T54" s="1135"/>
      <c r="U54" s="1135"/>
      <c r="V54" s="1135"/>
      <c r="W54" s="1135"/>
      <c r="X54" s="1135"/>
      <c r="Y54" s="1135"/>
      <c r="Z54" s="1135"/>
      <c r="AA54" s="1135"/>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6"/>
    </row>
    <row r="55" spans="4:55" ht="13.5" customHeight="1">
      <c r="F55" s="1134"/>
      <c r="G55" s="1135"/>
      <c r="H55" s="1135"/>
      <c r="I55" s="1135"/>
      <c r="J55" s="1135"/>
      <c r="K55" s="1135"/>
      <c r="L55" s="1135"/>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6"/>
    </row>
    <row r="56" spans="4:55" ht="13.5" customHeight="1">
      <c r="F56" s="1134"/>
      <c r="G56" s="1135"/>
      <c r="H56" s="1135"/>
      <c r="I56" s="1135"/>
      <c r="J56" s="1135"/>
      <c r="K56" s="1135"/>
      <c r="L56" s="1135"/>
      <c r="M56" s="1135"/>
      <c r="N56" s="1135"/>
      <c r="O56" s="1135"/>
      <c r="P56" s="1135"/>
      <c r="Q56" s="113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6"/>
    </row>
    <row r="57" spans="4:55" ht="13.5" customHeight="1">
      <c r="F57" s="1137"/>
      <c r="G57" s="1138"/>
      <c r="H57" s="1138"/>
      <c r="I57" s="1138"/>
      <c r="J57" s="1138"/>
      <c r="K57" s="1138"/>
      <c r="L57" s="1138"/>
      <c r="M57" s="1138"/>
      <c r="N57" s="1138"/>
      <c r="O57" s="1138"/>
      <c r="P57" s="1138"/>
      <c r="Q57" s="1138"/>
      <c r="R57" s="1138"/>
      <c r="S57" s="1138"/>
      <c r="T57" s="1138"/>
      <c r="U57" s="1138"/>
      <c r="V57" s="1138"/>
      <c r="W57" s="1138"/>
      <c r="X57" s="1138"/>
      <c r="Y57" s="1138"/>
      <c r="Z57" s="1138"/>
      <c r="AA57" s="1138"/>
      <c r="AB57" s="1138"/>
      <c r="AC57" s="1138"/>
      <c r="AD57" s="1138"/>
      <c r="AE57" s="1138"/>
      <c r="AF57" s="1138"/>
      <c r="AG57" s="1138"/>
      <c r="AH57" s="1138"/>
      <c r="AI57" s="1138"/>
      <c r="AJ57" s="1138"/>
      <c r="AK57" s="1138"/>
      <c r="AL57" s="1138"/>
      <c r="AM57" s="1138"/>
      <c r="AN57" s="1138"/>
      <c r="AO57" s="1138"/>
      <c r="AP57" s="1138"/>
      <c r="AQ57" s="1138"/>
      <c r="AR57" s="1138"/>
      <c r="AS57" s="1138"/>
      <c r="AT57" s="1138"/>
      <c r="AU57" s="1138"/>
      <c r="AV57" s="1138"/>
      <c r="AW57" s="1138"/>
      <c r="AX57" s="1138"/>
      <c r="AY57" s="1138"/>
      <c r="AZ57" s="1138"/>
      <c r="BA57" s="1138"/>
      <c r="BB57" s="1138"/>
      <c r="BC57" s="1139"/>
    </row>
    <row r="60" spans="4:55" ht="13.5" customHeight="1">
      <c r="D60" s="1111" t="s">
        <v>36</v>
      </c>
      <c r="E60" s="1112"/>
      <c r="F60" s="1112"/>
      <c r="G60" s="1112"/>
      <c r="H60" s="1115" t="str">
        <f>TEXT(指標部入力!C8,"00") &amp; " " &amp; TEXT(指標部入力!D8,"000") &amp; " " &amp; TEXT(指標部入力!E8,"00")  &amp;  " " &amp; TEXT(指標部入力!F8,"000")  &amp; " " &amp; TEXT(指標部入力!G8,"000") &amp; " " &amp; TEXT(指標部入力!H8,"000")</f>
        <v>00 000 00 000 000 000</v>
      </c>
      <c r="I60" s="1116"/>
      <c r="J60" s="1116"/>
      <c r="K60" s="1116"/>
      <c r="L60" s="1116"/>
      <c r="M60" s="1116"/>
      <c r="N60" s="1116"/>
      <c r="O60" s="1116"/>
      <c r="P60" s="1116"/>
      <c r="Q60" s="1116"/>
      <c r="R60" s="1116"/>
      <c r="S60" s="1116"/>
      <c r="T60" s="1116"/>
      <c r="U60" s="1116"/>
      <c r="V60" s="1116"/>
      <c r="W60" s="1117"/>
      <c r="Y60" s="44"/>
      <c r="Z60" s="44"/>
      <c r="AE60" s="34"/>
      <c r="AF60" s="34"/>
    </row>
    <row r="61" spans="4:55">
      <c r="D61" s="1113"/>
      <c r="E61" s="1114"/>
      <c r="F61" s="1114"/>
      <c r="G61" s="1114"/>
      <c r="H61" s="1118"/>
      <c r="I61" s="1119"/>
      <c r="J61" s="1119"/>
      <c r="K61" s="1119"/>
      <c r="L61" s="1119"/>
      <c r="M61" s="1119"/>
      <c r="N61" s="1119"/>
      <c r="O61" s="1119"/>
      <c r="P61" s="1119"/>
      <c r="Q61" s="1119"/>
      <c r="R61" s="1119"/>
      <c r="S61" s="1119"/>
      <c r="T61" s="1119"/>
      <c r="U61" s="1119"/>
      <c r="V61" s="1119"/>
      <c r="W61" s="1120"/>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zoomScale="80" zoomScaleNormal="85" zoomScaleSheetLayoutView="80" workbookViewId="0"/>
  </sheetViews>
  <sheetFormatPr defaultColWidth="2.75" defaultRowHeight="14.25" customHeight="1"/>
  <cols>
    <col min="1" max="42" width="2.75" style="46" customWidth="1"/>
    <col min="43" max="71" width="2.75" style="46"/>
    <col min="72" max="72" width="0.875" style="46" customWidth="1"/>
    <col min="73" max="16384" width="2.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39</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
        <v>40</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41</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42</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43</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44</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45</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46</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47</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48</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49</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50</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51</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52</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53</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54</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40" t="s">
        <v>55</v>
      </c>
      <c r="D29" s="1141"/>
      <c r="E29" s="1141"/>
      <c r="F29" s="1141"/>
      <c r="G29" s="1141"/>
      <c r="H29" s="1141"/>
      <c r="I29" s="1142"/>
      <c r="J29" s="1146" t="s">
        <v>56</v>
      </c>
      <c r="K29" s="1147"/>
      <c r="L29" s="1147"/>
      <c r="M29" s="1147"/>
      <c r="N29" s="1147"/>
      <c r="O29" s="1148"/>
      <c r="P29" s="1152" t="s">
        <v>57</v>
      </c>
      <c r="Q29" s="1147"/>
      <c r="R29" s="1147"/>
      <c r="S29" s="1147"/>
      <c r="T29" s="1147"/>
      <c r="U29" s="1147"/>
      <c r="V29" s="1147"/>
      <c r="W29" s="1148"/>
      <c r="X29" s="1154" t="s">
        <v>58</v>
      </c>
      <c r="Y29" s="1155"/>
      <c r="Z29" s="1156"/>
      <c r="AA29" s="51"/>
      <c r="AB29" s="51"/>
      <c r="AC29" s="51"/>
      <c r="AD29" s="51"/>
      <c r="AE29" s="51"/>
      <c r="AF29" s="51"/>
      <c r="AG29" s="51"/>
      <c r="AH29" s="51"/>
      <c r="AI29" s="51"/>
      <c r="AJ29" s="51"/>
      <c r="AK29" s="51"/>
      <c r="AL29" s="51"/>
    </row>
    <row r="30" spans="1:38" ht="18.75" customHeight="1" thickBot="1">
      <c r="A30" s="55"/>
      <c r="B30" s="42"/>
      <c r="C30" s="1143"/>
      <c r="D30" s="1144"/>
      <c r="E30" s="1144"/>
      <c r="F30" s="1144"/>
      <c r="G30" s="1144"/>
      <c r="H30" s="1144"/>
      <c r="I30" s="1145"/>
      <c r="J30" s="1149"/>
      <c r="K30" s="1150"/>
      <c r="L30" s="1150"/>
      <c r="M30" s="1150"/>
      <c r="N30" s="1150"/>
      <c r="O30" s="1151"/>
      <c r="P30" s="1153"/>
      <c r="Q30" s="1150"/>
      <c r="R30" s="1150"/>
      <c r="S30" s="1150"/>
      <c r="T30" s="1150"/>
      <c r="U30" s="1150"/>
      <c r="V30" s="1150"/>
      <c r="W30" s="1151"/>
      <c r="X30" s="1157"/>
      <c r="Y30" s="1158"/>
      <c r="Z30" s="1159"/>
      <c r="AA30" s="51"/>
      <c r="AB30" s="51"/>
      <c r="AC30" s="51"/>
      <c r="AD30" s="51"/>
      <c r="AE30" s="51"/>
      <c r="AF30" s="51"/>
      <c r="AG30" s="51"/>
      <c r="AH30" s="51"/>
      <c r="AI30" s="51"/>
      <c r="AJ30" s="51"/>
      <c r="AK30" s="51"/>
      <c r="AL30" s="51"/>
    </row>
    <row r="31" spans="1:38" ht="18.75" customHeight="1" thickTop="1">
      <c r="A31" s="51"/>
      <c r="B31" s="51"/>
      <c r="C31" s="69"/>
      <c r="D31" s="1160" t="s">
        <v>59</v>
      </c>
      <c r="E31" s="1160"/>
      <c r="F31" s="1160"/>
      <c r="G31" s="1160"/>
      <c r="H31" s="1160"/>
      <c r="I31" s="70"/>
      <c r="J31" s="1162" t="s">
        <v>60</v>
      </c>
      <c r="K31" s="1163"/>
      <c r="L31" s="1163"/>
      <c r="M31" s="1163"/>
      <c r="N31" s="1163"/>
      <c r="O31" s="1164"/>
      <c r="P31" s="1168">
        <v>20000</v>
      </c>
      <c r="Q31" s="1169"/>
      <c r="R31" s="1169"/>
      <c r="S31" s="1169"/>
      <c r="T31" s="1169"/>
      <c r="U31" s="1169"/>
      <c r="V31" s="1169"/>
      <c r="W31" s="1170"/>
      <c r="X31" s="1174" t="s">
        <v>61</v>
      </c>
      <c r="Y31" s="1175"/>
      <c r="Z31" s="1176"/>
      <c r="AA31" s="51"/>
      <c r="AB31" s="51"/>
      <c r="AC31" s="51"/>
      <c r="AD31" s="51"/>
      <c r="AE31" s="51"/>
      <c r="AF31" s="51"/>
      <c r="AG31" s="51"/>
      <c r="AH31" s="51"/>
      <c r="AI31" s="51"/>
      <c r="AJ31" s="51"/>
      <c r="AK31" s="51"/>
      <c r="AL31" s="51"/>
    </row>
    <row r="32" spans="1:38" ht="18.75" customHeight="1" thickBot="1">
      <c r="A32" s="51"/>
      <c r="B32" s="51"/>
      <c r="C32" s="71"/>
      <c r="D32" s="1161"/>
      <c r="E32" s="1161"/>
      <c r="F32" s="1161"/>
      <c r="G32" s="1161"/>
      <c r="H32" s="1161"/>
      <c r="I32" s="72"/>
      <c r="J32" s="1165"/>
      <c r="K32" s="1166"/>
      <c r="L32" s="1166"/>
      <c r="M32" s="1166"/>
      <c r="N32" s="1166"/>
      <c r="O32" s="1167"/>
      <c r="P32" s="1171"/>
      <c r="Q32" s="1172"/>
      <c r="R32" s="1172"/>
      <c r="S32" s="1172"/>
      <c r="T32" s="1172"/>
      <c r="U32" s="1172"/>
      <c r="V32" s="1172"/>
      <c r="W32" s="1173"/>
      <c r="X32" s="1177"/>
      <c r="Y32" s="1178"/>
      <c r="Z32" s="1179"/>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62</v>
      </c>
      <c r="AJ35" s="51"/>
      <c r="AK35" s="51"/>
      <c r="BX35" s="52"/>
    </row>
    <row r="36" spans="1:76" ht="18.75" customHeight="1">
      <c r="B36" s="51"/>
      <c r="C36" s="42" t="s">
        <v>63</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64</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140" t="s">
        <v>55</v>
      </c>
      <c r="D39" s="1141"/>
      <c r="E39" s="1141"/>
      <c r="F39" s="1141"/>
      <c r="G39" s="1141"/>
      <c r="H39" s="1141"/>
      <c r="I39" s="1142"/>
      <c r="J39" s="1146" t="s">
        <v>56</v>
      </c>
      <c r="K39" s="1147"/>
      <c r="L39" s="1147"/>
      <c r="M39" s="1147"/>
      <c r="N39" s="1147"/>
      <c r="O39" s="1148"/>
      <c r="P39" s="1152" t="s">
        <v>57</v>
      </c>
      <c r="Q39" s="1147"/>
      <c r="R39" s="1147"/>
      <c r="S39" s="1147"/>
      <c r="T39" s="1147"/>
      <c r="U39" s="1147"/>
      <c r="V39" s="1147"/>
      <c r="W39" s="1148"/>
      <c r="X39" s="1154" t="s">
        <v>58</v>
      </c>
      <c r="Y39" s="1155"/>
      <c r="Z39" s="1156"/>
      <c r="AA39" s="79"/>
      <c r="AB39" s="79"/>
      <c r="AC39" s="79"/>
      <c r="AD39" s="79"/>
      <c r="AE39" s="79"/>
      <c r="AF39" s="79"/>
      <c r="AG39" s="79"/>
      <c r="AH39" s="79"/>
      <c r="AI39" s="79"/>
      <c r="AL39" s="79"/>
    </row>
    <row r="40" spans="1:76" ht="18.75" customHeight="1" thickBot="1">
      <c r="A40" s="51"/>
      <c r="C40" s="1143"/>
      <c r="D40" s="1144"/>
      <c r="E40" s="1144"/>
      <c r="F40" s="1144"/>
      <c r="G40" s="1144"/>
      <c r="H40" s="1144"/>
      <c r="I40" s="1145"/>
      <c r="J40" s="1149"/>
      <c r="K40" s="1150"/>
      <c r="L40" s="1150"/>
      <c r="M40" s="1150"/>
      <c r="N40" s="1150"/>
      <c r="O40" s="1151"/>
      <c r="P40" s="1153"/>
      <c r="Q40" s="1150"/>
      <c r="R40" s="1150"/>
      <c r="S40" s="1150"/>
      <c r="T40" s="1150"/>
      <c r="U40" s="1150"/>
      <c r="V40" s="1150"/>
      <c r="W40" s="1151"/>
      <c r="X40" s="1157"/>
      <c r="Y40" s="1158"/>
      <c r="Z40" s="1159"/>
      <c r="AA40" s="79"/>
      <c r="AB40" s="79"/>
      <c r="AC40" s="79"/>
      <c r="AD40" s="79"/>
      <c r="AE40" s="79"/>
      <c r="AF40" s="79"/>
      <c r="AG40" s="79"/>
      <c r="AH40" s="79"/>
      <c r="AI40" s="79"/>
      <c r="AJ40" s="51"/>
      <c r="AK40" s="51"/>
      <c r="AL40" s="79"/>
    </row>
    <row r="41" spans="1:76" ht="18.75" customHeight="1" thickTop="1">
      <c r="A41" s="51"/>
      <c r="B41" s="51"/>
      <c r="C41" s="69"/>
      <c r="D41" s="1160" t="s">
        <v>59</v>
      </c>
      <c r="E41" s="1160"/>
      <c r="F41" s="1160"/>
      <c r="G41" s="1160"/>
      <c r="H41" s="1160"/>
      <c r="I41" s="70"/>
      <c r="J41" s="1186">
        <v>1000</v>
      </c>
      <c r="K41" s="1187"/>
      <c r="L41" s="1187"/>
      <c r="M41" s="1187"/>
      <c r="N41" s="1187"/>
      <c r="O41" s="1188"/>
      <c r="P41" s="1192">
        <v>100000</v>
      </c>
      <c r="Q41" s="1193"/>
      <c r="R41" s="1193"/>
      <c r="S41" s="1193"/>
      <c r="T41" s="1193"/>
      <c r="U41" s="1193"/>
      <c r="V41" s="1193"/>
      <c r="W41" s="1194"/>
      <c r="X41" s="1174" t="s">
        <v>65</v>
      </c>
      <c r="Y41" s="1175"/>
      <c r="Z41" s="1176"/>
      <c r="AA41" s="80"/>
      <c r="AB41" s="80"/>
      <c r="AC41" s="80"/>
      <c r="AD41" s="80"/>
      <c r="AE41" s="80"/>
      <c r="AF41" s="80"/>
      <c r="AG41" s="80"/>
      <c r="AH41" s="80"/>
      <c r="AI41" s="80"/>
      <c r="AJ41" s="79"/>
      <c r="AK41" s="79"/>
      <c r="AL41" s="80"/>
    </row>
    <row r="42" spans="1:76" ht="18.75" customHeight="1" thickBot="1">
      <c r="A42" s="51"/>
      <c r="B42" s="51"/>
      <c r="C42" s="71"/>
      <c r="D42" s="1161"/>
      <c r="E42" s="1161"/>
      <c r="F42" s="1161"/>
      <c r="G42" s="1161"/>
      <c r="H42" s="1161"/>
      <c r="I42" s="72"/>
      <c r="J42" s="1189"/>
      <c r="K42" s="1190"/>
      <c r="L42" s="1190"/>
      <c r="M42" s="1190"/>
      <c r="N42" s="1190"/>
      <c r="O42" s="1191"/>
      <c r="P42" s="1195"/>
      <c r="Q42" s="1196"/>
      <c r="R42" s="1196"/>
      <c r="S42" s="1196"/>
      <c r="T42" s="1196"/>
      <c r="U42" s="1196"/>
      <c r="V42" s="1196"/>
      <c r="W42" s="1197"/>
      <c r="X42" s="1177"/>
      <c r="Y42" s="1178"/>
      <c r="Z42" s="1179"/>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66</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67</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68</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69</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70</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71</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198" t="s">
        <v>72</v>
      </c>
      <c r="D56" s="1198"/>
      <c r="E56" s="1198"/>
      <c r="F56" s="1198"/>
      <c r="G56" s="1198"/>
      <c r="H56" s="1198"/>
      <c r="I56" s="1198"/>
      <c r="J56" s="1198"/>
      <c r="K56" s="1198"/>
      <c r="L56" s="1199" t="s">
        <v>73</v>
      </c>
      <c r="M56" s="1199"/>
      <c r="N56" s="1199"/>
      <c r="O56" s="1199"/>
      <c r="P56" s="1199"/>
      <c r="Q56" s="1199"/>
      <c r="R56" s="1199"/>
      <c r="S56" s="1199"/>
      <c r="T56" s="1199"/>
      <c r="U56" s="1199"/>
      <c r="V56" s="1199"/>
      <c r="W56" s="1199"/>
      <c r="X56" s="1199"/>
      <c r="Y56" s="1199"/>
      <c r="Z56" s="1198" t="s">
        <v>74</v>
      </c>
      <c r="AA56" s="1198"/>
      <c r="AB56" s="1198"/>
      <c r="AC56" s="87"/>
      <c r="AD56" s="87"/>
      <c r="AE56" s="86"/>
      <c r="AF56" s="92"/>
      <c r="AG56" s="92"/>
      <c r="AH56" s="92"/>
      <c r="AK56" s="20"/>
      <c r="AM56" s="50"/>
    </row>
    <row r="57" spans="1:44" ht="20.25" customHeight="1">
      <c r="A57" s="88"/>
      <c r="B57" s="88"/>
      <c r="C57" s="1198"/>
      <c r="D57" s="1198"/>
      <c r="E57" s="1198"/>
      <c r="F57" s="1198"/>
      <c r="G57" s="1198"/>
      <c r="H57" s="1198"/>
      <c r="I57" s="1198"/>
      <c r="J57" s="1198"/>
      <c r="K57" s="1198"/>
      <c r="L57" s="1200" t="s">
        <v>75</v>
      </c>
      <c r="M57" s="1200"/>
      <c r="N57" s="1200"/>
      <c r="O57" s="1200"/>
      <c r="P57" s="1200"/>
      <c r="Q57" s="1200"/>
      <c r="R57" s="1200"/>
      <c r="S57" s="1200"/>
      <c r="T57" s="1200"/>
      <c r="U57" s="1200"/>
      <c r="V57" s="1200"/>
      <c r="W57" s="1200"/>
      <c r="X57" s="1200"/>
      <c r="Y57" s="1200"/>
      <c r="Z57" s="1198"/>
      <c r="AA57" s="1198"/>
      <c r="AB57" s="1198"/>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76</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199" t="s">
        <v>77</v>
      </c>
      <c r="F66" s="1199"/>
      <c r="G66" s="1199"/>
      <c r="H66" s="1199"/>
      <c r="I66" s="1199"/>
      <c r="J66" s="1199"/>
      <c r="K66" s="1199"/>
      <c r="L66" s="1199"/>
      <c r="M66" s="1199"/>
      <c r="N66" s="1199"/>
      <c r="O66" s="1199"/>
      <c r="P66" s="1199"/>
      <c r="Q66" s="1199"/>
      <c r="R66" s="1199"/>
      <c r="S66" s="1199"/>
      <c r="T66" s="1199"/>
      <c r="U66" s="1199"/>
      <c r="V66" s="1199"/>
      <c r="W66" s="1199"/>
      <c r="X66" s="1199"/>
      <c r="Y66" s="1199"/>
      <c r="Z66" s="1199"/>
      <c r="AA66" s="1199"/>
      <c r="AB66" s="1199"/>
      <c r="AC66" s="1199"/>
      <c r="AD66" s="1199"/>
      <c r="AE66" s="1199"/>
      <c r="AF66" s="1199"/>
      <c r="AG66" s="1199"/>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180" t="s">
        <v>78</v>
      </c>
      <c r="F68" s="1181"/>
      <c r="G68" s="1181"/>
      <c r="H68" s="1181"/>
      <c r="I68" s="1181"/>
      <c r="J68" s="1181"/>
      <c r="K68" s="1181"/>
      <c r="L68" s="1181"/>
      <c r="M68" s="1181"/>
      <c r="N68" s="1181"/>
      <c r="O68" s="1181"/>
      <c r="P68" s="1181"/>
      <c r="Q68" s="1181"/>
      <c r="R68" s="1181"/>
      <c r="S68" s="1181"/>
      <c r="T68" s="1181"/>
      <c r="U68" s="1181"/>
      <c r="V68" s="1181"/>
      <c r="W68" s="1181"/>
      <c r="X68" s="1181"/>
      <c r="Y68" s="1182"/>
      <c r="Z68" s="1181" t="s">
        <v>79</v>
      </c>
      <c r="AA68" s="1181"/>
      <c r="AB68" s="1181"/>
      <c r="AC68" s="1181"/>
      <c r="AD68" s="1181"/>
      <c r="AE68" s="1181"/>
      <c r="AF68" s="1181"/>
      <c r="AG68" s="1182"/>
      <c r="AH68" s="86"/>
      <c r="AI68" s="92"/>
      <c r="AM68" s="50"/>
      <c r="AN68" s="50"/>
      <c r="AO68" s="62"/>
      <c r="AP68" s="62"/>
      <c r="AQ68" s="62"/>
      <c r="AR68" s="62"/>
    </row>
    <row r="69" spans="1:44" ht="20.25" customHeight="1">
      <c r="A69" s="88"/>
      <c r="B69" s="88"/>
      <c r="C69" s="92"/>
      <c r="D69" s="92"/>
      <c r="E69" s="1183"/>
      <c r="F69" s="1184"/>
      <c r="G69" s="1184"/>
      <c r="H69" s="1184"/>
      <c r="I69" s="1184"/>
      <c r="J69" s="1184"/>
      <c r="K69" s="1184"/>
      <c r="L69" s="1184"/>
      <c r="M69" s="1184"/>
      <c r="N69" s="1184"/>
      <c r="O69" s="1184"/>
      <c r="P69" s="1184"/>
      <c r="Q69" s="1184"/>
      <c r="R69" s="1184"/>
      <c r="S69" s="1184"/>
      <c r="T69" s="1184"/>
      <c r="U69" s="1184"/>
      <c r="V69" s="1184"/>
      <c r="W69" s="1184"/>
      <c r="X69" s="1184"/>
      <c r="Y69" s="1185"/>
      <c r="Z69" s="1184"/>
      <c r="AA69" s="1184"/>
      <c r="AB69" s="1184"/>
      <c r="AC69" s="1184"/>
      <c r="AD69" s="1184"/>
      <c r="AE69" s="1184"/>
      <c r="AF69" s="1184"/>
      <c r="AG69" s="1185"/>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199" t="s">
        <v>80</v>
      </c>
      <c r="F71" s="1199"/>
      <c r="G71" s="1199"/>
      <c r="H71" s="1199"/>
      <c r="I71" s="1199"/>
      <c r="J71" s="1199"/>
      <c r="K71" s="1199"/>
      <c r="L71" s="1199"/>
      <c r="M71" s="1199"/>
      <c r="N71" s="1199"/>
      <c r="O71" s="1199"/>
      <c r="P71" s="1199"/>
      <c r="Q71" s="1199"/>
      <c r="R71" s="1199"/>
      <c r="S71" s="1199"/>
      <c r="T71" s="1199"/>
      <c r="U71" s="1199"/>
      <c r="V71" s="1199"/>
      <c r="W71" s="1199"/>
      <c r="X71" s="1199"/>
      <c r="Y71" s="1199"/>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81</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82</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83</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198" t="s">
        <v>72</v>
      </c>
      <c r="D79" s="1198"/>
      <c r="E79" s="1198"/>
      <c r="F79" s="1198"/>
      <c r="G79" s="1198"/>
      <c r="H79" s="1198"/>
      <c r="I79" s="1198"/>
      <c r="J79" s="1198"/>
      <c r="K79" s="1198"/>
      <c r="L79" s="1201" t="s">
        <v>84</v>
      </c>
      <c r="M79" s="1201"/>
      <c r="N79" s="1201"/>
      <c r="O79" s="1201"/>
      <c r="P79" s="1201"/>
      <c r="Q79" s="1201"/>
      <c r="R79" s="1201"/>
      <c r="S79" s="1201"/>
      <c r="T79" s="1201"/>
      <c r="U79" s="1201"/>
      <c r="V79" s="1201"/>
      <c r="W79" s="1201"/>
      <c r="X79" s="1201"/>
      <c r="Y79" s="1201"/>
      <c r="Z79" s="1201"/>
      <c r="AA79" s="1201"/>
      <c r="AB79" s="1201"/>
      <c r="AC79" s="1201"/>
      <c r="AD79" s="1201"/>
      <c r="AE79" s="1198" t="s">
        <v>74</v>
      </c>
      <c r="AF79" s="1198"/>
      <c r="AG79" s="1198"/>
      <c r="AH79" s="86"/>
      <c r="AI79" s="92"/>
      <c r="AJ79" s="51"/>
      <c r="AK79" s="51"/>
      <c r="AN79" s="85"/>
    </row>
    <row r="80" spans="1:44" ht="20.25" customHeight="1">
      <c r="A80" s="88"/>
      <c r="B80" s="88"/>
      <c r="C80" s="1198"/>
      <c r="D80" s="1198"/>
      <c r="E80" s="1198"/>
      <c r="F80" s="1198"/>
      <c r="G80" s="1198"/>
      <c r="H80" s="1198"/>
      <c r="I80" s="1198"/>
      <c r="J80" s="1198"/>
      <c r="K80" s="1198"/>
      <c r="L80" s="1200" t="s">
        <v>85</v>
      </c>
      <c r="M80" s="1200"/>
      <c r="N80" s="1200"/>
      <c r="O80" s="1200"/>
      <c r="P80" s="1200"/>
      <c r="Q80" s="1200"/>
      <c r="R80" s="1200"/>
      <c r="S80" s="1200"/>
      <c r="T80" s="1200"/>
      <c r="U80" s="1200"/>
      <c r="V80" s="1200"/>
      <c r="W80" s="1200"/>
      <c r="X80" s="1200"/>
      <c r="Y80" s="1200"/>
      <c r="Z80" s="1200"/>
      <c r="AA80" s="1200"/>
      <c r="AB80" s="1200"/>
      <c r="AC80" s="1200"/>
      <c r="AD80" s="1200"/>
      <c r="AE80" s="1198"/>
      <c r="AF80" s="1198"/>
      <c r="AG80" s="1198"/>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E71:Y71"/>
    <mergeCell ref="C79:K80"/>
    <mergeCell ref="L79:AD79"/>
    <mergeCell ref="AE79:AG80"/>
    <mergeCell ref="L80:AD80"/>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5"/>
  <pageMargins left="0.59055118110236227" right="0.59055118110236227" top="0.59055118110236227" bottom="0.39370078740157483" header="0" footer="0.19685039370078741"/>
  <pageSetup paperSize="9" scale="83" firstPageNumber="2" orientation="portrait" cellComments="asDisplayed" useFirstPageNumber="1" r:id="rId1"/>
  <headerFooter scaleWithDoc="0" alignWithMargins="0">
    <evenFooter>&amp;R&amp;G</evenFooter>
  </headerFooter>
  <rowBreaks count="1" manualBreakCount="1">
    <brk id="44"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02" t="s">
        <v>86</v>
      </c>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100"/>
    </row>
    <row r="2" spans="1:35" s="101" customFormat="1" ht="27" customHeight="1">
      <c r="A2" s="102"/>
      <c r="B2" s="102"/>
      <c r="C2" s="102"/>
      <c r="D2" s="102"/>
      <c r="E2" s="102"/>
      <c r="F2" s="102"/>
      <c r="G2" s="102"/>
      <c r="H2" s="102"/>
      <c r="AH2" s="103"/>
    </row>
    <row r="3" spans="1:35" s="101" customFormat="1" ht="18" customHeight="1">
      <c r="A3" s="101" t="s">
        <v>87</v>
      </c>
      <c r="I3" s="104"/>
    </row>
    <row r="4" spans="1:35" s="101" customFormat="1" ht="18" customHeight="1">
      <c r="A4" s="105" t="s">
        <v>88</v>
      </c>
    </row>
    <row r="5" spans="1:35" s="101" customFormat="1" ht="18" customHeight="1">
      <c r="A5" s="105" t="s">
        <v>89</v>
      </c>
    </row>
    <row r="6" spans="1:35" s="101" customFormat="1" ht="15" customHeight="1">
      <c r="A6" s="105"/>
    </row>
    <row r="7" spans="1:35" s="101" customFormat="1" ht="18" customHeight="1">
      <c r="A7" s="101" t="s">
        <v>90</v>
      </c>
      <c r="I7" s="104"/>
    </row>
    <row r="8" spans="1:35" s="101" customFormat="1" ht="18" customHeight="1">
      <c r="A8" s="105" t="s">
        <v>91</v>
      </c>
    </row>
    <row r="9" spans="1:35" s="101" customFormat="1" ht="15" customHeight="1"/>
    <row r="10" spans="1:35" s="101" customFormat="1" ht="18" customHeight="1">
      <c r="A10" s="101" t="s">
        <v>92</v>
      </c>
    </row>
    <row r="11" spans="1:35" s="101" customFormat="1" ht="18" customHeight="1">
      <c r="A11" s="105" t="s">
        <v>93</v>
      </c>
    </row>
    <row r="12" spans="1:35" s="101" customFormat="1" ht="18" customHeight="1">
      <c r="A12" s="105" t="s">
        <v>94</v>
      </c>
    </row>
    <row r="13" spans="1:35" s="101" customFormat="1" ht="15" customHeight="1"/>
    <row r="14" spans="1:35" s="101" customFormat="1" ht="18" customHeight="1">
      <c r="A14" s="101" t="s">
        <v>95</v>
      </c>
    </row>
    <row r="15" spans="1:35" s="101" customFormat="1" ht="18" customHeight="1">
      <c r="A15" s="105" t="s">
        <v>96</v>
      </c>
    </row>
    <row r="16" spans="1:35" s="101" customFormat="1" ht="18" customHeight="1">
      <c r="A16" s="105" t="s">
        <v>97</v>
      </c>
    </row>
    <row r="17" spans="1:1" s="101" customFormat="1" ht="15" customHeight="1"/>
    <row r="18" spans="1:1" s="101" customFormat="1" ht="18" customHeight="1">
      <c r="A18" s="101" t="s">
        <v>98</v>
      </c>
    </row>
    <row r="19" spans="1:1" s="101" customFormat="1" ht="18" customHeight="1">
      <c r="A19" s="105" t="s">
        <v>99</v>
      </c>
    </row>
    <row r="20" spans="1:1" s="101" customFormat="1" ht="15" customHeight="1"/>
    <row r="21" spans="1:1" s="101" customFormat="1" ht="18" customHeight="1">
      <c r="A21" s="101" t="s">
        <v>100</v>
      </c>
    </row>
    <row r="22" spans="1:1" s="101" customFormat="1" ht="18" customHeight="1">
      <c r="A22" s="105" t="s">
        <v>101</v>
      </c>
    </row>
    <row r="23" spans="1:1" s="101" customFormat="1" ht="15.75" customHeight="1"/>
    <row r="24" spans="1:1" s="101" customFormat="1" ht="18" customHeight="1">
      <c r="A24" s="101" t="s">
        <v>102</v>
      </c>
    </row>
    <row r="25" spans="1:1" s="101" customFormat="1" ht="18" customHeight="1">
      <c r="A25" s="105" t="s">
        <v>103</v>
      </c>
    </row>
    <row r="26" spans="1:1" s="101" customFormat="1" ht="15" customHeight="1">
      <c r="A26" s="101" t="s">
        <v>104</v>
      </c>
    </row>
    <row r="27" spans="1:1" s="101" customFormat="1" ht="18" customHeight="1">
      <c r="A27" s="101" t="s">
        <v>105</v>
      </c>
    </row>
    <row r="28" spans="1:1" s="101" customFormat="1" ht="18" customHeight="1">
      <c r="A28" s="105" t="s">
        <v>106</v>
      </c>
    </row>
    <row r="29" spans="1:1" s="101" customFormat="1" ht="15" customHeight="1">
      <c r="A29" s="105"/>
    </row>
    <row r="30" spans="1:1" s="101" customFormat="1" ht="18" customHeight="1">
      <c r="A30" s="101" t="s">
        <v>107</v>
      </c>
    </row>
    <row r="31" spans="1:1" s="101" customFormat="1" ht="18" customHeight="1">
      <c r="A31" s="105" t="s">
        <v>108</v>
      </c>
    </row>
    <row r="32" spans="1:1" s="101" customFormat="1" ht="18" customHeight="1">
      <c r="A32" s="105" t="s">
        <v>109</v>
      </c>
    </row>
    <row r="33" spans="1:34" s="101" customFormat="1" ht="15" customHeight="1">
      <c r="A33" s="105"/>
    </row>
    <row r="34" spans="1:34" s="101" customFormat="1" ht="18" customHeight="1">
      <c r="A34" s="101" t="s">
        <v>110</v>
      </c>
    </row>
    <row r="35" spans="1:34" s="101" customFormat="1" ht="18" customHeight="1">
      <c r="A35" s="105" t="s">
        <v>111</v>
      </c>
    </row>
    <row r="36" spans="1:34" s="101" customFormat="1" ht="18" customHeight="1">
      <c r="A36" s="105" t="s">
        <v>112</v>
      </c>
    </row>
    <row r="37" spans="1:34" s="101" customFormat="1" ht="15" customHeight="1">
      <c r="A37" s="105"/>
    </row>
    <row r="38" spans="1:34" s="101" customFormat="1" ht="18" customHeight="1">
      <c r="A38" s="101" t="s">
        <v>113</v>
      </c>
    </row>
    <row r="39" spans="1:34" s="101" customFormat="1" ht="18" customHeight="1">
      <c r="A39" s="105" t="s">
        <v>114</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115</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116</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117</v>
      </c>
    </row>
    <row r="2" spans="1:39" ht="14.25" customHeight="1">
      <c r="B2" s="107" t="s">
        <v>118</v>
      </c>
      <c r="C2" s="107"/>
      <c r="AD2" s="107"/>
    </row>
    <row r="4" spans="1:39" s="30" customFormat="1" ht="18" customHeight="1">
      <c r="B4" s="108" t="s">
        <v>119</v>
      </c>
      <c r="C4" s="108" t="s">
        <v>120</v>
      </c>
      <c r="E4" s="109"/>
      <c r="F4" s="109"/>
      <c r="G4" s="109"/>
      <c r="H4" s="109"/>
      <c r="I4" s="110"/>
      <c r="J4" s="110"/>
      <c r="K4" s="110"/>
      <c r="L4" s="110"/>
      <c r="M4" s="110"/>
      <c r="U4" s="2"/>
      <c r="V4" s="2"/>
      <c r="W4" s="2"/>
      <c r="X4" s="2"/>
      <c r="Y4" s="2"/>
      <c r="Z4" s="2"/>
      <c r="AA4" s="2"/>
      <c r="AB4" s="2"/>
      <c r="AD4" s="108"/>
    </row>
    <row r="5" spans="1:39" s="30" customFormat="1" ht="18" customHeight="1">
      <c r="D5" s="58" t="s">
        <v>121</v>
      </c>
      <c r="F5" s="109"/>
      <c r="G5" s="109"/>
      <c r="H5" s="109"/>
      <c r="I5" s="110"/>
      <c r="J5" s="110"/>
      <c r="K5" s="110"/>
      <c r="L5" s="110"/>
      <c r="M5" s="110"/>
      <c r="N5" s="110"/>
      <c r="O5" s="110"/>
      <c r="P5" s="110"/>
      <c r="Q5" s="110"/>
      <c r="R5" s="110"/>
      <c r="S5" s="110"/>
      <c r="T5" s="110"/>
      <c r="U5" s="2"/>
      <c r="V5" s="2"/>
      <c r="W5" s="2"/>
      <c r="X5" s="2"/>
      <c r="Y5" s="2"/>
      <c r="Z5" s="2"/>
      <c r="AA5" s="2"/>
      <c r="AB5" s="2"/>
    </row>
    <row r="6" spans="1:39"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1:39" ht="14.1" customHeight="1">
      <c r="D7" s="1221" t="s">
        <v>55</v>
      </c>
      <c r="E7" s="1222"/>
      <c r="F7" s="1222"/>
      <c r="G7" s="1222"/>
      <c r="H7" s="1222"/>
      <c r="I7" s="1222"/>
      <c r="J7" s="1222"/>
      <c r="K7" s="1222"/>
      <c r="L7" s="1223"/>
      <c r="M7" s="1227" t="s">
        <v>122</v>
      </c>
      <c r="N7" s="1229" t="s">
        <v>123</v>
      </c>
    </row>
    <row r="8" spans="1:39" ht="14.1" customHeight="1" thickBot="1">
      <c r="D8" s="1224"/>
      <c r="E8" s="1225"/>
      <c r="F8" s="1225"/>
      <c r="G8" s="1225"/>
      <c r="H8" s="1225"/>
      <c r="I8" s="1225"/>
      <c r="J8" s="1225"/>
      <c r="K8" s="1225"/>
      <c r="L8" s="1226"/>
      <c r="M8" s="1228"/>
      <c r="N8" s="1230"/>
    </row>
    <row r="9" spans="1:39" ht="30" customHeight="1" thickTop="1">
      <c r="D9" s="1231" t="s">
        <v>124</v>
      </c>
      <c r="E9" s="1232"/>
      <c r="F9" s="1232"/>
      <c r="G9" s="1232"/>
      <c r="H9" s="1232"/>
      <c r="I9" s="1232"/>
      <c r="J9" s="1232"/>
      <c r="K9" s="1232"/>
      <c r="L9" s="1233"/>
      <c r="M9" s="111"/>
      <c r="N9" s="112"/>
    </row>
    <row r="10" spans="1:39" ht="30" customHeight="1">
      <c r="D10" s="1203" t="s">
        <v>125</v>
      </c>
      <c r="E10" s="1204"/>
      <c r="F10" s="1204"/>
      <c r="G10" s="1204"/>
      <c r="H10" s="1204"/>
      <c r="I10" s="1204"/>
      <c r="J10" s="1204"/>
      <c r="K10" s="1204"/>
      <c r="L10" s="1205"/>
      <c r="M10" s="113"/>
      <c r="N10" s="114"/>
    </row>
    <row r="11" spans="1:39" ht="30" customHeight="1">
      <c r="D11" s="1203" t="s">
        <v>126</v>
      </c>
      <c r="E11" s="1204"/>
      <c r="F11" s="1204"/>
      <c r="G11" s="1204"/>
      <c r="H11" s="1204"/>
      <c r="I11" s="1204"/>
      <c r="J11" s="1204"/>
      <c r="K11" s="1204"/>
      <c r="L11" s="1205"/>
      <c r="M11" s="113"/>
      <c r="N11" s="114"/>
    </row>
    <row r="12" spans="1:39" ht="30" customHeight="1" thickBot="1">
      <c r="D12" s="1206" t="s">
        <v>127</v>
      </c>
      <c r="E12" s="1207"/>
      <c r="F12" s="1207"/>
      <c r="G12" s="1207"/>
      <c r="H12" s="1207"/>
      <c r="I12" s="1207"/>
      <c r="J12" s="1207"/>
      <c r="K12" s="1207"/>
      <c r="L12" s="1208"/>
      <c r="M12" s="115"/>
      <c r="N12" s="116"/>
    </row>
    <row r="13" spans="1:39" ht="27.95" customHeight="1">
      <c r="D13" s="117"/>
      <c r="E13" s="117"/>
      <c r="F13" s="117"/>
      <c r="G13" s="117"/>
      <c r="H13" s="117"/>
      <c r="I13" s="117"/>
      <c r="J13" s="117"/>
      <c r="K13" s="117"/>
      <c r="L13" s="118"/>
      <c r="M13" s="119"/>
      <c r="N13" s="119"/>
    </row>
    <row r="14" spans="1:39" ht="14.25" customHeight="1">
      <c r="A14" s="30"/>
      <c r="B14" s="30"/>
      <c r="C14" s="108" t="s">
        <v>128</v>
      </c>
      <c r="D14" s="30"/>
      <c r="E14" s="30"/>
      <c r="F14" s="30"/>
      <c r="G14" s="30"/>
      <c r="H14" s="30"/>
      <c r="I14" s="30"/>
      <c r="J14" s="30"/>
      <c r="K14" s="30"/>
      <c r="L14" s="30"/>
      <c r="M14" s="30"/>
      <c r="N14" s="30"/>
      <c r="O14" s="30"/>
      <c r="P14" s="30"/>
      <c r="Q14" s="30"/>
      <c r="R14" s="30"/>
      <c r="S14" s="30"/>
      <c r="T14" s="30"/>
      <c r="U14" s="30"/>
      <c r="V14" s="30"/>
      <c r="W14" s="120"/>
      <c r="X14" s="120"/>
      <c r="Y14" s="120"/>
      <c r="Z14" s="120"/>
      <c r="AA14" s="120"/>
      <c r="AB14" s="120"/>
      <c r="AC14" s="120"/>
      <c r="AD14" s="108"/>
      <c r="AE14" s="30"/>
      <c r="AF14" s="30"/>
      <c r="AG14" s="30"/>
      <c r="AH14" s="30"/>
      <c r="AI14" s="30"/>
      <c r="AJ14" s="30"/>
      <c r="AK14" s="30"/>
      <c r="AL14" s="30"/>
      <c r="AM14" s="120"/>
    </row>
    <row r="15" spans="1:39" ht="14.25" customHeight="1">
      <c r="A15" s="30"/>
      <c r="B15" s="30"/>
      <c r="C15" s="30"/>
      <c r="D15" s="51" t="s">
        <v>129</v>
      </c>
      <c r="E15" s="30"/>
      <c r="F15" s="30"/>
      <c r="G15" s="30"/>
      <c r="H15" s="30"/>
      <c r="I15" s="30"/>
      <c r="J15" s="30"/>
      <c r="K15" s="30"/>
      <c r="L15" s="30"/>
      <c r="M15" s="30"/>
      <c r="N15" s="30"/>
      <c r="O15" s="30"/>
      <c r="P15" s="30"/>
      <c r="Q15" s="30"/>
      <c r="R15" s="30"/>
      <c r="S15" s="30"/>
      <c r="T15" s="30"/>
      <c r="U15" s="30"/>
      <c r="V15" s="30"/>
      <c r="W15" s="30"/>
      <c r="X15" s="30"/>
      <c r="Y15" s="30"/>
      <c r="Z15" s="30"/>
      <c r="AA15" s="30"/>
      <c r="AB15" s="121"/>
      <c r="AC15" s="30"/>
      <c r="AD15" s="30"/>
      <c r="AE15" s="120"/>
      <c r="AF15" s="120"/>
      <c r="AG15" s="120"/>
      <c r="AH15" s="120"/>
      <c r="AI15" s="120"/>
      <c r="AJ15" s="120"/>
      <c r="AK15" s="120"/>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1"/>
      <c r="AC16" s="30"/>
      <c r="AD16" s="30"/>
      <c r="AE16" s="120"/>
      <c r="AF16" s="120"/>
      <c r="AG16" s="120"/>
      <c r="AH16" s="120"/>
      <c r="AI16" s="120"/>
      <c r="AJ16" s="120"/>
      <c r="AK16" s="120"/>
      <c r="AL16" s="30"/>
      <c r="AM16" s="30"/>
    </row>
    <row r="17" spans="1:39" ht="14.25" customHeight="1">
      <c r="A17" s="30"/>
      <c r="B17" s="30"/>
      <c r="C17" s="30"/>
      <c r="D17" s="1140" t="s">
        <v>55</v>
      </c>
      <c r="E17" s="1141"/>
      <c r="F17" s="1141"/>
      <c r="G17" s="1141"/>
      <c r="H17" s="1141"/>
      <c r="I17" s="1141"/>
      <c r="J17" s="1142"/>
      <c r="K17" s="1212" t="s">
        <v>130</v>
      </c>
      <c r="L17" s="1213"/>
      <c r="M17" s="1213"/>
      <c r="N17" s="1213"/>
      <c r="O17" s="1213"/>
      <c r="P17" s="1213"/>
      <c r="Q17" s="1213"/>
      <c r="R17" s="1213"/>
      <c r="S17" s="1214"/>
      <c r="T17" s="1234" t="s">
        <v>131</v>
      </c>
      <c r="U17" s="122"/>
      <c r="AL17" s="30"/>
      <c r="AM17" s="30"/>
    </row>
    <row r="18" spans="1:39" ht="14.25" customHeight="1">
      <c r="A18" s="30"/>
      <c r="B18" s="30"/>
      <c r="C18" s="30"/>
      <c r="D18" s="1209"/>
      <c r="E18" s="1210"/>
      <c r="F18" s="1210"/>
      <c r="G18" s="1210"/>
      <c r="H18" s="1210"/>
      <c r="I18" s="1210"/>
      <c r="J18" s="1211"/>
      <c r="K18" s="1215"/>
      <c r="L18" s="1216"/>
      <c r="M18" s="1216"/>
      <c r="N18" s="1216"/>
      <c r="O18" s="1216"/>
      <c r="P18" s="1216"/>
      <c r="Q18" s="1216"/>
      <c r="R18" s="1216"/>
      <c r="S18" s="1217"/>
      <c r="T18" s="1235"/>
      <c r="U18" s="1237" t="s">
        <v>132</v>
      </c>
      <c r="AL18" s="30"/>
      <c r="AM18" s="30"/>
    </row>
    <row r="19" spans="1:39" ht="14.25" customHeight="1" thickBot="1">
      <c r="A19" s="30"/>
      <c r="B19" s="30"/>
      <c r="C19" s="30"/>
      <c r="D19" s="1143"/>
      <c r="E19" s="1144"/>
      <c r="F19" s="1144"/>
      <c r="G19" s="1144"/>
      <c r="H19" s="1144"/>
      <c r="I19" s="1144"/>
      <c r="J19" s="1145"/>
      <c r="K19" s="1218"/>
      <c r="L19" s="1219"/>
      <c r="M19" s="1219"/>
      <c r="N19" s="1219"/>
      <c r="O19" s="1219"/>
      <c r="P19" s="1219"/>
      <c r="Q19" s="1219"/>
      <c r="R19" s="1219"/>
      <c r="S19" s="1220"/>
      <c r="T19" s="1236"/>
      <c r="U19" s="1238"/>
      <c r="AL19" s="30"/>
      <c r="AM19" s="30"/>
    </row>
    <row r="20" spans="1:39" ht="28.5" customHeight="1" thickTop="1">
      <c r="A20" s="30"/>
      <c r="B20" s="30"/>
      <c r="C20" s="30"/>
      <c r="D20" s="1215" t="s">
        <v>133</v>
      </c>
      <c r="E20" s="1216"/>
      <c r="F20" s="1216"/>
      <c r="G20" s="1216"/>
      <c r="H20" s="1216"/>
      <c r="I20" s="1216"/>
      <c r="J20" s="1256"/>
      <c r="K20" s="1257" t="s">
        <v>134</v>
      </c>
      <c r="L20" s="1258"/>
      <c r="M20" s="1258"/>
      <c r="N20" s="1258"/>
      <c r="O20" s="1258"/>
      <c r="P20" s="1258"/>
      <c r="Q20" s="1258"/>
      <c r="R20" s="1258"/>
      <c r="S20" s="1259"/>
      <c r="T20" s="123"/>
      <c r="U20" s="124" t="s">
        <v>135</v>
      </c>
      <c r="AL20" s="30"/>
      <c r="AM20" s="30"/>
    </row>
    <row r="21" spans="1:39" ht="28.5" customHeight="1">
      <c r="A21" s="30"/>
      <c r="B21" s="30"/>
      <c r="C21" s="30"/>
      <c r="D21" s="1242" t="s">
        <v>136</v>
      </c>
      <c r="E21" s="1243"/>
      <c r="F21" s="1243"/>
      <c r="G21" s="1243"/>
      <c r="H21" s="1243"/>
      <c r="I21" s="1243"/>
      <c r="J21" s="1244"/>
      <c r="K21" s="1245" t="s">
        <v>137</v>
      </c>
      <c r="L21" s="1246"/>
      <c r="M21" s="1246"/>
      <c r="N21" s="1246"/>
      <c r="O21" s="1246"/>
      <c r="P21" s="1246"/>
      <c r="Q21" s="1246"/>
      <c r="R21" s="1246"/>
      <c r="S21" s="1247"/>
      <c r="T21" s="113"/>
      <c r="U21" s="125" t="s">
        <v>135</v>
      </c>
      <c r="AL21" s="30"/>
      <c r="AM21" s="30"/>
    </row>
    <row r="22" spans="1:39" ht="28.5" customHeight="1" thickBot="1">
      <c r="A22" s="30"/>
      <c r="B22" s="30"/>
      <c r="C22" s="30"/>
      <c r="D22" s="1218" t="s">
        <v>138</v>
      </c>
      <c r="E22" s="1219"/>
      <c r="F22" s="1219"/>
      <c r="G22" s="1219"/>
      <c r="H22" s="1219"/>
      <c r="I22" s="1219"/>
      <c r="J22" s="1248"/>
      <c r="K22" s="1249" t="s">
        <v>139</v>
      </c>
      <c r="L22" s="1250"/>
      <c r="M22" s="1250"/>
      <c r="N22" s="1250"/>
      <c r="O22" s="1250"/>
      <c r="P22" s="1250"/>
      <c r="Q22" s="1250"/>
      <c r="R22" s="1250"/>
      <c r="S22" s="1251"/>
      <c r="T22" s="115"/>
      <c r="U22" s="126" t="s">
        <v>140</v>
      </c>
      <c r="AL22" s="30"/>
      <c r="AM22" s="30"/>
    </row>
    <row r="23" spans="1:39" ht="14.25" customHeight="1">
      <c r="A23" s="30"/>
      <c r="B23" s="30"/>
      <c r="C23" s="30"/>
      <c r="D23" s="127"/>
      <c r="E23" s="127"/>
      <c r="F23" s="127"/>
      <c r="G23" s="127"/>
      <c r="H23" s="127"/>
      <c r="I23" s="127"/>
      <c r="J23" s="127"/>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30"/>
      <c r="AH23" s="30"/>
      <c r="AI23" s="30"/>
      <c r="AJ23" s="30"/>
      <c r="AK23" s="129"/>
      <c r="AL23" s="30"/>
      <c r="AM23" s="30"/>
    </row>
    <row r="24" spans="1:39" ht="14.25" customHeight="1">
      <c r="A24" s="30"/>
      <c r="B24" s="30"/>
      <c r="C24" s="30"/>
      <c r="D24" s="127"/>
      <c r="E24" s="127"/>
      <c r="F24" s="127"/>
      <c r="G24" s="127"/>
      <c r="H24" s="127"/>
      <c r="I24" s="127"/>
      <c r="J24" s="127"/>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30"/>
      <c r="AH24" s="30"/>
      <c r="AI24" s="30"/>
      <c r="AJ24" s="30"/>
      <c r="AK24" s="129"/>
      <c r="AL24" s="30"/>
      <c r="AM24" s="30"/>
    </row>
    <row r="25" spans="1:39" ht="14.25" customHeight="1">
      <c r="A25" s="30"/>
      <c r="B25" s="30"/>
      <c r="C25" s="30"/>
      <c r="D25" s="127"/>
      <c r="E25" s="127"/>
      <c r="F25" s="127"/>
      <c r="G25" s="127"/>
      <c r="H25" s="127"/>
      <c r="I25" s="127"/>
      <c r="J25" s="127"/>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30"/>
      <c r="AH25" s="30"/>
      <c r="AI25" s="30"/>
      <c r="AJ25" s="30"/>
      <c r="AK25" s="129"/>
      <c r="AL25" s="30"/>
      <c r="AM25" s="30"/>
    </row>
    <row r="29" spans="1:39" ht="18" thickBot="1">
      <c r="C29" s="130" t="s">
        <v>141</v>
      </c>
      <c r="E29" s="131"/>
      <c r="F29" s="131"/>
      <c r="G29" s="131"/>
      <c r="H29" s="131"/>
      <c r="I29" s="132"/>
      <c r="J29" s="132"/>
      <c r="K29" s="132"/>
      <c r="L29" s="132"/>
      <c r="M29" s="132"/>
      <c r="P29" s="120"/>
      <c r="Q29" s="120"/>
      <c r="R29" s="120"/>
      <c r="AD29" s="130" t="s">
        <v>141</v>
      </c>
    </row>
    <row r="30" spans="1:39" ht="30" customHeight="1" thickTop="1" thickBot="1">
      <c r="D30" s="1252" t="s">
        <v>142</v>
      </c>
      <c r="E30" s="1252"/>
      <c r="F30" s="1252"/>
      <c r="G30" s="1252"/>
      <c r="H30" s="1252"/>
      <c r="I30" s="1252"/>
      <c r="J30" s="1252"/>
      <c r="K30" s="1252"/>
      <c r="L30" s="1252"/>
      <c r="M30" s="1252"/>
      <c r="N30" s="1252"/>
      <c r="P30" s="133"/>
      <c r="AE30" s="134" t="s">
        <v>143</v>
      </c>
      <c r="AF30" s="134" t="str">
        <f>IF(P30&lt;&gt;"",P30,"")</f>
        <v/>
      </c>
      <c r="AG30" s="135" t="str">
        <f>IF(AF30="はい",1,IF(AF30="いいえ",0,""))</f>
        <v/>
      </c>
    </row>
    <row r="31" spans="1:39" ht="14.25" customHeight="1" thickTop="1">
      <c r="D31" s="1252"/>
      <c r="E31" s="1252"/>
      <c r="F31" s="1252"/>
      <c r="G31" s="1252"/>
      <c r="H31" s="1252"/>
      <c r="I31" s="1252"/>
      <c r="J31" s="1252"/>
      <c r="K31" s="1252"/>
      <c r="L31" s="1252"/>
      <c r="M31" s="1252"/>
      <c r="N31" s="1252"/>
    </row>
    <row r="32" spans="1:39" ht="18" customHeight="1">
      <c r="D32" s="131"/>
      <c r="M32" s="82"/>
      <c r="N32" s="82"/>
      <c r="O32" s="82"/>
      <c r="P32" s="82"/>
      <c r="Q32" s="82"/>
      <c r="R32" s="82"/>
    </row>
    <row r="33" spans="1:31" ht="18" customHeight="1">
      <c r="D33" s="131"/>
      <c r="M33" s="82"/>
      <c r="N33" s="82"/>
      <c r="O33" s="82"/>
      <c r="P33" s="82"/>
      <c r="Q33" s="82"/>
      <c r="R33" s="82"/>
    </row>
    <row r="34" spans="1:31" ht="18" customHeight="1">
      <c r="C34" s="130" t="s">
        <v>144</v>
      </c>
      <c r="E34" s="131"/>
      <c r="F34" s="131"/>
      <c r="G34" s="131"/>
      <c r="H34" s="131"/>
      <c r="I34" s="132"/>
      <c r="J34" s="132"/>
      <c r="K34" s="132"/>
      <c r="L34" s="132"/>
      <c r="M34" s="132"/>
      <c r="P34" s="120"/>
      <c r="Q34" s="120"/>
      <c r="R34" s="120"/>
      <c r="AD34" s="130" t="s">
        <v>144</v>
      </c>
    </row>
    <row r="35" spans="1:31" ht="18" customHeight="1">
      <c r="D35" s="48" t="s">
        <v>145</v>
      </c>
      <c r="F35" s="131"/>
      <c r="G35" s="131"/>
      <c r="H35" s="131"/>
      <c r="I35" s="132"/>
      <c r="J35" s="132"/>
      <c r="K35" s="132"/>
      <c r="L35" s="132"/>
      <c r="M35" s="132"/>
      <c r="P35" s="120"/>
      <c r="Q35" s="120"/>
      <c r="R35" s="120"/>
    </row>
    <row r="36" spans="1:31" ht="14.1" customHeight="1" thickBot="1">
      <c r="D36" s="48"/>
      <c r="F36" s="131"/>
      <c r="G36" s="131"/>
      <c r="H36" s="131"/>
      <c r="I36" s="132"/>
      <c r="J36" s="132"/>
      <c r="K36" s="132"/>
      <c r="L36" s="132"/>
      <c r="M36" s="132"/>
      <c r="P36" s="120"/>
      <c r="Q36" s="120"/>
      <c r="R36" s="120"/>
    </row>
    <row r="37" spans="1:31" ht="28.5" customHeight="1" thickBot="1">
      <c r="D37" s="1253" t="s">
        <v>55</v>
      </c>
      <c r="E37" s="1254"/>
      <c r="F37" s="1254"/>
      <c r="G37" s="1254"/>
      <c r="H37" s="1254"/>
      <c r="I37" s="1254"/>
      <c r="J37" s="1254"/>
      <c r="K37" s="1255"/>
      <c r="L37" s="136" t="s">
        <v>146</v>
      </c>
      <c r="M37" s="137" t="s">
        <v>147</v>
      </c>
      <c r="N37" s="137" t="s">
        <v>148</v>
      </c>
      <c r="O37" s="137" t="s">
        <v>149</v>
      </c>
      <c r="P37" s="138" t="s">
        <v>150</v>
      </c>
      <c r="AE37" s="139" t="s">
        <v>151</v>
      </c>
    </row>
    <row r="38" spans="1:31" ht="30.75" customHeight="1" thickTop="1" thickBot="1">
      <c r="D38" s="1239" t="s">
        <v>152</v>
      </c>
      <c r="E38" s="1240"/>
      <c r="F38" s="1240"/>
      <c r="G38" s="1240"/>
      <c r="H38" s="1240"/>
      <c r="I38" s="1240"/>
      <c r="J38" s="1240"/>
      <c r="K38" s="1241"/>
      <c r="L38" s="140"/>
      <c r="M38" s="141"/>
      <c r="N38" s="141"/>
      <c r="O38" s="141"/>
      <c r="P38" s="142"/>
      <c r="AE38" s="143">
        <f>IF(COUNT(L38:P38)=2,ROUND(SUM(L38:P38)/2,0),(ROUND((SUM(L38:P38)-MIN(L38:P38)-MAX(L38:P38))/(COUNT(L38:P38)-2),0)))</f>
        <v>0</v>
      </c>
    </row>
    <row r="39" spans="1:31" ht="14.1" customHeight="1">
      <c r="D39" s="131"/>
      <c r="E39" s="20"/>
      <c r="F39" s="20"/>
      <c r="G39" s="20"/>
      <c r="H39" s="20"/>
      <c r="I39" s="20"/>
      <c r="J39" s="20"/>
      <c r="K39" s="20"/>
      <c r="M39" s="30"/>
      <c r="N39" s="30"/>
      <c r="P39" s="120"/>
      <c r="Q39" s="120"/>
      <c r="R39" s="120"/>
    </row>
    <row r="40" spans="1:31" ht="14.1" customHeight="1">
      <c r="D40" s="131"/>
      <c r="E40" s="20"/>
      <c r="F40" s="20"/>
      <c r="G40" s="20"/>
      <c r="H40" s="20"/>
      <c r="I40" s="20"/>
      <c r="J40" s="20"/>
      <c r="K40" s="20"/>
      <c r="M40" s="30"/>
      <c r="N40" s="30"/>
      <c r="P40" s="120"/>
      <c r="Q40" s="120"/>
      <c r="R40" s="120"/>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7"/>
      <c r="E44" s="147"/>
      <c r="F44" s="147"/>
      <c r="G44" s="147"/>
      <c r="H44" s="147"/>
      <c r="I44" s="147"/>
      <c r="J44" s="147"/>
      <c r="K44" s="127"/>
      <c r="L44" s="147"/>
      <c r="M44" s="127"/>
      <c r="N44" s="148"/>
      <c r="P44" s="146"/>
      <c r="Q44" s="146"/>
      <c r="R44" s="146"/>
      <c r="S44" s="146"/>
      <c r="T44" s="146"/>
      <c r="U44" s="2"/>
      <c r="V44" s="2"/>
      <c r="W44" s="2"/>
      <c r="X44" s="2"/>
      <c r="Y44" s="2"/>
      <c r="Z44" s="2"/>
      <c r="AA44" s="2"/>
      <c r="AB44" s="2"/>
    </row>
    <row r="45" spans="1:31" s="145" customFormat="1" ht="14.1" customHeight="1">
      <c r="D45" s="127"/>
      <c r="E45" s="147"/>
      <c r="F45" s="147"/>
      <c r="G45" s="147"/>
      <c r="H45" s="147"/>
      <c r="I45" s="147"/>
      <c r="J45" s="147"/>
      <c r="K45" s="127"/>
      <c r="L45" s="147"/>
      <c r="M45" s="147"/>
      <c r="N45" s="148"/>
      <c r="P45" s="146"/>
      <c r="Q45" s="146"/>
      <c r="R45" s="146"/>
      <c r="S45" s="146"/>
      <c r="T45" s="146"/>
      <c r="U45" s="2"/>
      <c r="V45" s="2"/>
      <c r="W45" s="2"/>
      <c r="X45" s="2"/>
      <c r="Y45" s="2"/>
      <c r="Z45" s="2"/>
      <c r="AA45" s="2"/>
      <c r="AB45" s="2"/>
    </row>
    <row r="46" spans="1:31" ht="14.1" customHeight="1">
      <c r="D46" s="120"/>
      <c r="E46" s="147"/>
      <c r="F46" s="147"/>
      <c r="G46" s="147"/>
      <c r="H46" s="147"/>
      <c r="I46" s="147"/>
      <c r="J46" s="147"/>
      <c r="K46" s="127"/>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1" t="s">
        <v>117</v>
      </c>
    </row>
    <row r="2" spans="1:83" s="30" customFormat="1" ht="18" customHeight="1">
      <c r="A2" s="152"/>
      <c r="AI2" s="46"/>
      <c r="AJ2" s="152"/>
      <c r="AM2" s="2"/>
      <c r="AN2" s="2"/>
      <c r="AO2" s="2"/>
      <c r="AP2" s="2"/>
      <c r="AQ2" s="2"/>
    </row>
    <row r="3" spans="1:83" ht="14.25" customHeight="1">
      <c r="O3" s="153"/>
      <c r="P3" s="120"/>
      <c r="Q3" s="120"/>
      <c r="R3" s="120"/>
      <c r="S3" s="120"/>
      <c r="T3" s="120"/>
      <c r="U3" s="120"/>
      <c r="V3" s="120"/>
      <c r="W3" s="120"/>
      <c r="X3" s="30"/>
      <c r="Y3" s="30"/>
      <c r="Z3" s="30"/>
      <c r="AA3" s="30"/>
      <c r="AB3" s="154"/>
      <c r="AI3" s="46"/>
    </row>
    <row r="4" spans="1:83" s="30" customFormat="1" ht="18" customHeight="1">
      <c r="A4" s="108" t="s">
        <v>153</v>
      </c>
      <c r="C4" s="109"/>
      <c r="D4" s="109"/>
      <c r="E4" s="109"/>
      <c r="F4" s="110"/>
      <c r="G4" s="110"/>
      <c r="H4" s="110"/>
      <c r="I4" s="110"/>
      <c r="J4" s="110"/>
      <c r="K4" s="110"/>
      <c r="L4" s="110"/>
      <c r="M4" s="110"/>
      <c r="N4" s="110"/>
      <c r="T4" s="108"/>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154</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155</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156</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157</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158</v>
      </c>
      <c r="C9" s="88"/>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8" t="s">
        <v>159</v>
      </c>
      <c r="D11" s="46"/>
      <c r="E11" s="48"/>
      <c r="F11" s="48"/>
      <c r="G11" s="48"/>
      <c r="H11" s="48"/>
      <c r="I11" s="48"/>
      <c r="J11" s="48"/>
      <c r="K11" s="48"/>
      <c r="L11" s="48"/>
      <c r="M11" s="48"/>
      <c r="N11" s="108" t="s">
        <v>160</v>
      </c>
      <c r="O11" s="46"/>
      <c r="P11" s="46"/>
      <c r="Q11" s="46"/>
      <c r="R11" s="46"/>
      <c r="S11" s="46"/>
      <c r="T11" s="46"/>
      <c r="U11" s="46"/>
      <c r="AD11" s="46"/>
      <c r="AE11" s="46"/>
      <c r="AF11" s="46"/>
      <c r="AG11" s="46"/>
      <c r="AH11" s="46"/>
      <c r="AI11" s="46"/>
    </row>
    <row r="12" spans="1:83" ht="14.25" customHeight="1">
      <c r="B12" s="1140" t="s">
        <v>55</v>
      </c>
      <c r="C12" s="1213"/>
      <c r="D12" s="1213"/>
      <c r="E12" s="1213"/>
      <c r="F12" s="1213"/>
      <c r="G12" s="1213"/>
      <c r="H12" s="1213"/>
      <c r="I12" s="1213"/>
      <c r="J12" s="155"/>
      <c r="K12" s="1260" t="s">
        <v>161</v>
      </c>
      <c r="N12" s="1140" t="s">
        <v>55</v>
      </c>
      <c r="O12" s="1213"/>
      <c r="P12" s="1213"/>
      <c r="Q12" s="1213"/>
      <c r="R12" s="1213"/>
      <c r="S12" s="1213"/>
      <c r="T12" s="1213"/>
      <c r="U12" s="1213"/>
      <c r="V12" s="156"/>
      <c r="W12" s="1260" t="s">
        <v>161</v>
      </c>
    </row>
    <row r="13" spans="1:83" ht="14.25" customHeight="1">
      <c r="B13" s="1209"/>
      <c r="C13" s="1216"/>
      <c r="D13" s="1216"/>
      <c r="E13" s="1216"/>
      <c r="F13" s="1216"/>
      <c r="G13" s="1216"/>
      <c r="H13" s="1216"/>
      <c r="I13" s="1216"/>
      <c r="J13" s="1263" t="s">
        <v>132</v>
      </c>
      <c r="K13" s="1261"/>
      <c r="N13" s="1209"/>
      <c r="O13" s="1216"/>
      <c r="P13" s="1216"/>
      <c r="Q13" s="1216"/>
      <c r="R13" s="1216"/>
      <c r="S13" s="1216"/>
      <c r="T13" s="1216"/>
      <c r="U13" s="1216"/>
      <c r="V13" s="1263" t="s">
        <v>132</v>
      </c>
      <c r="W13" s="1261"/>
    </row>
    <row r="14" spans="1:83" ht="14.25" customHeight="1" thickBot="1">
      <c r="B14" s="1218"/>
      <c r="C14" s="1219"/>
      <c r="D14" s="1219"/>
      <c r="E14" s="1219"/>
      <c r="F14" s="1219"/>
      <c r="G14" s="1219"/>
      <c r="H14" s="1219"/>
      <c r="I14" s="1219"/>
      <c r="J14" s="1264"/>
      <c r="K14" s="1262"/>
      <c r="N14" s="1218"/>
      <c r="O14" s="1219"/>
      <c r="P14" s="1219"/>
      <c r="Q14" s="1219"/>
      <c r="R14" s="1219"/>
      <c r="S14" s="1219"/>
      <c r="T14" s="1219"/>
      <c r="U14" s="1219"/>
      <c r="V14" s="1264"/>
      <c r="W14" s="1262"/>
    </row>
    <row r="15" spans="1:83" ht="30" customHeight="1" thickTop="1">
      <c r="B15" s="1265" t="s">
        <v>162</v>
      </c>
      <c r="C15" s="1266"/>
      <c r="D15" s="1266"/>
      <c r="E15" s="1266"/>
      <c r="F15" s="1266"/>
      <c r="G15" s="1266"/>
      <c r="H15" s="1266"/>
      <c r="I15" s="1267"/>
      <c r="J15" s="157" t="s">
        <v>163</v>
      </c>
      <c r="K15" s="158"/>
      <c r="N15" s="159"/>
      <c r="O15" s="1096" t="s">
        <v>164</v>
      </c>
      <c r="P15" s="1096"/>
      <c r="Q15" s="1096"/>
      <c r="R15" s="1096"/>
      <c r="S15" s="1096"/>
      <c r="T15" s="1096"/>
      <c r="U15" s="146"/>
      <c r="V15" s="157" t="s">
        <v>163</v>
      </c>
      <c r="W15" s="158"/>
    </row>
    <row r="16" spans="1:83" ht="28.5" customHeight="1">
      <c r="B16" s="1268" t="s">
        <v>164</v>
      </c>
      <c r="C16" s="1269"/>
      <c r="D16" s="1269"/>
      <c r="E16" s="1269"/>
      <c r="F16" s="1269"/>
      <c r="G16" s="1269"/>
      <c r="H16" s="1269"/>
      <c r="I16" s="1270"/>
      <c r="J16" s="160" t="s">
        <v>165</v>
      </c>
      <c r="K16" s="161"/>
      <c r="N16" s="162"/>
      <c r="O16" s="1271" t="s">
        <v>166</v>
      </c>
      <c r="P16" s="1271"/>
      <c r="Q16" s="1271"/>
      <c r="R16" s="1271"/>
      <c r="S16" s="1271"/>
      <c r="T16" s="1271"/>
      <c r="U16" s="163"/>
      <c r="V16" s="160" t="s">
        <v>163</v>
      </c>
      <c r="W16" s="161"/>
    </row>
    <row r="17" spans="1:100" ht="28.5" customHeight="1">
      <c r="B17" s="1203" t="s">
        <v>166</v>
      </c>
      <c r="C17" s="1272"/>
      <c r="D17" s="1272"/>
      <c r="E17" s="1272"/>
      <c r="F17" s="1272"/>
      <c r="G17" s="1272"/>
      <c r="H17" s="1272"/>
      <c r="I17" s="1273"/>
      <c r="J17" s="160" t="s">
        <v>163</v>
      </c>
      <c r="K17" s="161"/>
      <c r="N17" s="162"/>
      <c r="O17" s="1271" t="s">
        <v>167</v>
      </c>
      <c r="P17" s="1271"/>
      <c r="Q17" s="1271"/>
      <c r="R17" s="1271"/>
      <c r="S17" s="1271"/>
      <c r="T17" s="1271"/>
      <c r="U17" s="163"/>
      <c r="V17" s="160" t="s">
        <v>165</v>
      </c>
      <c r="W17" s="161"/>
    </row>
    <row r="18" spans="1:100" ht="28.5" customHeight="1" thickBot="1">
      <c r="B18" s="1203" t="s">
        <v>167</v>
      </c>
      <c r="C18" s="1272"/>
      <c r="D18" s="1272"/>
      <c r="E18" s="1272"/>
      <c r="F18" s="1272"/>
      <c r="G18" s="1272"/>
      <c r="H18" s="1272"/>
      <c r="I18" s="1273"/>
      <c r="J18" s="160" t="s">
        <v>168</v>
      </c>
      <c r="K18" s="161"/>
      <c r="N18" s="164"/>
      <c r="O18" s="1274" t="s">
        <v>169</v>
      </c>
      <c r="P18" s="1274"/>
      <c r="Q18" s="1274"/>
      <c r="R18" s="1274"/>
      <c r="S18" s="1274"/>
      <c r="T18" s="1274"/>
      <c r="U18" s="165"/>
      <c r="V18" s="166" t="s">
        <v>170</v>
      </c>
      <c r="W18" s="161"/>
      <c r="CV18" s="144"/>
    </row>
    <row r="19" spans="1:100" ht="28.5" customHeight="1" thickTop="1" thickBot="1">
      <c r="B19" s="1275" t="s">
        <v>169</v>
      </c>
      <c r="C19" s="1276"/>
      <c r="D19" s="1276"/>
      <c r="E19" s="1276"/>
      <c r="F19" s="1276"/>
      <c r="G19" s="1276"/>
      <c r="H19" s="1276"/>
      <c r="I19" s="1277"/>
      <c r="J19" s="166" t="s">
        <v>163</v>
      </c>
      <c r="K19" s="161"/>
      <c r="N19" s="167"/>
      <c r="O19" s="1278" t="s">
        <v>171</v>
      </c>
      <c r="P19" s="1278"/>
      <c r="Q19" s="1278"/>
      <c r="R19" s="1278"/>
      <c r="S19" s="1278"/>
      <c r="T19" s="1278"/>
      <c r="U19" s="168"/>
      <c r="V19" s="169" t="s">
        <v>172</v>
      </c>
      <c r="W19" s="170"/>
    </row>
    <row r="20" spans="1:100" ht="28.5" customHeight="1" thickTop="1" thickBot="1">
      <c r="B20" s="1143" t="s">
        <v>171</v>
      </c>
      <c r="C20" s="1144"/>
      <c r="D20" s="1144"/>
      <c r="E20" s="1144"/>
      <c r="F20" s="1144"/>
      <c r="G20" s="1144"/>
      <c r="H20" s="1144"/>
      <c r="I20" s="1279"/>
      <c r="J20" s="169" t="s">
        <v>172</v>
      </c>
      <c r="K20" s="170"/>
      <c r="V20" s="171"/>
      <c r="W20" s="172"/>
      <c r="AE20" s="127"/>
      <c r="AF20" s="127"/>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7"/>
      <c r="AF21" s="127"/>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7"/>
      <c r="AF22" s="127"/>
      <c r="AG22" s="173"/>
      <c r="AH22" s="173"/>
      <c r="AI22" s="174"/>
      <c r="AJ22" s="175"/>
      <c r="AK22" s="145"/>
      <c r="AL22" s="145"/>
      <c r="CT22" s="153"/>
    </row>
    <row r="23" spans="1:100" ht="14.25" customHeight="1">
      <c r="A23" s="108" t="s">
        <v>173</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8" t="s">
        <v>173</v>
      </c>
      <c r="BG23" s="153"/>
    </row>
    <row r="24" spans="1:100" ht="14.25" customHeight="1">
      <c r="B24" s="58" t="s">
        <v>174</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175</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290" t="s">
        <v>55</v>
      </c>
      <c r="C26" s="1291"/>
      <c r="D26" s="1291"/>
      <c r="E26" s="1291"/>
      <c r="F26" s="1291"/>
      <c r="G26" s="1291"/>
      <c r="H26" s="1291"/>
      <c r="I26" s="1291"/>
      <c r="J26" s="1292"/>
      <c r="K26" s="1296" t="s">
        <v>176</v>
      </c>
      <c r="L26" s="1298" t="s">
        <v>177</v>
      </c>
      <c r="AD26" s="178"/>
      <c r="AE26" s="178"/>
      <c r="AI26" s="46"/>
      <c r="AJ26" s="1283" t="s">
        <v>55</v>
      </c>
      <c r="AK26" s="1285" t="s">
        <v>176</v>
      </c>
      <c r="AL26" s="180"/>
      <c r="AM26" s="1283" t="s">
        <v>177</v>
      </c>
      <c r="AQ26" s="179"/>
      <c r="BG26" s="153"/>
    </row>
    <row r="27" spans="1:100" ht="14.25" customHeight="1" thickBot="1">
      <c r="B27" s="1293"/>
      <c r="C27" s="1294"/>
      <c r="D27" s="1294"/>
      <c r="E27" s="1294"/>
      <c r="F27" s="1294"/>
      <c r="G27" s="1294"/>
      <c r="H27" s="1294"/>
      <c r="I27" s="1294"/>
      <c r="J27" s="1295"/>
      <c r="K27" s="1297"/>
      <c r="L27" s="1299"/>
      <c r="AD27" s="178"/>
      <c r="AE27" s="178"/>
      <c r="AI27" s="46"/>
      <c r="AJ27" s="1284"/>
      <c r="AK27" s="1286"/>
      <c r="AL27" s="181" t="s">
        <v>178</v>
      </c>
      <c r="AM27" s="1284"/>
      <c r="AQ27" s="179"/>
      <c r="BG27" s="153"/>
    </row>
    <row r="28" spans="1:100" ht="30" customHeight="1" thickTop="1">
      <c r="B28" s="1280" t="s">
        <v>179</v>
      </c>
      <c r="C28" s="1281"/>
      <c r="D28" s="1281"/>
      <c r="E28" s="1281"/>
      <c r="F28" s="1281"/>
      <c r="G28" s="1281"/>
      <c r="H28" s="1281"/>
      <c r="I28" s="1281"/>
      <c r="J28" s="1282"/>
      <c r="K28" s="182"/>
      <c r="L28" s="183"/>
      <c r="S28" s="184"/>
      <c r="T28" s="184"/>
      <c r="U28" s="184"/>
      <c r="V28" s="184"/>
      <c r="W28" s="184"/>
      <c r="X28" s="184"/>
      <c r="Y28" s="184"/>
      <c r="Z28" s="184"/>
      <c r="AA28" s="184"/>
      <c r="AB28" s="184"/>
      <c r="AC28" s="184"/>
      <c r="AD28" s="178"/>
      <c r="AE28" s="178"/>
      <c r="AI28" s="46"/>
      <c r="AJ28" s="185" t="s">
        <v>180</v>
      </c>
      <c r="AK28" s="186"/>
      <c r="AL28" s="187" t="str">
        <f>IF(AK28&lt;&gt;"",SUM(RIGHT(LEFT(AK28,3),2)),"")</f>
        <v/>
      </c>
      <c r="AM28" s="188">
        <f>L28</f>
        <v>0</v>
      </c>
      <c r="AQ28" s="179"/>
      <c r="BG28" s="153"/>
    </row>
    <row r="29" spans="1:100" ht="30" customHeight="1">
      <c r="B29" s="1287" t="s">
        <v>181</v>
      </c>
      <c r="C29" s="1288"/>
      <c r="D29" s="1288"/>
      <c r="E29" s="1288"/>
      <c r="F29" s="1288"/>
      <c r="G29" s="1288"/>
      <c r="H29" s="1288"/>
      <c r="I29" s="1288"/>
      <c r="J29" s="1289"/>
      <c r="K29" s="189"/>
      <c r="L29" s="190"/>
      <c r="S29" s="184"/>
      <c r="T29" s="184"/>
      <c r="U29" s="184"/>
      <c r="V29" s="184"/>
      <c r="W29" s="184"/>
      <c r="X29" s="184"/>
      <c r="Y29" s="184"/>
      <c r="Z29" s="184"/>
      <c r="AA29" s="184"/>
      <c r="AB29" s="184"/>
      <c r="AC29" s="184"/>
      <c r="AD29" s="178"/>
      <c r="AE29" s="178"/>
      <c r="AI29" s="46"/>
      <c r="AJ29" s="185" t="s">
        <v>182</v>
      </c>
      <c r="AK29" s="191"/>
      <c r="AL29" s="187" t="str">
        <f>IF(AK29&lt;&gt;"",SUM(RIGHT(LEFT(AK29,3),2)),"")</f>
        <v/>
      </c>
      <c r="AM29" s="188">
        <f>L29</f>
        <v>0</v>
      </c>
      <c r="BG29" s="153"/>
    </row>
    <row r="30" spans="1:100" ht="30" customHeight="1">
      <c r="B30" s="1287" t="s">
        <v>183</v>
      </c>
      <c r="C30" s="1288"/>
      <c r="D30" s="1288"/>
      <c r="E30" s="1288"/>
      <c r="F30" s="1288"/>
      <c r="G30" s="1288"/>
      <c r="H30" s="1288"/>
      <c r="I30" s="1288"/>
      <c r="J30" s="1289"/>
      <c r="K30" s="189"/>
      <c r="L30" s="190"/>
      <c r="S30" s="184"/>
      <c r="T30" s="184"/>
      <c r="U30" s="184"/>
      <c r="V30" s="184"/>
      <c r="W30" s="184"/>
      <c r="X30" s="184"/>
      <c r="Y30" s="184"/>
      <c r="Z30" s="184"/>
      <c r="AA30" s="184"/>
      <c r="AB30" s="184"/>
      <c r="AC30" s="184"/>
      <c r="AD30" s="178"/>
      <c r="AE30" s="178"/>
      <c r="AI30" s="46"/>
      <c r="AJ30" s="185" t="s">
        <v>184</v>
      </c>
      <c r="AK30" s="191"/>
      <c r="AL30" s="187" t="str">
        <f t="shared" ref="AL30:AL32" si="0">IF(AK30&lt;&gt;"",SUM(RIGHT(LEFT(AK30,3),2)),"")</f>
        <v/>
      </c>
      <c r="AM30" s="188">
        <f>L30</f>
        <v>0</v>
      </c>
      <c r="BG30" s="153"/>
    </row>
    <row r="31" spans="1:100" ht="30" customHeight="1">
      <c r="B31" s="1287" t="s">
        <v>185</v>
      </c>
      <c r="C31" s="1288"/>
      <c r="D31" s="1288"/>
      <c r="E31" s="1288"/>
      <c r="F31" s="1288"/>
      <c r="G31" s="1288"/>
      <c r="H31" s="1288"/>
      <c r="I31" s="1288"/>
      <c r="J31" s="1289"/>
      <c r="K31" s="189"/>
      <c r="L31" s="190"/>
      <c r="S31" s="184"/>
      <c r="T31" s="184"/>
      <c r="U31" s="184"/>
      <c r="V31" s="184"/>
      <c r="W31" s="184"/>
      <c r="X31" s="184"/>
      <c r="Y31" s="184"/>
      <c r="Z31" s="184"/>
      <c r="AA31" s="184"/>
      <c r="AB31" s="184"/>
      <c r="AC31" s="184"/>
      <c r="AD31" s="178"/>
      <c r="AE31" s="178"/>
      <c r="AI31" s="46"/>
      <c r="AJ31" s="185" t="s">
        <v>186</v>
      </c>
      <c r="AK31" s="191"/>
      <c r="AL31" s="187" t="str">
        <f t="shared" si="0"/>
        <v/>
      </c>
      <c r="AM31" s="188">
        <f>L31</f>
        <v>0</v>
      </c>
      <c r="BG31" s="153"/>
    </row>
    <row r="32" spans="1:100" s="30" customFormat="1" ht="30" customHeight="1" thickBot="1">
      <c r="A32" s="2"/>
      <c r="B32" s="1293" t="s">
        <v>187</v>
      </c>
      <c r="C32" s="1294"/>
      <c r="D32" s="1294"/>
      <c r="E32" s="1294"/>
      <c r="F32" s="1294"/>
      <c r="G32" s="1294"/>
      <c r="H32" s="1294"/>
      <c r="I32" s="1294"/>
      <c r="J32" s="1300"/>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188</v>
      </c>
      <c r="AK32" s="194"/>
      <c r="AL32" s="187" t="str">
        <f t="shared" si="0"/>
        <v/>
      </c>
      <c r="AM32" s="188">
        <f>L32</f>
        <v>0</v>
      </c>
      <c r="AN32" s="2"/>
      <c r="AO32" s="2"/>
      <c r="AP32" s="2"/>
    </row>
    <row r="33" spans="1:42" ht="14.25" customHeight="1">
      <c r="B33" s="178" t="s">
        <v>189</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8" t="s">
        <v>190</v>
      </c>
      <c r="B36" s="109"/>
      <c r="C36" s="109"/>
      <c r="D36" s="109"/>
      <c r="E36" s="109"/>
      <c r="F36" s="110"/>
      <c r="G36" s="110"/>
      <c r="H36" s="110"/>
      <c r="I36" s="110"/>
      <c r="J36" s="110"/>
      <c r="K36" s="110"/>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8"/>
    </row>
    <row r="37" spans="1:42" ht="14.1" customHeight="1">
      <c r="A37" s="30"/>
      <c r="B37" s="51" t="s">
        <v>191</v>
      </c>
      <c r="C37" s="30"/>
      <c r="D37" s="30"/>
      <c r="E37" s="30"/>
      <c r="F37" s="30"/>
      <c r="G37" s="30"/>
      <c r="H37" s="30"/>
      <c r="I37" s="30"/>
      <c r="J37" s="30"/>
      <c r="K37" s="30"/>
      <c r="L37" s="30"/>
      <c r="M37" s="30"/>
      <c r="N37" s="30"/>
      <c r="O37" s="30"/>
      <c r="P37" s="30"/>
      <c r="Q37" s="30"/>
      <c r="R37" s="30"/>
      <c r="S37" s="121"/>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1"/>
      <c r="T38" s="30"/>
      <c r="U38" s="30"/>
      <c r="V38" s="30"/>
      <c r="W38" s="30"/>
      <c r="X38" s="30"/>
      <c r="Y38" s="30"/>
      <c r="Z38" s="30"/>
      <c r="AA38" s="30"/>
      <c r="AB38" s="30"/>
      <c r="AC38" s="30"/>
      <c r="AD38" s="30"/>
      <c r="AE38" s="30"/>
      <c r="AF38" s="30"/>
      <c r="AG38" s="30"/>
      <c r="AH38" s="30"/>
      <c r="AI38" s="46"/>
    </row>
    <row r="39" spans="1:42" ht="14.25" customHeight="1">
      <c r="B39" s="1301" t="s">
        <v>55</v>
      </c>
      <c r="C39" s="1302"/>
      <c r="D39" s="1302"/>
      <c r="E39" s="1302"/>
      <c r="F39" s="1302"/>
      <c r="G39" s="1302"/>
      <c r="H39" s="1302"/>
      <c r="I39" s="1302"/>
      <c r="J39" s="1303"/>
      <c r="K39" s="1307" t="s">
        <v>192</v>
      </c>
      <c r="L39" s="1309" t="s">
        <v>193</v>
      </c>
      <c r="AI39" s="46"/>
      <c r="AJ39" s="30"/>
    </row>
    <row r="40" spans="1:42" ht="14.25" customHeight="1" thickBot="1">
      <c r="B40" s="1304"/>
      <c r="C40" s="1305"/>
      <c r="D40" s="1305"/>
      <c r="E40" s="1305"/>
      <c r="F40" s="1305"/>
      <c r="G40" s="1305"/>
      <c r="H40" s="1305"/>
      <c r="I40" s="1305"/>
      <c r="J40" s="1306"/>
      <c r="K40" s="1308"/>
      <c r="L40" s="1310"/>
      <c r="AI40" s="46"/>
      <c r="AJ40" s="30"/>
    </row>
    <row r="41" spans="1:42" ht="30" customHeight="1" thickTop="1" thickBot="1">
      <c r="B41" s="1280" t="s">
        <v>194</v>
      </c>
      <c r="C41" s="1281"/>
      <c r="D41" s="1281"/>
      <c r="E41" s="1281"/>
      <c r="F41" s="1281"/>
      <c r="G41" s="1281"/>
      <c r="H41" s="1281"/>
      <c r="I41" s="1281"/>
      <c r="J41" s="1282"/>
      <c r="K41" s="197"/>
      <c r="L41" s="198"/>
      <c r="AI41" s="46"/>
      <c r="AJ41" s="30"/>
    </row>
    <row r="42" spans="1:42" ht="30" customHeight="1" thickTop="1">
      <c r="B42" s="1316" t="s">
        <v>195</v>
      </c>
      <c r="C42" s="1317"/>
      <c r="D42" s="1314" t="s">
        <v>196</v>
      </c>
      <c r="E42" s="1314"/>
      <c r="F42" s="1314"/>
      <c r="G42" s="1314"/>
      <c r="H42" s="1314"/>
      <c r="I42" s="1314"/>
      <c r="J42" s="1315"/>
      <c r="K42" s="1311"/>
      <c r="L42" s="199"/>
      <c r="AI42" s="46"/>
    </row>
    <row r="43" spans="1:42" ht="30" customHeight="1">
      <c r="B43" s="1316"/>
      <c r="C43" s="1317"/>
      <c r="D43" s="1314" t="s">
        <v>197</v>
      </c>
      <c r="E43" s="1314"/>
      <c r="F43" s="1314"/>
      <c r="G43" s="1314"/>
      <c r="H43" s="1314"/>
      <c r="I43" s="1314"/>
      <c r="J43" s="1315"/>
      <c r="K43" s="1312"/>
      <c r="L43" s="199"/>
      <c r="AI43" s="46"/>
    </row>
    <row r="44" spans="1:42" ht="30" customHeight="1">
      <c r="B44" s="1316" t="s">
        <v>198</v>
      </c>
      <c r="C44" s="1317"/>
      <c r="D44" s="1314" t="s">
        <v>199</v>
      </c>
      <c r="E44" s="1314"/>
      <c r="F44" s="1314"/>
      <c r="G44" s="1314"/>
      <c r="H44" s="1314"/>
      <c r="I44" s="1314"/>
      <c r="J44" s="1315"/>
      <c r="K44" s="1312"/>
      <c r="L44" s="199"/>
      <c r="AI44" s="46"/>
    </row>
    <row r="45" spans="1:42" ht="30" customHeight="1" thickBot="1">
      <c r="B45" s="1316"/>
      <c r="C45" s="1317"/>
      <c r="D45" s="1314" t="s">
        <v>200</v>
      </c>
      <c r="E45" s="1314"/>
      <c r="F45" s="1314"/>
      <c r="G45" s="1314"/>
      <c r="H45" s="1314"/>
      <c r="I45" s="1314"/>
      <c r="J45" s="1315"/>
      <c r="K45" s="1313"/>
      <c r="L45" s="200"/>
    </row>
    <row r="46" spans="1:42" ht="31.5" customHeight="1" thickTop="1">
      <c r="B46" s="1318"/>
      <c r="C46" s="1319"/>
      <c r="D46" s="1319"/>
      <c r="E46" s="1319"/>
      <c r="F46" s="1319"/>
      <c r="G46" s="1319"/>
      <c r="H46" s="1319"/>
      <c r="I46" s="1319"/>
      <c r="J46" s="1320"/>
      <c r="K46" s="201"/>
      <c r="L46" s="202"/>
    </row>
    <row r="47" spans="1:42" ht="31.5" customHeight="1">
      <c r="B47" s="1321"/>
      <c r="C47" s="1322"/>
      <c r="D47" s="1322"/>
      <c r="E47" s="1322"/>
      <c r="F47" s="1322"/>
      <c r="G47" s="1322"/>
      <c r="H47" s="1322"/>
      <c r="I47" s="1322"/>
      <c r="J47" s="1323"/>
      <c r="K47" s="203"/>
      <c r="L47" s="204"/>
    </row>
    <row r="48" spans="1:42" ht="31.5" customHeight="1" thickBot="1">
      <c r="B48" s="1324"/>
      <c r="C48" s="1325"/>
      <c r="D48" s="1325"/>
      <c r="E48" s="1325"/>
      <c r="F48" s="1325"/>
      <c r="G48" s="1325"/>
      <c r="H48" s="1325"/>
      <c r="I48" s="1325"/>
      <c r="J48" s="1326"/>
      <c r="K48" s="205"/>
      <c r="L48" s="206"/>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84" customWidth="1"/>
    <col min="22" max="22" width="2.625" style="2" customWidth="1"/>
    <col min="23" max="23" width="7.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4" width="2.625" style="2" outlineLevel="1"/>
    <col min="35" max="62" width="2.625" style="2" customWidth="1" outlineLevel="1"/>
    <col min="63" max="94" width="2.625" style="2" customWidth="1"/>
    <col min="95" max="16384" width="2.625" style="2"/>
  </cols>
  <sheetData>
    <row r="1" spans="1:70" ht="14.25" customHeight="1">
      <c r="Z1" s="151" t="s">
        <v>201</v>
      </c>
      <c r="AA1" s="151"/>
    </row>
    <row r="2" spans="1:70" s="30" customFormat="1" ht="18" customHeight="1">
      <c r="A2" s="152" t="s">
        <v>202</v>
      </c>
      <c r="U2" s="195"/>
      <c r="W2" s="2"/>
      <c r="X2" s="2"/>
      <c r="Y2" s="2"/>
      <c r="Z2" s="2"/>
      <c r="AA2" s="2"/>
      <c r="AB2" s="2"/>
      <c r="AC2" s="2"/>
      <c r="AD2" s="2"/>
      <c r="AE2" s="2"/>
      <c r="AF2" s="2"/>
      <c r="AG2" s="2"/>
    </row>
    <row r="3" spans="1:70" ht="14.25" customHeight="1">
      <c r="B3" s="207"/>
      <c r="C3" s="207"/>
      <c r="D3" s="207"/>
      <c r="E3" s="207"/>
      <c r="F3" s="207"/>
      <c r="G3" s="207"/>
      <c r="H3" s="207"/>
      <c r="I3" s="207"/>
      <c r="J3" s="207"/>
      <c r="K3" s="207"/>
      <c r="L3" s="207"/>
      <c r="M3" s="207"/>
      <c r="N3" s="207"/>
      <c r="O3" s="207"/>
      <c r="P3" s="207"/>
      <c r="Q3" s="207"/>
      <c r="R3" s="207"/>
      <c r="S3" s="74"/>
      <c r="T3" s="20"/>
      <c r="U3" s="208"/>
      <c r="V3" s="74"/>
      <c r="AI3" s="207"/>
      <c r="AJ3" s="207"/>
      <c r="AK3" s="207"/>
      <c r="AL3" s="207"/>
      <c r="AM3" s="207"/>
      <c r="AN3" s="207"/>
      <c r="AO3" s="207"/>
      <c r="AP3" s="207"/>
      <c r="AQ3" s="207"/>
      <c r="AR3" s="207"/>
      <c r="AS3" s="207"/>
      <c r="AT3" s="207"/>
      <c r="AU3" s="207"/>
      <c r="AV3" s="207"/>
      <c r="AW3" s="207"/>
      <c r="AX3" s="207"/>
      <c r="AY3" s="74"/>
      <c r="AZ3" s="74"/>
      <c r="BA3" s="74"/>
      <c r="BB3" s="209"/>
      <c r="BC3" s="20"/>
      <c r="BD3" s="20"/>
      <c r="BE3" s="20"/>
      <c r="BF3" s="20"/>
      <c r="BG3" s="20"/>
      <c r="BH3" s="20"/>
      <c r="BI3" s="20"/>
      <c r="BJ3" s="20"/>
      <c r="BK3" s="74"/>
    </row>
    <row r="4" spans="1:70" s="30" customFormat="1" ht="18" customHeight="1">
      <c r="A4" s="108" t="s">
        <v>203</v>
      </c>
      <c r="B4" s="110"/>
      <c r="C4" s="110"/>
      <c r="D4" s="110"/>
      <c r="E4" s="110"/>
      <c r="F4" s="110"/>
      <c r="G4" s="110"/>
      <c r="H4" s="110"/>
      <c r="I4" s="110"/>
      <c r="J4" s="110"/>
      <c r="K4" s="110"/>
      <c r="L4" s="110"/>
      <c r="M4" s="110"/>
      <c r="N4" s="110"/>
      <c r="O4" s="110"/>
      <c r="P4" s="110"/>
      <c r="Q4" s="110"/>
      <c r="R4" s="110"/>
      <c r="S4" s="110"/>
      <c r="U4" s="195"/>
      <c r="W4" s="2"/>
      <c r="X4" s="2"/>
      <c r="Y4" s="2"/>
      <c r="Z4" s="108" t="s">
        <v>204</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95"/>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210"/>
      <c r="B6" s="58" t="s">
        <v>205</v>
      </c>
      <c r="E6" s="110"/>
      <c r="F6" s="110"/>
      <c r="G6" s="110"/>
      <c r="H6" s="110"/>
      <c r="I6" s="110"/>
      <c r="J6" s="110"/>
      <c r="K6" s="110"/>
      <c r="L6" s="110"/>
      <c r="M6" s="110"/>
      <c r="N6" s="110"/>
      <c r="O6" s="110"/>
      <c r="P6" s="110"/>
      <c r="Q6" s="110"/>
      <c r="R6" s="110"/>
      <c r="S6" s="110"/>
      <c r="T6" s="110"/>
      <c r="U6" s="195"/>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210"/>
      <c r="B7" s="51" t="s">
        <v>206</v>
      </c>
      <c r="E7" s="110"/>
      <c r="F7" s="110"/>
      <c r="G7" s="110"/>
      <c r="H7" s="110"/>
      <c r="I7" s="110"/>
      <c r="J7" s="110"/>
      <c r="K7" s="110"/>
      <c r="L7" s="110"/>
      <c r="M7" s="110"/>
      <c r="N7" s="110"/>
      <c r="O7" s="110"/>
      <c r="P7" s="110"/>
      <c r="Q7" s="110"/>
      <c r="R7" s="110"/>
      <c r="S7" s="110"/>
      <c r="T7" s="110"/>
      <c r="U7" s="195"/>
      <c r="W7" s="2"/>
      <c r="X7" s="2"/>
      <c r="Y7" s="2"/>
      <c r="Z7" s="2"/>
      <c r="AA7" s="2"/>
      <c r="AB7" s="2"/>
      <c r="AC7" s="2"/>
      <c r="AD7" s="2"/>
      <c r="AE7" s="2"/>
      <c r="AF7" s="2"/>
      <c r="AG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210"/>
      <c r="B8" s="51" t="s">
        <v>207</v>
      </c>
      <c r="E8" s="110"/>
      <c r="F8" s="110"/>
      <c r="G8" s="110"/>
      <c r="H8" s="110"/>
      <c r="I8" s="110"/>
      <c r="J8" s="110"/>
      <c r="K8" s="110"/>
      <c r="L8" s="110"/>
      <c r="M8" s="110"/>
      <c r="N8" s="110"/>
      <c r="O8" s="110"/>
      <c r="P8" s="110"/>
      <c r="Q8" s="110"/>
      <c r="R8" s="110"/>
      <c r="S8" s="110"/>
      <c r="T8" s="110"/>
      <c r="U8" s="195"/>
      <c r="W8" s="2"/>
      <c r="X8" s="2"/>
      <c r="Y8" s="2"/>
      <c r="Z8" s="2"/>
      <c r="AA8" s="2"/>
      <c r="AB8" s="2"/>
      <c r="AC8" s="2"/>
      <c r="AD8" s="2"/>
      <c r="AE8" s="2"/>
      <c r="AF8" s="2"/>
      <c r="AG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210"/>
      <c r="B9" s="51" t="s">
        <v>208</v>
      </c>
      <c r="E9" s="110"/>
      <c r="F9" s="110"/>
      <c r="G9" s="110"/>
      <c r="H9" s="110"/>
      <c r="I9" s="110"/>
      <c r="J9" s="110"/>
      <c r="K9" s="110"/>
      <c r="L9" s="110"/>
      <c r="M9" s="110"/>
      <c r="N9" s="110"/>
      <c r="O9" s="110"/>
      <c r="P9" s="110"/>
      <c r="Q9" s="110"/>
      <c r="R9" s="110"/>
      <c r="S9" s="110"/>
      <c r="T9" s="110"/>
      <c r="U9" s="195"/>
      <c r="W9" s="2"/>
      <c r="X9" s="2"/>
      <c r="Y9" s="2"/>
      <c r="Z9" s="178"/>
      <c r="AA9" s="178"/>
      <c r="AB9" s="178"/>
      <c r="AC9" s="178"/>
      <c r="AD9" s="178"/>
      <c r="AE9" s="178"/>
      <c r="AF9" s="178"/>
      <c r="AG9" s="178"/>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210"/>
      <c r="B10" s="51" t="s">
        <v>209</v>
      </c>
      <c r="E10" s="110"/>
      <c r="F10" s="110"/>
      <c r="G10" s="110"/>
      <c r="H10" s="110"/>
      <c r="I10" s="110"/>
      <c r="J10" s="110"/>
      <c r="K10" s="110"/>
      <c r="L10" s="110"/>
      <c r="M10" s="110"/>
      <c r="N10" s="110"/>
      <c r="O10" s="110"/>
      <c r="P10" s="110"/>
      <c r="Q10" s="110"/>
      <c r="R10" s="110"/>
      <c r="S10" s="110"/>
      <c r="T10" s="110"/>
      <c r="U10" s="195"/>
      <c r="W10" s="2"/>
      <c r="X10" s="2"/>
      <c r="Y10" s="2"/>
      <c r="Z10" s="178"/>
      <c r="AA10" s="178"/>
      <c r="AB10" s="178"/>
      <c r="AC10" s="178"/>
      <c r="AD10" s="178"/>
      <c r="AE10" s="178"/>
      <c r="AF10" s="178"/>
      <c r="AG10" s="178"/>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210"/>
      <c r="B11" s="51"/>
      <c r="E11" s="110"/>
      <c r="F11" s="110"/>
      <c r="G11" s="110"/>
      <c r="H11" s="110"/>
      <c r="I11" s="110"/>
      <c r="J11" s="110"/>
      <c r="K11" s="110"/>
      <c r="L11" s="110"/>
      <c r="M11" s="110"/>
      <c r="N11" s="110"/>
      <c r="O11" s="110"/>
      <c r="P11" s="110"/>
      <c r="Q11" s="110"/>
      <c r="R11" s="110"/>
      <c r="S11" s="110"/>
      <c r="T11" s="110"/>
      <c r="U11" s="195"/>
      <c r="W11" s="2"/>
      <c r="X11" s="2"/>
      <c r="Y11" s="2"/>
      <c r="Z11" s="178"/>
      <c r="AA11" s="178"/>
      <c r="AB11" s="178"/>
      <c r="AC11" s="178"/>
      <c r="AD11" s="178"/>
      <c r="AE11" s="178"/>
      <c r="AF11" s="178"/>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140" t="s">
        <v>55</v>
      </c>
      <c r="C12" s="1141"/>
      <c r="D12" s="1141"/>
      <c r="E12" s="1141"/>
      <c r="F12" s="1141"/>
      <c r="G12" s="1141"/>
      <c r="H12" s="1212" t="s">
        <v>210</v>
      </c>
      <c r="I12" s="1213"/>
      <c r="J12" s="1213"/>
      <c r="K12" s="1213"/>
      <c r="L12" s="1213"/>
      <c r="M12" s="1213"/>
      <c r="N12" s="1213"/>
      <c r="O12" s="1213"/>
      <c r="P12" s="1213"/>
      <c r="Q12" s="1327"/>
      <c r="R12" s="1328"/>
      <c r="S12" s="1152" t="s">
        <v>56</v>
      </c>
      <c r="T12" s="1332" t="s">
        <v>211</v>
      </c>
      <c r="U12" s="211"/>
      <c r="V12" s="212"/>
      <c r="Z12" s="213" t="s">
        <v>212</v>
      </c>
      <c r="AA12" s="178"/>
      <c r="AB12" s="178"/>
      <c r="AC12" s="178"/>
      <c r="AD12" s="178"/>
      <c r="AE12" s="178"/>
      <c r="AF12" s="178"/>
      <c r="BK12" s="147"/>
      <c r="BM12" s="214"/>
    </row>
    <row r="13" spans="1:70" ht="17.100000000000001" customHeight="1" thickBot="1">
      <c r="B13" s="1143"/>
      <c r="C13" s="1144"/>
      <c r="D13" s="1144"/>
      <c r="E13" s="1144"/>
      <c r="F13" s="1144"/>
      <c r="G13" s="1144"/>
      <c r="H13" s="1218"/>
      <c r="I13" s="1219"/>
      <c r="J13" s="1219"/>
      <c r="K13" s="1219"/>
      <c r="L13" s="1219"/>
      <c r="M13" s="1219"/>
      <c r="N13" s="1219"/>
      <c r="O13" s="1219"/>
      <c r="P13" s="1219"/>
      <c r="Q13" s="1329"/>
      <c r="R13" s="1330"/>
      <c r="S13" s="1331"/>
      <c r="T13" s="1333"/>
      <c r="U13" s="211"/>
      <c r="V13" s="212"/>
      <c r="Z13" s="178"/>
      <c r="AA13" s="178"/>
      <c r="AB13" s="178"/>
      <c r="AC13" s="178"/>
      <c r="AD13" s="178"/>
      <c r="AE13" s="178"/>
      <c r="AF13" s="178"/>
      <c r="BM13" s="214"/>
      <c r="BN13" s="20"/>
      <c r="BO13" s="20"/>
      <c r="BP13" s="20"/>
      <c r="BQ13" s="20"/>
      <c r="BR13" s="20"/>
    </row>
    <row r="14" spans="1:70" ht="30.75" customHeight="1" thickTop="1" thickBot="1">
      <c r="B14" s="215"/>
      <c r="C14" s="216"/>
      <c r="D14" s="217"/>
      <c r="E14" s="216"/>
      <c r="F14" s="1334" t="s">
        <v>213</v>
      </c>
      <c r="G14" s="1335"/>
      <c r="H14" s="1336" t="s">
        <v>214</v>
      </c>
      <c r="I14" s="1337"/>
      <c r="J14" s="1337"/>
      <c r="K14" s="1337"/>
      <c r="L14" s="1337"/>
      <c r="M14" s="1337"/>
      <c r="N14" s="1337"/>
      <c r="O14" s="1337"/>
      <c r="P14" s="1337"/>
      <c r="Q14" s="1338"/>
      <c r="R14" s="1338"/>
      <c r="S14" s="218"/>
      <c r="T14" s="219"/>
      <c r="U14" s="220"/>
      <c r="V14" s="214"/>
      <c r="Z14" s="1342" t="s">
        <v>55</v>
      </c>
      <c r="AA14" s="1342"/>
      <c r="AB14" s="1342"/>
      <c r="AC14" s="221" t="s">
        <v>215</v>
      </c>
      <c r="AD14" s="222" t="s">
        <v>216</v>
      </c>
      <c r="AE14" s="221" t="s">
        <v>217</v>
      </c>
      <c r="AF14" s="178"/>
      <c r="BM14" s="214"/>
      <c r="BN14" s="214"/>
      <c r="BO14" s="214"/>
      <c r="BP14" s="214"/>
      <c r="BQ14" s="214"/>
      <c r="BR14" s="214"/>
    </row>
    <row r="15" spans="1:70" ht="30.75" customHeight="1" thickTop="1">
      <c r="B15" s="223"/>
      <c r="C15" s="224"/>
      <c r="D15" s="225"/>
      <c r="E15" s="224"/>
      <c r="F15" s="226"/>
      <c r="G15" s="227"/>
      <c r="H15" s="1339"/>
      <c r="I15" s="1340"/>
      <c r="J15" s="1340"/>
      <c r="K15" s="1340"/>
      <c r="L15" s="1340"/>
      <c r="M15" s="1340"/>
      <c r="N15" s="1340"/>
      <c r="O15" s="1340"/>
      <c r="P15" s="1340"/>
      <c r="Q15" s="1341"/>
      <c r="R15" s="1341"/>
      <c r="S15" s="228"/>
      <c r="T15" s="229"/>
      <c r="U15" s="230"/>
      <c r="V15" s="231"/>
      <c r="Z15" s="1343" t="s">
        <v>218</v>
      </c>
      <c r="AA15" s="1346" t="s">
        <v>219</v>
      </c>
      <c r="AB15" s="232" t="s">
        <v>220</v>
      </c>
      <c r="AC15" s="233">
        <f>IF(OR(S14="",S14=0),SUM(S15:S29),S14)</f>
        <v>0</v>
      </c>
      <c r="AD15" s="234">
        <f>IF(AND(AC15&gt;0,AE15&gt;0),ROUND(AE15/AC15*リスト!$C$23,2),)</f>
        <v>0</v>
      </c>
      <c r="AE15" s="233">
        <f>IF(OR(T14="",T14=0),SUM(T15:T29),T14)</f>
        <v>0</v>
      </c>
      <c r="AF15" s="178"/>
      <c r="BM15" s="214"/>
      <c r="BN15" s="214"/>
      <c r="BO15" s="214"/>
      <c r="BP15" s="214"/>
      <c r="BQ15" s="214"/>
      <c r="BR15" s="214"/>
    </row>
    <row r="16" spans="1:70" ht="30.75" customHeight="1">
      <c r="B16" s="223"/>
      <c r="C16" s="224"/>
      <c r="D16" s="225"/>
      <c r="E16" s="224"/>
      <c r="F16" s="226"/>
      <c r="G16" s="227"/>
      <c r="H16" s="1339"/>
      <c r="I16" s="1340"/>
      <c r="J16" s="1340"/>
      <c r="K16" s="1340"/>
      <c r="L16" s="1340"/>
      <c r="M16" s="1340"/>
      <c r="N16" s="1340"/>
      <c r="O16" s="1340"/>
      <c r="P16" s="1340"/>
      <c r="Q16" s="1341"/>
      <c r="R16" s="1341"/>
      <c r="S16" s="235"/>
      <c r="T16" s="235"/>
      <c r="U16" s="230"/>
      <c r="V16" s="231"/>
      <c r="Z16" s="1344"/>
      <c r="AA16" s="1346"/>
      <c r="AB16" s="232" t="s">
        <v>221</v>
      </c>
      <c r="AC16" s="233">
        <f>IF(OR(S30="",S30=0),SUM(S31:S45),S30)</f>
        <v>0</v>
      </c>
      <c r="AD16" s="234">
        <f>IF(AND(AC16&gt;0,AE16&gt;0),ROUND(AE16/AC16*リスト!$C$23,2),)</f>
        <v>0</v>
      </c>
      <c r="AE16" s="233">
        <f>IF(OR(T30="",T30=0),SUM(T31:T45),T30)</f>
        <v>0</v>
      </c>
      <c r="AF16" s="178"/>
      <c r="BK16" s="236"/>
      <c r="BN16" s="214"/>
      <c r="BO16" s="214"/>
      <c r="BP16" s="214"/>
      <c r="BQ16" s="214"/>
      <c r="BR16" s="214"/>
    </row>
    <row r="17" spans="2:71" ht="30.75" customHeight="1">
      <c r="B17" s="223"/>
      <c r="C17" s="224"/>
      <c r="D17" s="225"/>
      <c r="E17" s="224"/>
      <c r="F17" s="226"/>
      <c r="G17" s="227"/>
      <c r="H17" s="1339"/>
      <c r="I17" s="1340"/>
      <c r="J17" s="1340"/>
      <c r="K17" s="1340"/>
      <c r="L17" s="1340"/>
      <c r="M17" s="1340"/>
      <c r="N17" s="1340"/>
      <c r="O17" s="1340"/>
      <c r="P17" s="1340"/>
      <c r="Q17" s="1341"/>
      <c r="R17" s="1341"/>
      <c r="S17" s="235"/>
      <c r="T17" s="235"/>
      <c r="U17" s="230"/>
      <c r="V17" s="231"/>
      <c r="Z17" s="1344"/>
      <c r="AA17" s="1346"/>
      <c r="AB17" s="232" t="s">
        <v>222</v>
      </c>
      <c r="AC17" s="233">
        <f>IF(OR(S46="",S46=0),SUM(S47:S61),S46)</f>
        <v>0</v>
      </c>
      <c r="AD17" s="234">
        <f>IF(AND(AC17&gt;0,AE17&gt;0),ROUND(AE17/AC17*リスト!$C$23,2),)</f>
        <v>0</v>
      </c>
      <c r="AE17" s="233">
        <f>IF(OR(T46="",T46=0),SUM(T47:T61),T46)</f>
        <v>0</v>
      </c>
      <c r="AF17" s="178"/>
      <c r="BK17" s="237"/>
      <c r="BL17" s="30"/>
      <c r="BM17" s="30"/>
      <c r="BN17" s="214"/>
      <c r="BO17" s="214"/>
      <c r="BP17" s="214"/>
      <c r="BQ17" s="214"/>
      <c r="BR17" s="214"/>
    </row>
    <row r="18" spans="2:71" ht="30.75" customHeight="1" collapsed="1" thickBot="1">
      <c r="B18" s="223"/>
      <c r="C18" s="224"/>
      <c r="D18" s="225"/>
      <c r="E18" s="224"/>
      <c r="F18" s="226"/>
      <c r="G18" s="227"/>
      <c r="H18" s="1339"/>
      <c r="I18" s="1340"/>
      <c r="J18" s="1340"/>
      <c r="K18" s="1340"/>
      <c r="L18" s="1340"/>
      <c r="M18" s="1340"/>
      <c r="N18" s="1340"/>
      <c r="O18" s="1340"/>
      <c r="P18" s="1340"/>
      <c r="Q18" s="1341"/>
      <c r="R18" s="1341"/>
      <c r="S18" s="235"/>
      <c r="T18" s="235"/>
      <c r="U18" s="230"/>
      <c r="V18" s="231"/>
      <c r="Z18" s="1344"/>
      <c r="AA18" s="1342" t="s">
        <v>223</v>
      </c>
      <c r="AB18" s="1342"/>
      <c r="AC18" s="233">
        <f>IF(OR(S62="",S62=0),SUM(S63:S77),S62)</f>
        <v>0</v>
      </c>
      <c r="AD18" s="234">
        <f>IF(AND(AC18&gt;0,AE18&gt;0),ROUND(AE18/AC18*リスト!$C$23,2),)</f>
        <v>0</v>
      </c>
      <c r="AE18" s="233">
        <f>IF(OR(T62="",T62=0),SUM(T63:T77),T62)</f>
        <v>0</v>
      </c>
      <c r="AF18" s="178"/>
      <c r="BK18" s="236"/>
      <c r="BN18" s="214"/>
      <c r="BO18" s="214"/>
      <c r="BP18" s="214"/>
      <c r="BQ18" s="214"/>
      <c r="BR18" s="214"/>
    </row>
    <row r="19" spans="2:71" ht="30.75" hidden="1" customHeight="1" outlineLevel="1">
      <c r="B19" s="223"/>
      <c r="C19" s="224"/>
      <c r="D19" s="225"/>
      <c r="E19" s="224"/>
      <c r="F19" s="226"/>
      <c r="G19" s="227"/>
      <c r="H19" s="1339"/>
      <c r="I19" s="1340"/>
      <c r="J19" s="1340"/>
      <c r="K19" s="1340"/>
      <c r="L19" s="1340"/>
      <c r="M19" s="1340"/>
      <c r="N19" s="1340"/>
      <c r="O19" s="1340"/>
      <c r="P19" s="1340"/>
      <c r="Q19" s="1341"/>
      <c r="R19" s="1341"/>
      <c r="S19" s="235"/>
      <c r="T19" s="235"/>
      <c r="U19" s="230"/>
      <c r="V19" s="231"/>
      <c r="Z19" s="1344"/>
      <c r="AA19" s="238"/>
      <c r="AB19" s="239"/>
      <c r="AC19" s="240"/>
      <c r="AD19" s="241"/>
      <c r="AE19" s="242"/>
      <c r="AF19" s="178"/>
      <c r="BK19" s="237"/>
      <c r="BL19" s="30"/>
      <c r="BM19" s="30"/>
      <c r="BN19" s="214"/>
      <c r="BO19" s="214"/>
      <c r="BP19" s="214"/>
      <c r="BQ19" s="214"/>
      <c r="BR19" s="214"/>
    </row>
    <row r="20" spans="2:71" ht="30.75" hidden="1" customHeight="1" outlineLevel="1">
      <c r="B20" s="223"/>
      <c r="C20" s="224"/>
      <c r="D20" s="225"/>
      <c r="E20" s="224"/>
      <c r="F20" s="226"/>
      <c r="G20" s="227"/>
      <c r="H20" s="1339"/>
      <c r="I20" s="1340"/>
      <c r="J20" s="1340"/>
      <c r="K20" s="1340"/>
      <c r="L20" s="1340"/>
      <c r="M20" s="1340"/>
      <c r="N20" s="1340"/>
      <c r="O20" s="1340"/>
      <c r="P20" s="1340"/>
      <c r="Q20" s="1341"/>
      <c r="R20" s="1341"/>
      <c r="S20" s="235"/>
      <c r="T20" s="235"/>
      <c r="U20" s="230"/>
      <c r="V20" s="231"/>
      <c r="Z20" s="1344"/>
      <c r="AA20" s="243"/>
      <c r="AB20" s="244"/>
      <c r="AC20" s="245"/>
      <c r="AD20" s="246"/>
      <c r="AE20" s="247"/>
      <c r="AF20" s="178"/>
      <c r="BK20" s="236"/>
      <c r="BN20" s="214"/>
      <c r="BO20" s="214"/>
      <c r="BP20" s="214"/>
      <c r="BQ20" s="214"/>
      <c r="BR20" s="214"/>
    </row>
    <row r="21" spans="2:71" ht="30.75" hidden="1" customHeight="1" outlineLevel="1">
      <c r="B21" s="223"/>
      <c r="C21" s="224"/>
      <c r="D21" s="225"/>
      <c r="E21" s="224"/>
      <c r="F21" s="226"/>
      <c r="G21" s="227"/>
      <c r="H21" s="1339"/>
      <c r="I21" s="1340"/>
      <c r="J21" s="1340"/>
      <c r="K21" s="1340"/>
      <c r="L21" s="1340"/>
      <c r="M21" s="1340"/>
      <c r="N21" s="1340"/>
      <c r="O21" s="1340"/>
      <c r="P21" s="1340"/>
      <c r="Q21" s="1341"/>
      <c r="R21" s="1341"/>
      <c r="S21" s="235"/>
      <c r="T21" s="235"/>
      <c r="U21" s="230"/>
      <c r="V21" s="231"/>
      <c r="Z21" s="1344"/>
      <c r="AA21" s="243"/>
      <c r="AB21" s="244"/>
      <c r="AC21" s="245"/>
      <c r="AD21" s="246"/>
      <c r="AE21" s="247"/>
      <c r="AF21" s="178"/>
      <c r="BK21" s="236"/>
      <c r="BN21" s="214"/>
      <c r="BO21" s="214"/>
      <c r="BP21" s="214"/>
      <c r="BQ21" s="214"/>
      <c r="BR21" s="214"/>
    </row>
    <row r="22" spans="2:71" ht="30.75" hidden="1" customHeight="1" outlineLevel="1">
      <c r="B22" s="223"/>
      <c r="C22" s="224"/>
      <c r="D22" s="225"/>
      <c r="E22" s="224"/>
      <c r="F22" s="226"/>
      <c r="G22" s="227"/>
      <c r="H22" s="1339"/>
      <c r="I22" s="1340"/>
      <c r="J22" s="1340"/>
      <c r="K22" s="1340"/>
      <c r="L22" s="1340"/>
      <c r="M22" s="1340"/>
      <c r="N22" s="1340"/>
      <c r="O22" s="1340"/>
      <c r="P22" s="1340"/>
      <c r="Q22" s="1341"/>
      <c r="R22" s="1341"/>
      <c r="S22" s="235"/>
      <c r="T22" s="235"/>
      <c r="U22" s="230"/>
      <c r="V22" s="231"/>
      <c r="Z22" s="1344"/>
      <c r="AA22" s="243"/>
      <c r="AB22" s="244"/>
      <c r="AC22" s="245"/>
      <c r="AD22" s="246"/>
      <c r="AE22" s="247"/>
      <c r="BK22" s="237"/>
      <c r="BL22" s="30"/>
      <c r="BM22" s="30"/>
      <c r="BN22" s="214"/>
      <c r="BO22" s="214"/>
      <c r="BP22" s="214"/>
      <c r="BQ22" s="214"/>
      <c r="BR22" s="214"/>
    </row>
    <row r="23" spans="2:71" ht="30.75" hidden="1" customHeight="1" outlineLevel="1">
      <c r="B23" s="223"/>
      <c r="C23" s="224"/>
      <c r="D23" s="225"/>
      <c r="E23" s="224"/>
      <c r="F23" s="226"/>
      <c r="G23" s="227"/>
      <c r="H23" s="1339"/>
      <c r="I23" s="1340"/>
      <c r="J23" s="1340"/>
      <c r="K23" s="1340"/>
      <c r="L23" s="1340"/>
      <c r="M23" s="1340"/>
      <c r="N23" s="1340"/>
      <c r="O23" s="1340"/>
      <c r="P23" s="1340"/>
      <c r="Q23" s="1341"/>
      <c r="R23" s="1341"/>
      <c r="S23" s="235"/>
      <c r="T23" s="235"/>
      <c r="U23" s="230"/>
      <c r="V23" s="231"/>
      <c r="Z23" s="1344"/>
      <c r="AA23" s="243"/>
      <c r="AB23" s="244"/>
      <c r="AC23" s="245"/>
      <c r="AD23" s="246"/>
      <c r="AE23" s="247"/>
      <c r="BK23" s="236"/>
      <c r="BN23" s="214"/>
      <c r="BO23" s="214"/>
      <c r="BP23" s="214"/>
      <c r="BQ23" s="214"/>
      <c r="BR23" s="214"/>
    </row>
    <row r="24" spans="2:71" ht="30.75" hidden="1" customHeight="1" outlineLevel="1">
      <c r="B24" s="223"/>
      <c r="C24" s="224"/>
      <c r="D24" s="225"/>
      <c r="E24" s="224"/>
      <c r="F24" s="226"/>
      <c r="G24" s="227"/>
      <c r="H24" s="1339"/>
      <c r="I24" s="1340"/>
      <c r="J24" s="1340"/>
      <c r="K24" s="1340"/>
      <c r="L24" s="1340"/>
      <c r="M24" s="1340"/>
      <c r="N24" s="1340"/>
      <c r="O24" s="1340"/>
      <c r="P24" s="1340"/>
      <c r="Q24" s="1341"/>
      <c r="R24" s="1341"/>
      <c r="S24" s="235"/>
      <c r="T24" s="235"/>
      <c r="U24" s="230"/>
      <c r="V24" s="231"/>
      <c r="Z24" s="1344"/>
      <c r="AA24" s="243"/>
      <c r="AB24" s="244"/>
      <c r="AC24" s="245"/>
      <c r="AD24" s="246"/>
      <c r="AE24" s="247"/>
      <c r="BK24" s="237"/>
      <c r="BL24" s="30"/>
      <c r="BM24" s="30"/>
      <c r="BN24" s="214"/>
      <c r="BO24" s="214"/>
      <c r="BP24" s="214"/>
      <c r="BQ24" s="214"/>
      <c r="BR24" s="214"/>
    </row>
    <row r="25" spans="2:71" ht="30.75" hidden="1" customHeight="1" outlineLevel="1">
      <c r="B25" s="223"/>
      <c r="C25" s="224"/>
      <c r="D25" s="225"/>
      <c r="E25" s="224"/>
      <c r="F25" s="226"/>
      <c r="G25" s="227"/>
      <c r="H25" s="1339"/>
      <c r="I25" s="1340"/>
      <c r="J25" s="1340"/>
      <c r="K25" s="1340"/>
      <c r="L25" s="1340"/>
      <c r="M25" s="1340"/>
      <c r="N25" s="1340"/>
      <c r="O25" s="1340"/>
      <c r="P25" s="1340"/>
      <c r="Q25" s="1341"/>
      <c r="R25" s="1341"/>
      <c r="S25" s="235"/>
      <c r="T25" s="235"/>
      <c r="U25" s="230"/>
      <c r="V25" s="231"/>
      <c r="Z25" s="1344"/>
      <c r="AA25" s="243"/>
      <c r="AB25" s="244"/>
      <c r="AC25" s="245"/>
      <c r="AD25" s="246"/>
      <c r="AE25" s="247"/>
      <c r="BK25" s="236"/>
      <c r="BN25" s="214"/>
      <c r="BO25" s="214"/>
      <c r="BP25" s="214"/>
      <c r="BQ25" s="214"/>
      <c r="BR25" s="214"/>
    </row>
    <row r="26" spans="2:71" ht="30.75" hidden="1" customHeight="1" outlineLevel="1">
      <c r="B26" s="223"/>
      <c r="C26" s="224"/>
      <c r="D26" s="225"/>
      <c r="E26" s="224"/>
      <c r="F26" s="226"/>
      <c r="G26" s="227"/>
      <c r="H26" s="1339"/>
      <c r="I26" s="1340"/>
      <c r="J26" s="1340"/>
      <c r="K26" s="1340"/>
      <c r="L26" s="1340"/>
      <c r="M26" s="1340"/>
      <c r="N26" s="1340"/>
      <c r="O26" s="1340"/>
      <c r="P26" s="1340"/>
      <c r="Q26" s="1341"/>
      <c r="R26" s="1341"/>
      <c r="S26" s="235"/>
      <c r="T26" s="235"/>
      <c r="U26" s="230"/>
      <c r="V26" s="231"/>
      <c r="Z26" s="1344"/>
      <c r="AA26" s="243"/>
      <c r="AB26" s="244"/>
      <c r="AC26" s="245"/>
      <c r="AD26" s="246"/>
      <c r="AE26" s="247"/>
      <c r="BK26" s="237"/>
      <c r="BL26" s="30"/>
      <c r="BM26" s="30"/>
      <c r="BN26" s="214"/>
      <c r="BO26" s="214"/>
      <c r="BP26" s="214"/>
      <c r="BQ26" s="214"/>
      <c r="BR26" s="214"/>
    </row>
    <row r="27" spans="2:71" ht="30.75" hidden="1" customHeight="1" outlineLevel="1">
      <c r="B27" s="1347" t="s">
        <v>224</v>
      </c>
      <c r="C27" s="1348"/>
      <c r="D27" s="1349" t="s">
        <v>219</v>
      </c>
      <c r="E27" s="1348"/>
      <c r="F27" s="226"/>
      <c r="G27" s="227"/>
      <c r="H27" s="1339"/>
      <c r="I27" s="1340"/>
      <c r="J27" s="1340"/>
      <c r="K27" s="1340"/>
      <c r="L27" s="1340"/>
      <c r="M27" s="1340"/>
      <c r="N27" s="1340"/>
      <c r="O27" s="1340"/>
      <c r="P27" s="1340"/>
      <c r="Q27" s="1341"/>
      <c r="R27" s="1341"/>
      <c r="S27" s="235"/>
      <c r="T27" s="235"/>
      <c r="U27" s="230"/>
      <c r="V27" s="231"/>
      <c r="Z27" s="1344"/>
      <c r="AA27" s="243"/>
      <c r="AB27" s="244"/>
      <c r="AC27" s="245"/>
      <c r="AD27" s="246"/>
      <c r="AE27" s="247"/>
      <c r="BK27" s="236"/>
      <c r="BN27" s="214"/>
      <c r="BO27" s="214"/>
      <c r="BP27" s="214"/>
      <c r="BQ27" s="214"/>
      <c r="BR27" s="214"/>
    </row>
    <row r="28" spans="2:71" ht="30.75" hidden="1" customHeight="1" outlineLevel="1">
      <c r="B28" s="1347"/>
      <c r="C28" s="1348"/>
      <c r="D28" s="1349"/>
      <c r="E28" s="1348"/>
      <c r="F28" s="226"/>
      <c r="G28" s="227"/>
      <c r="H28" s="1339"/>
      <c r="I28" s="1340"/>
      <c r="J28" s="1340"/>
      <c r="K28" s="1340"/>
      <c r="L28" s="1340"/>
      <c r="M28" s="1340"/>
      <c r="N28" s="1340"/>
      <c r="O28" s="1340"/>
      <c r="P28" s="1340"/>
      <c r="Q28" s="1341"/>
      <c r="R28" s="1341"/>
      <c r="S28" s="235"/>
      <c r="T28" s="235"/>
      <c r="U28" s="230"/>
      <c r="V28" s="231"/>
      <c r="Z28" s="1344"/>
      <c r="AA28" s="243"/>
      <c r="AB28" s="244"/>
      <c r="AC28" s="245"/>
      <c r="AD28" s="246"/>
      <c r="AE28" s="247"/>
      <c r="BK28" s="237"/>
      <c r="BL28" s="30"/>
      <c r="BM28" s="30"/>
      <c r="BN28" s="214"/>
      <c r="BO28" s="214"/>
      <c r="BP28" s="214"/>
      <c r="BQ28" s="214"/>
      <c r="BR28" s="214"/>
    </row>
    <row r="29" spans="2:71" ht="30.75" hidden="1" customHeight="1" outlineLevel="1" thickBot="1">
      <c r="B29" s="1347"/>
      <c r="C29" s="1348"/>
      <c r="D29" s="1349"/>
      <c r="E29" s="1348"/>
      <c r="F29" s="226"/>
      <c r="G29" s="227"/>
      <c r="H29" s="1339"/>
      <c r="I29" s="1340"/>
      <c r="J29" s="1340"/>
      <c r="K29" s="1340"/>
      <c r="L29" s="1340"/>
      <c r="M29" s="1340"/>
      <c r="N29" s="1340"/>
      <c r="O29" s="1340"/>
      <c r="P29" s="1340"/>
      <c r="Q29" s="1341"/>
      <c r="R29" s="1341"/>
      <c r="S29" s="235"/>
      <c r="T29" s="235"/>
      <c r="U29" s="230"/>
      <c r="V29" s="231"/>
      <c r="Z29" s="1344"/>
      <c r="AA29" s="248"/>
      <c r="AB29" s="249"/>
      <c r="AC29" s="250"/>
      <c r="AD29" s="251"/>
      <c r="AE29" s="252"/>
      <c r="BK29" s="147"/>
      <c r="BM29" s="30"/>
      <c r="BN29" s="214"/>
      <c r="BO29" s="214"/>
      <c r="BP29" s="214"/>
      <c r="BQ29" s="214"/>
      <c r="BR29" s="214"/>
    </row>
    <row r="30" spans="2:71" ht="30.75" customHeight="1" thickTop="1" thickBot="1">
      <c r="B30" s="1347"/>
      <c r="C30" s="1348"/>
      <c r="D30" s="1349"/>
      <c r="E30" s="1348"/>
      <c r="F30" s="1350" t="s">
        <v>225</v>
      </c>
      <c r="G30" s="1351"/>
      <c r="H30" s="1339" t="s">
        <v>226</v>
      </c>
      <c r="I30" s="1340"/>
      <c r="J30" s="1340"/>
      <c r="K30" s="1340"/>
      <c r="L30" s="1340"/>
      <c r="M30" s="1340"/>
      <c r="N30" s="1340"/>
      <c r="O30" s="1340"/>
      <c r="P30" s="1340"/>
      <c r="Q30" s="1341"/>
      <c r="R30" s="1341"/>
      <c r="S30" s="218"/>
      <c r="T30" s="253"/>
      <c r="U30" s="220"/>
      <c r="V30" s="231"/>
      <c r="Z30" s="1345"/>
      <c r="AA30" s="1342" t="s">
        <v>227</v>
      </c>
      <c r="AB30" s="1342"/>
      <c r="AC30" s="233">
        <f>S78</f>
        <v>0</v>
      </c>
      <c r="AD30" s="234">
        <f>IF(AND(AC30&gt;0,AE30&gt;0),ROUND(AE30/AC30*リスト!$C$23,2),)</f>
        <v>0</v>
      </c>
      <c r="AE30" s="233">
        <f>T78</f>
        <v>0</v>
      </c>
      <c r="AF30" s="178"/>
      <c r="BK30" s="254"/>
      <c r="BM30" s="20"/>
      <c r="BN30" s="214"/>
      <c r="BO30" s="214"/>
      <c r="BP30" s="214"/>
      <c r="BQ30" s="214"/>
      <c r="BR30" s="214"/>
    </row>
    <row r="31" spans="2:71" ht="30.75" customHeight="1" thickTop="1">
      <c r="B31" s="1347"/>
      <c r="C31" s="1348"/>
      <c r="D31" s="1349"/>
      <c r="E31" s="1348"/>
      <c r="F31" s="255"/>
      <c r="G31" s="227"/>
      <c r="H31" s="1339"/>
      <c r="I31" s="1340"/>
      <c r="J31" s="1340"/>
      <c r="K31" s="1340"/>
      <c r="L31" s="1340"/>
      <c r="M31" s="1340"/>
      <c r="N31" s="1340"/>
      <c r="O31" s="1340"/>
      <c r="P31" s="1340"/>
      <c r="Q31" s="1341"/>
      <c r="R31" s="1341"/>
      <c r="S31" s="256"/>
      <c r="T31" s="256"/>
      <c r="U31" s="230"/>
      <c r="V31" s="231"/>
      <c r="Z31" s="1342" t="s">
        <v>228</v>
      </c>
      <c r="AA31" s="1342"/>
      <c r="AB31" s="1342"/>
      <c r="AC31" s="233">
        <f>SUM(AC15:AC30)</f>
        <v>0</v>
      </c>
      <c r="AD31" s="234">
        <f>IF(AND(AC31&gt;0,AE31&gt;0),ROUND(AE31/AC31*リスト!$C$23,2),)</f>
        <v>0</v>
      </c>
      <c r="AE31" s="233">
        <f>SUM(AE15:AE30)</f>
        <v>0</v>
      </c>
      <c r="BK31" s="257"/>
      <c r="BM31" s="214"/>
      <c r="BN31" s="214"/>
      <c r="BO31" s="214"/>
      <c r="BP31" s="214"/>
      <c r="BQ31" s="214"/>
      <c r="BR31" s="214"/>
    </row>
    <row r="32" spans="2:71" ht="30.75" customHeight="1">
      <c r="B32" s="1347"/>
      <c r="C32" s="1348"/>
      <c r="D32" s="1349"/>
      <c r="E32" s="1348"/>
      <c r="G32" s="227"/>
      <c r="H32" s="1339"/>
      <c r="I32" s="1340"/>
      <c r="J32" s="1340"/>
      <c r="K32" s="1340"/>
      <c r="L32" s="1340"/>
      <c r="M32" s="1340"/>
      <c r="N32" s="1340"/>
      <c r="O32" s="1340"/>
      <c r="P32" s="1340"/>
      <c r="Q32" s="1341"/>
      <c r="R32" s="1341"/>
      <c r="S32" s="258"/>
      <c r="T32" s="258"/>
      <c r="U32" s="230"/>
      <c r="V32" s="214"/>
      <c r="AI32" s="259"/>
      <c r="AJ32" s="259"/>
      <c r="AK32" s="259"/>
      <c r="AL32" s="146"/>
      <c r="AM32" s="260"/>
      <c r="AN32" s="260"/>
      <c r="AO32" s="260"/>
      <c r="AP32" s="260"/>
      <c r="AQ32" s="260"/>
      <c r="AR32" s="260"/>
      <c r="AS32" s="260"/>
      <c r="AT32" s="260"/>
      <c r="AU32" s="260"/>
      <c r="AV32" s="260"/>
      <c r="AW32" s="261"/>
      <c r="AX32" s="262"/>
      <c r="AY32" s="262"/>
      <c r="AZ32" s="261"/>
      <c r="BA32" s="261"/>
      <c r="BB32" s="262"/>
      <c r="BC32" s="257"/>
      <c r="BD32" s="257"/>
      <c r="BE32" s="257"/>
      <c r="BF32" s="262"/>
      <c r="BG32" s="262"/>
      <c r="BH32" s="20"/>
      <c r="BI32" s="20"/>
      <c r="BJ32" s="20"/>
      <c r="BN32" s="214"/>
      <c r="BO32" s="214"/>
      <c r="BP32" s="214"/>
      <c r="BQ32" s="214"/>
      <c r="BR32" s="214"/>
      <c r="BS32" s="214"/>
    </row>
    <row r="33" spans="2:71" ht="30.75" customHeight="1">
      <c r="B33" s="1347"/>
      <c r="C33" s="1348"/>
      <c r="D33" s="1349"/>
      <c r="E33" s="1348"/>
      <c r="G33" s="227"/>
      <c r="H33" s="1339"/>
      <c r="I33" s="1340"/>
      <c r="J33" s="1340"/>
      <c r="K33" s="1340"/>
      <c r="L33" s="1340"/>
      <c r="M33" s="1340"/>
      <c r="N33" s="1340"/>
      <c r="O33" s="1340"/>
      <c r="P33" s="1340"/>
      <c r="Q33" s="1341"/>
      <c r="R33" s="1341"/>
      <c r="S33" s="258"/>
      <c r="T33" s="258"/>
      <c r="U33" s="230"/>
      <c r="V33" s="214"/>
      <c r="AI33" s="259"/>
      <c r="AJ33" s="259"/>
      <c r="AK33" s="259"/>
      <c r="AL33" s="146"/>
      <c r="AM33" s="260"/>
      <c r="AN33" s="260"/>
      <c r="AO33" s="260"/>
      <c r="AP33" s="260"/>
      <c r="AQ33" s="260"/>
      <c r="AR33" s="260"/>
      <c r="AS33" s="260"/>
      <c r="AT33" s="260"/>
      <c r="AU33" s="260"/>
      <c r="AV33" s="260"/>
      <c r="AW33" s="261"/>
      <c r="AX33" s="262"/>
      <c r="AY33" s="262"/>
      <c r="AZ33" s="261"/>
      <c r="BA33" s="261"/>
      <c r="BB33" s="262"/>
      <c r="BC33" s="257"/>
      <c r="BD33" s="257"/>
      <c r="BE33" s="257"/>
      <c r="BF33" s="262"/>
      <c r="BG33" s="262"/>
      <c r="BH33" s="20"/>
      <c r="BI33" s="20"/>
      <c r="BJ33" s="20"/>
      <c r="BN33" s="214"/>
      <c r="BO33" s="214"/>
      <c r="BP33" s="214"/>
      <c r="BQ33" s="214"/>
      <c r="BR33" s="214"/>
      <c r="BS33" s="214"/>
    </row>
    <row r="34" spans="2:71" ht="30.75" customHeight="1" collapsed="1" thickBot="1">
      <c r="B34" s="1347"/>
      <c r="C34" s="1348"/>
      <c r="D34" s="1349"/>
      <c r="E34" s="1348"/>
      <c r="G34" s="227"/>
      <c r="H34" s="1339"/>
      <c r="I34" s="1340"/>
      <c r="J34" s="1340"/>
      <c r="K34" s="1340"/>
      <c r="L34" s="1340"/>
      <c r="M34" s="1340"/>
      <c r="N34" s="1340"/>
      <c r="O34" s="1340"/>
      <c r="P34" s="1340"/>
      <c r="Q34" s="1341"/>
      <c r="R34" s="1341"/>
      <c r="S34" s="258"/>
      <c r="T34" s="258"/>
      <c r="U34" s="230"/>
      <c r="V34" s="214"/>
      <c r="AI34" s="259"/>
      <c r="AJ34" s="259"/>
      <c r="AK34" s="259"/>
      <c r="AL34" s="146"/>
      <c r="AM34" s="260"/>
      <c r="AN34" s="260"/>
      <c r="AO34" s="260"/>
      <c r="AP34" s="260"/>
      <c r="AQ34" s="260"/>
      <c r="AR34" s="260"/>
      <c r="AS34" s="260"/>
      <c r="AT34" s="260"/>
      <c r="AU34" s="260"/>
      <c r="AV34" s="260"/>
      <c r="AW34" s="261"/>
      <c r="AX34" s="262"/>
      <c r="AY34" s="262"/>
      <c r="AZ34" s="261"/>
      <c r="BA34" s="261"/>
      <c r="BB34" s="262"/>
      <c r="BC34" s="257"/>
      <c r="BD34" s="257"/>
      <c r="BE34" s="257"/>
      <c r="BF34" s="262"/>
      <c r="BG34" s="262"/>
      <c r="BH34" s="20"/>
      <c r="BI34" s="20"/>
      <c r="BJ34" s="20"/>
      <c r="BN34" s="214"/>
      <c r="BO34" s="214"/>
      <c r="BP34" s="214"/>
      <c r="BQ34" s="214"/>
      <c r="BR34" s="214"/>
      <c r="BS34" s="214"/>
    </row>
    <row r="35" spans="2:71" ht="30.75" hidden="1" customHeight="1" outlineLevel="1">
      <c r="B35" s="1347"/>
      <c r="C35" s="1348"/>
      <c r="D35" s="1349"/>
      <c r="E35" s="1348"/>
      <c r="G35" s="227"/>
      <c r="H35" s="1339"/>
      <c r="I35" s="1340"/>
      <c r="J35" s="1340"/>
      <c r="K35" s="1340"/>
      <c r="L35" s="1340"/>
      <c r="M35" s="1340"/>
      <c r="N35" s="1340"/>
      <c r="O35" s="1340"/>
      <c r="P35" s="1340"/>
      <c r="Q35" s="1341"/>
      <c r="R35" s="1341"/>
      <c r="S35" s="258"/>
      <c r="T35" s="258"/>
      <c r="U35" s="230"/>
      <c r="V35" s="214"/>
      <c r="AI35" s="259"/>
      <c r="AJ35" s="259"/>
      <c r="AK35" s="259"/>
      <c r="AL35" s="146"/>
      <c r="AM35" s="260"/>
      <c r="AN35" s="260"/>
      <c r="AO35" s="260"/>
      <c r="AP35" s="260"/>
      <c r="AQ35" s="260"/>
      <c r="AR35" s="260"/>
      <c r="AS35" s="260"/>
      <c r="AT35" s="260"/>
      <c r="AU35" s="260"/>
      <c r="AV35" s="260"/>
      <c r="AW35" s="261"/>
      <c r="AX35" s="262"/>
      <c r="AY35" s="262"/>
      <c r="AZ35" s="261"/>
      <c r="BA35" s="261"/>
      <c r="BB35" s="262"/>
      <c r="BC35" s="257"/>
      <c r="BD35" s="257"/>
      <c r="BE35" s="257"/>
      <c r="BF35" s="262"/>
      <c r="BG35" s="262"/>
      <c r="BH35" s="20"/>
      <c r="BI35" s="20"/>
      <c r="BJ35" s="20"/>
      <c r="BN35" s="214"/>
      <c r="BO35" s="214"/>
      <c r="BP35" s="214"/>
      <c r="BQ35" s="214"/>
      <c r="BR35" s="214"/>
      <c r="BS35" s="214"/>
    </row>
    <row r="36" spans="2:71" ht="30.75" hidden="1" customHeight="1" outlineLevel="1">
      <c r="B36" s="1347"/>
      <c r="C36" s="1348"/>
      <c r="D36" s="1349"/>
      <c r="E36" s="1348"/>
      <c r="G36" s="227"/>
      <c r="H36" s="1339"/>
      <c r="I36" s="1340"/>
      <c r="J36" s="1340"/>
      <c r="K36" s="1340"/>
      <c r="L36" s="1340"/>
      <c r="M36" s="1340"/>
      <c r="N36" s="1340"/>
      <c r="O36" s="1340"/>
      <c r="P36" s="1340"/>
      <c r="Q36" s="1341"/>
      <c r="R36" s="1341"/>
      <c r="S36" s="258"/>
      <c r="T36" s="258"/>
      <c r="U36" s="230"/>
      <c r="V36" s="214"/>
      <c r="AI36" s="259"/>
      <c r="AJ36" s="259"/>
      <c r="AK36" s="259"/>
      <c r="AL36" s="146"/>
      <c r="AM36" s="260"/>
      <c r="AN36" s="260"/>
      <c r="AO36" s="260"/>
      <c r="AP36" s="260"/>
      <c r="AQ36" s="260"/>
      <c r="AR36" s="260"/>
      <c r="AS36" s="260"/>
      <c r="AT36" s="260"/>
      <c r="AU36" s="260"/>
      <c r="AV36" s="260"/>
      <c r="AW36" s="261"/>
      <c r="AX36" s="262"/>
      <c r="AY36" s="262"/>
      <c r="AZ36" s="261"/>
      <c r="BA36" s="261"/>
      <c r="BB36" s="262"/>
      <c r="BC36" s="257"/>
      <c r="BD36" s="257"/>
      <c r="BE36" s="257"/>
      <c r="BF36" s="262"/>
      <c r="BG36" s="262"/>
      <c r="BH36" s="20"/>
      <c r="BI36" s="20"/>
      <c r="BJ36" s="20"/>
      <c r="BN36" s="214"/>
      <c r="BO36" s="214"/>
      <c r="BP36" s="214"/>
      <c r="BQ36" s="214"/>
      <c r="BR36" s="214"/>
      <c r="BS36" s="214"/>
    </row>
    <row r="37" spans="2:71" ht="30.75" hidden="1" customHeight="1" outlineLevel="1">
      <c r="B37" s="1347"/>
      <c r="C37" s="1348"/>
      <c r="D37" s="1349"/>
      <c r="E37" s="1348"/>
      <c r="G37" s="227"/>
      <c r="H37" s="1339"/>
      <c r="I37" s="1340"/>
      <c r="J37" s="1340"/>
      <c r="K37" s="1340"/>
      <c r="L37" s="1340"/>
      <c r="M37" s="1340"/>
      <c r="N37" s="1340"/>
      <c r="O37" s="1340"/>
      <c r="P37" s="1340"/>
      <c r="Q37" s="1341"/>
      <c r="R37" s="1341"/>
      <c r="S37" s="258"/>
      <c r="T37" s="258"/>
      <c r="U37" s="230"/>
      <c r="V37" s="214"/>
      <c r="AI37" s="259"/>
      <c r="AJ37" s="259"/>
      <c r="AK37" s="259"/>
      <c r="AL37" s="146"/>
      <c r="AM37" s="260"/>
      <c r="AN37" s="260"/>
      <c r="AO37" s="260"/>
      <c r="AP37" s="260"/>
      <c r="AQ37" s="260"/>
      <c r="AR37" s="260"/>
      <c r="AS37" s="260"/>
      <c r="AT37" s="260"/>
      <c r="AU37" s="260"/>
      <c r="AV37" s="260"/>
      <c r="AW37" s="261"/>
      <c r="AX37" s="262"/>
      <c r="AY37" s="262"/>
      <c r="AZ37" s="261"/>
      <c r="BA37" s="261"/>
      <c r="BB37" s="262"/>
      <c r="BC37" s="257"/>
      <c r="BD37" s="257"/>
      <c r="BE37" s="257"/>
      <c r="BF37" s="262"/>
      <c r="BG37" s="262"/>
      <c r="BH37" s="20"/>
      <c r="BI37" s="20"/>
      <c r="BJ37" s="20"/>
      <c r="BN37" s="214"/>
      <c r="BO37" s="214"/>
      <c r="BP37" s="214"/>
      <c r="BQ37" s="214"/>
      <c r="BR37" s="214"/>
      <c r="BS37" s="214"/>
    </row>
    <row r="38" spans="2:71" ht="30.75" hidden="1" customHeight="1" outlineLevel="1">
      <c r="B38" s="1347"/>
      <c r="C38" s="1348"/>
      <c r="D38" s="1349"/>
      <c r="E38" s="1348"/>
      <c r="G38" s="227"/>
      <c r="H38" s="1339"/>
      <c r="I38" s="1340"/>
      <c r="J38" s="1340"/>
      <c r="K38" s="1340"/>
      <c r="L38" s="1340"/>
      <c r="M38" s="1340"/>
      <c r="N38" s="1340"/>
      <c r="O38" s="1340"/>
      <c r="P38" s="1340"/>
      <c r="Q38" s="1341"/>
      <c r="R38" s="1341"/>
      <c r="S38" s="258"/>
      <c r="T38" s="258"/>
      <c r="U38" s="230"/>
      <c r="V38" s="214"/>
      <c r="AI38" s="259"/>
      <c r="AJ38" s="259"/>
      <c r="AK38" s="259"/>
      <c r="AL38" s="146"/>
      <c r="AM38" s="260"/>
      <c r="AN38" s="260"/>
      <c r="AO38" s="260"/>
      <c r="AP38" s="260"/>
      <c r="AQ38" s="260"/>
      <c r="AR38" s="260"/>
      <c r="AS38" s="260"/>
      <c r="AT38" s="260"/>
      <c r="AU38" s="260"/>
      <c r="AV38" s="260"/>
      <c r="AW38" s="261"/>
      <c r="AX38" s="262"/>
      <c r="AY38" s="262"/>
      <c r="AZ38" s="261"/>
      <c r="BA38" s="261"/>
      <c r="BB38" s="262"/>
      <c r="BC38" s="257"/>
      <c r="BD38" s="257"/>
      <c r="BE38" s="257"/>
      <c r="BF38" s="262"/>
      <c r="BG38" s="262"/>
      <c r="BH38" s="20"/>
      <c r="BI38" s="20"/>
      <c r="BJ38" s="20"/>
      <c r="BN38" s="214"/>
      <c r="BO38" s="214"/>
      <c r="BP38" s="214"/>
      <c r="BQ38" s="214"/>
      <c r="BR38" s="214"/>
      <c r="BS38" s="214"/>
    </row>
    <row r="39" spans="2:71" ht="30.75" hidden="1" customHeight="1" outlineLevel="1">
      <c r="B39" s="1347"/>
      <c r="C39" s="1348"/>
      <c r="D39" s="1349"/>
      <c r="E39" s="1348"/>
      <c r="G39" s="227"/>
      <c r="H39" s="1339"/>
      <c r="I39" s="1340"/>
      <c r="J39" s="1340"/>
      <c r="K39" s="1340"/>
      <c r="L39" s="1340"/>
      <c r="M39" s="1340"/>
      <c r="N39" s="1340"/>
      <c r="O39" s="1340"/>
      <c r="P39" s="1340"/>
      <c r="Q39" s="1341"/>
      <c r="R39" s="1341"/>
      <c r="S39" s="258"/>
      <c r="T39" s="258"/>
      <c r="U39" s="230"/>
      <c r="V39" s="214"/>
      <c r="AI39" s="259"/>
      <c r="AJ39" s="259"/>
      <c r="AK39" s="259"/>
      <c r="AL39" s="146"/>
      <c r="AM39" s="260"/>
      <c r="AN39" s="260"/>
      <c r="AO39" s="260"/>
      <c r="AP39" s="260"/>
      <c r="AQ39" s="260"/>
      <c r="AR39" s="260"/>
      <c r="AS39" s="260"/>
      <c r="AT39" s="260"/>
      <c r="AU39" s="260"/>
      <c r="AV39" s="260"/>
      <c r="AW39" s="261"/>
      <c r="AX39" s="262"/>
      <c r="AY39" s="262"/>
      <c r="AZ39" s="261"/>
      <c r="BA39" s="261"/>
      <c r="BB39" s="262"/>
      <c r="BC39" s="257"/>
      <c r="BD39" s="257"/>
      <c r="BE39" s="257"/>
      <c r="BF39" s="262"/>
      <c r="BG39" s="262"/>
      <c r="BH39" s="20"/>
      <c r="BI39" s="20"/>
      <c r="BJ39" s="20"/>
      <c r="BN39" s="214"/>
      <c r="BO39" s="214"/>
      <c r="BP39" s="214"/>
      <c r="BQ39" s="214"/>
      <c r="BR39" s="214"/>
      <c r="BS39" s="214"/>
    </row>
    <row r="40" spans="2:71" ht="30.75" hidden="1" customHeight="1" outlineLevel="1">
      <c r="B40" s="1347"/>
      <c r="C40" s="1348"/>
      <c r="D40" s="1349"/>
      <c r="E40" s="1348"/>
      <c r="G40" s="227"/>
      <c r="H40" s="1339"/>
      <c r="I40" s="1340"/>
      <c r="J40" s="1340"/>
      <c r="K40" s="1340"/>
      <c r="L40" s="1340"/>
      <c r="M40" s="1340"/>
      <c r="N40" s="1340"/>
      <c r="O40" s="1340"/>
      <c r="P40" s="1340"/>
      <c r="Q40" s="1341"/>
      <c r="R40" s="1341"/>
      <c r="S40" s="258"/>
      <c r="T40" s="258"/>
      <c r="U40" s="230"/>
      <c r="V40" s="214"/>
      <c r="AI40" s="259"/>
      <c r="AJ40" s="259"/>
      <c r="AK40" s="259"/>
      <c r="AL40" s="146"/>
      <c r="AM40" s="260"/>
      <c r="AN40" s="260"/>
      <c r="AO40" s="260"/>
      <c r="AP40" s="260"/>
      <c r="AQ40" s="260"/>
      <c r="AR40" s="260"/>
      <c r="AS40" s="260"/>
      <c r="AT40" s="260"/>
      <c r="AU40" s="260"/>
      <c r="AV40" s="260"/>
      <c r="AW40" s="261"/>
      <c r="AX40" s="262"/>
      <c r="AY40" s="262"/>
      <c r="AZ40" s="261"/>
      <c r="BA40" s="261"/>
      <c r="BB40" s="262"/>
      <c r="BC40" s="257"/>
      <c r="BD40" s="257"/>
      <c r="BE40" s="257"/>
      <c r="BF40" s="262"/>
      <c r="BG40" s="262"/>
      <c r="BH40" s="20"/>
      <c r="BI40" s="20"/>
      <c r="BJ40" s="20"/>
      <c r="BN40" s="214"/>
      <c r="BO40" s="214"/>
      <c r="BP40" s="214"/>
      <c r="BQ40" s="214"/>
      <c r="BR40" s="214"/>
      <c r="BS40" s="214"/>
    </row>
    <row r="41" spans="2:71" ht="30.75" hidden="1" customHeight="1" outlineLevel="1">
      <c r="B41" s="1347"/>
      <c r="C41" s="1348"/>
      <c r="D41" s="1349"/>
      <c r="E41" s="1348"/>
      <c r="G41" s="227"/>
      <c r="H41" s="1339"/>
      <c r="I41" s="1340"/>
      <c r="J41" s="1340"/>
      <c r="K41" s="1340"/>
      <c r="L41" s="1340"/>
      <c r="M41" s="1340"/>
      <c r="N41" s="1340"/>
      <c r="O41" s="1340"/>
      <c r="P41" s="1340"/>
      <c r="Q41" s="1341"/>
      <c r="R41" s="1341"/>
      <c r="S41" s="258"/>
      <c r="T41" s="258"/>
      <c r="U41" s="230"/>
      <c r="V41" s="214"/>
      <c r="AI41" s="259"/>
      <c r="AJ41" s="259"/>
      <c r="AK41" s="259"/>
      <c r="AL41" s="146"/>
      <c r="AM41" s="260"/>
      <c r="AN41" s="260"/>
      <c r="AO41" s="260"/>
      <c r="AP41" s="260"/>
      <c r="AQ41" s="260"/>
      <c r="AR41" s="260"/>
      <c r="AS41" s="260"/>
      <c r="AT41" s="260"/>
      <c r="AU41" s="260"/>
      <c r="AV41" s="260"/>
      <c r="AW41" s="261"/>
      <c r="AX41" s="262"/>
      <c r="AY41" s="262"/>
      <c r="AZ41" s="261"/>
      <c r="BA41" s="261"/>
      <c r="BB41" s="262"/>
      <c r="BC41" s="257"/>
      <c r="BD41" s="257"/>
      <c r="BE41" s="257"/>
      <c r="BF41" s="262"/>
      <c r="BG41" s="262"/>
      <c r="BH41" s="20"/>
      <c r="BI41" s="20"/>
      <c r="BJ41" s="20"/>
      <c r="BN41" s="214"/>
      <c r="BO41" s="214"/>
      <c r="BP41" s="214"/>
      <c r="BQ41" s="214"/>
      <c r="BR41" s="214"/>
      <c r="BS41" s="214"/>
    </row>
    <row r="42" spans="2:71" ht="30.75" hidden="1" customHeight="1" outlineLevel="1">
      <c r="B42" s="1347"/>
      <c r="C42" s="1348"/>
      <c r="D42" s="1349"/>
      <c r="E42" s="1348"/>
      <c r="G42" s="227"/>
      <c r="H42" s="1339"/>
      <c r="I42" s="1340"/>
      <c r="J42" s="1340"/>
      <c r="K42" s="1340"/>
      <c r="L42" s="1340"/>
      <c r="M42" s="1340"/>
      <c r="N42" s="1340"/>
      <c r="O42" s="1340"/>
      <c r="P42" s="1340"/>
      <c r="Q42" s="1341"/>
      <c r="R42" s="1341"/>
      <c r="S42" s="258"/>
      <c r="T42" s="258"/>
      <c r="U42" s="230"/>
      <c r="V42" s="214"/>
      <c r="Z42" s="178"/>
      <c r="AA42" s="178"/>
      <c r="AB42" s="178"/>
      <c r="AC42" s="178"/>
      <c r="AD42" s="178"/>
      <c r="AE42" s="178"/>
      <c r="AI42" s="259"/>
      <c r="AJ42" s="259"/>
      <c r="AK42" s="259"/>
      <c r="AL42" s="146"/>
      <c r="AM42" s="260"/>
      <c r="AN42" s="260"/>
      <c r="AO42" s="260"/>
      <c r="AP42" s="260"/>
      <c r="AQ42" s="260"/>
      <c r="AR42" s="260"/>
      <c r="AS42" s="260"/>
      <c r="AT42" s="260"/>
      <c r="AU42" s="260"/>
      <c r="AV42" s="260"/>
      <c r="AW42" s="261"/>
      <c r="AX42" s="262"/>
      <c r="AY42" s="262"/>
      <c r="AZ42" s="261"/>
      <c r="BA42" s="261"/>
      <c r="BB42" s="262"/>
      <c r="BC42" s="257"/>
      <c r="BD42" s="257"/>
      <c r="BE42" s="257"/>
      <c r="BF42" s="262"/>
      <c r="BG42" s="262"/>
      <c r="BH42" s="20"/>
      <c r="BI42" s="20"/>
      <c r="BJ42" s="20"/>
      <c r="BN42" s="214"/>
      <c r="BO42" s="214"/>
      <c r="BP42" s="214"/>
      <c r="BQ42" s="214"/>
      <c r="BR42" s="214"/>
      <c r="BS42" s="214"/>
    </row>
    <row r="43" spans="2:71" ht="30.75" hidden="1" customHeight="1" outlineLevel="1">
      <c r="B43" s="1347"/>
      <c r="C43" s="1348"/>
      <c r="D43" s="1349"/>
      <c r="E43" s="1348"/>
      <c r="F43" s="255"/>
      <c r="G43" s="227"/>
      <c r="H43" s="1339"/>
      <c r="I43" s="1340"/>
      <c r="J43" s="1340"/>
      <c r="K43" s="1340"/>
      <c r="L43" s="1340"/>
      <c r="M43" s="1340"/>
      <c r="N43" s="1340"/>
      <c r="O43" s="1340"/>
      <c r="P43" s="1340"/>
      <c r="Q43" s="1341"/>
      <c r="R43" s="1341"/>
      <c r="S43" s="263"/>
      <c r="T43" s="263"/>
      <c r="U43" s="230"/>
      <c r="V43" s="231"/>
      <c r="BK43" s="257"/>
      <c r="BM43" s="214"/>
      <c r="BN43" s="214"/>
      <c r="BO43" s="214"/>
      <c r="BP43" s="214"/>
      <c r="BQ43" s="214"/>
      <c r="BR43" s="214"/>
      <c r="BS43" s="214"/>
    </row>
    <row r="44" spans="2:71" ht="30.75" hidden="1" customHeight="1" outlineLevel="1">
      <c r="B44" s="1347"/>
      <c r="C44" s="1348"/>
      <c r="D44" s="1349"/>
      <c r="E44" s="1348"/>
      <c r="F44" s="255"/>
      <c r="G44" s="227"/>
      <c r="H44" s="1339"/>
      <c r="I44" s="1340"/>
      <c r="J44" s="1340"/>
      <c r="K44" s="1340"/>
      <c r="L44" s="1340"/>
      <c r="M44" s="1340"/>
      <c r="N44" s="1340"/>
      <c r="O44" s="1340"/>
      <c r="P44" s="1340"/>
      <c r="Q44" s="1341"/>
      <c r="R44" s="1341"/>
      <c r="S44" s="258"/>
      <c r="T44" s="258"/>
      <c r="U44" s="230"/>
      <c r="V44" s="231"/>
      <c r="BM44" s="214"/>
      <c r="BN44" s="214"/>
      <c r="BO44" s="214"/>
      <c r="BP44" s="214"/>
      <c r="BQ44" s="214"/>
      <c r="BR44" s="214"/>
      <c r="BS44" s="214"/>
    </row>
    <row r="45" spans="2:71" ht="30.75" hidden="1" customHeight="1" outlineLevel="1" thickBot="1">
      <c r="B45" s="1347"/>
      <c r="C45" s="1348"/>
      <c r="D45" s="1349"/>
      <c r="E45" s="1348"/>
      <c r="F45" s="264"/>
      <c r="G45" s="227"/>
      <c r="H45" s="1339"/>
      <c r="I45" s="1340"/>
      <c r="J45" s="1340"/>
      <c r="K45" s="1340"/>
      <c r="L45" s="1340"/>
      <c r="M45" s="1340"/>
      <c r="N45" s="1340"/>
      <c r="O45" s="1340"/>
      <c r="P45" s="1340"/>
      <c r="Q45" s="1341"/>
      <c r="R45" s="1341"/>
      <c r="S45" s="265"/>
      <c r="T45" s="265"/>
      <c r="U45" s="230"/>
      <c r="V45" s="231"/>
      <c r="BM45" s="214"/>
      <c r="BN45" s="214"/>
      <c r="BO45" s="214"/>
      <c r="BP45" s="214"/>
      <c r="BQ45" s="214"/>
      <c r="BR45" s="214"/>
      <c r="BS45" s="214"/>
    </row>
    <row r="46" spans="2:71" ht="30.75" customHeight="1" thickTop="1" thickBot="1">
      <c r="B46" s="1347"/>
      <c r="C46" s="1348"/>
      <c r="D46" s="1349"/>
      <c r="E46" s="1348"/>
      <c r="F46" s="1352" t="s">
        <v>229</v>
      </c>
      <c r="G46" s="1353"/>
      <c r="H46" s="1339" t="s">
        <v>230</v>
      </c>
      <c r="I46" s="1340"/>
      <c r="J46" s="1340"/>
      <c r="K46" s="1340"/>
      <c r="L46" s="1340"/>
      <c r="M46" s="1340"/>
      <c r="N46" s="1340"/>
      <c r="O46" s="1340"/>
      <c r="P46" s="1340"/>
      <c r="Q46" s="1341"/>
      <c r="R46" s="1341"/>
      <c r="S46" s="266"/>
      <c r="T46" s="267"/>
      <c r="U46" s="220"/>
      <c r="V46" s="231"/>
      <c r="BM46" s="214"/>
      <c r="BN46" s="214"/>
      <c r="BO46" s="214"/>
      <c r="BP46" s="214"/>
      <c r="BQ46" s="214"/>
      <c r="BR46" s="214"/>
      <c r="BS46" s="214"/>
    </row>
    <row r="47" spans="2:71" ht="30.75" customHeight="1" thickTop="1">
      <c r="B47" s="1347"/>
      <c r="C47" s="1348"/>
      <c r="D47" s="225"/>
      <c r="E47" s="224"/>
      <c r="F47" s="255"/>
      <c r="G47" s="227"/>
      <c r="H47" s="1339"/>
      <c r="I47" s="1340"/>
      <c r="J47" s="1340"/>
      <c r="K47" s="1340"/>
      <c r="L47" s="1340"/>
      <c r="M47" s="1340"/>
      <c r="N47" s="1340"/>
      <c r="O47" s="1340"/>
      <c r="P47" s="1340"/>
      <c r="Q47" s="1341"/>
      <c r="R47" s="1341"/>
      <c r="S47" s="268"/>
      <c r="T47" s="268"/>
      <c r="U47" s="230"/>
      <c r="V47" s="231"/>
      <c r="BN47" s="214"/>
      <c r="BO47" s="214"/>
      <c r="BP47" s="214"/>
      <c r="BQ47" s="214"/>
      <c r="BR47" s="214"/>
      <c r="BS47" s="214"/>
    </row>
    <row r="48" spans="2:71" ht="30.75" customHeight="1">
      <c r="B48" s="1347"/>
      <c r="C48" s="1348"/>
      <c r="D48" s="225"/>
      <c r="E48" s="224"/>
      <c r="F48" s="255"/>
      <c r="G48" s="227"/>
      <c r="H48" s="1339"/>
      <c r="I48" s="1340"/>
      <c r="J48" s="1340"/>
      <c r="K48" s="1340"/>
      <c r="L48" s="1340"/>
      <c r="M48" s="1340"/>
      <c r="N48" s="1340"/>
      <c r="O48" s="1340"/>
      <c r="P48" s="1340"/>
      <c r="Q48" s="1341"/>
      <c r="R48" s="1341"/>
      <c r="S48" s="235"/>
      <c r="T48" s="235"/>
      <c r="U48" s="230"/>
      <c r="V48" s="231"/>
      <c r="AN48" s="146"/>
      <c r="AO48" s="146"/>
      <c r="AP48" s="146"/>
      <c r="AQ48" s="146"/>
      <c r="AR48" s="146"/>
      <c r="AS48" s="146"/>
      <c r="AT48" s="146"/>
      <c r="AU48" s="146"/>
      <c r="AV48" s="146"/>
      <c r="AW48" s="1354"/>
      <c r="AX48" s="1354"/>
      <c r="AY48" s="1354"/>
      <c r="AZ48" s="1354"/>
      <c r="BA48" s="1354"/>
      <c r="BB48" s="1354"/>
      <c r="BC48" s="1354"/>
      <c r="BD48" s="1354"/>
      <c r="BE48" s="1354"/>
      <c r="BF48" s="1354"/>
      <c r="BG48" s="1354"/>
      <c r="BH48" s="1354"/>
      <c r="BI48" s="1354"/>
      <c r="BJ48" s="1354"/>
      <c r="BN48" s="214"/>
      <c r="BO48" s="214"/>
      <c r="BP48" s="214"/>
      <c r="BQ48" s="214"/>
      <c r="BR48" s="214"/>
      <c r="BS48" s="214"/>
    </row>
    <row r="49" spans="2:71" ht="30.75" customHeight="1">
      <c r="B49" s="1347"/>
      <c r="C49" s="1348"/>
      <c r="D49" s="225"/>
      <c r="E49" s="269"/>
      <c r="G49" s="227"/>
      <c r="H49" s="1339"/>
      <c r="I49" s="1340"/>
      <c r="J49" s="1340"/>
      <c r="K49" s="1340"/>
      <c r="L49" s="1340"/>
      <c r="M49" s="1340"/>
      <c r="N49" s="1340"/>
      <c r="O49" s="1340"/>
      <c r="P49" s="1340"/>
      <c r="Q49" s="1341"/>
      <c r="R49" s="1341"/>
      <c r="S49" s="258"/>
      <c r="T49" s="258"/>
      <c r="U49" s="230"/>
      <c r="V49" s="214"/>
      <c r="AI49" s="259"/>
      <c r="AJ49" s="259"/>
      <c r="AK49" s="259"/>
      <c r="AL49" s="146"/>
      <c r="AM49" s="260"/>
      <c r="AN49" s="260"/>
      <c r="AO49" s="260"/>
      <c r="AP49" s="260"/>
      <c r="AQ49" s="260"/>
      <c r="AR49" s="260"/>
      <c r="AS49" s="260"/>
      <c r="AT49" s="260"/>
      <c r="AU49" s="260"/>
      <c r="AV49" s="260"/>
      <c r="AW49" s="261"/>
      <c r="AX49" s="262"/>
      <c r="AY49" s="262"/>
      <c r="AZ49" s="261"/>
      <c r="BA49" s="261"/>
      <c r="BB49" s="262"/>
      <c r="BC49" s="257"/>
      <c r="BD49" s="257"/>
      <c r="BE49" s="257"/>
      <c r="BF49" s="262"/>
      <c r="BG49" s="262"/>
      <c r="BH49" s="20"/>
      <c r="BI49" s="20"/>
      <c r="BJ49" s="20"/>
      <c r="BN49" s="214"/>
      <c r="BO49" s="214"/>
      <c r="BP49" s="214"/>
      <c r="BQ49" s="214"/>
      <c r="BR49" s="214"/>
      <c r="BS49" s="214"/>
    </row>
    <row r="50" spans="2:71" ht="30.75" customHeight="1" collapsed="1" thickBot="1">
      <c r="B50" s="1347"/>
      <c r="C50" s="1348"/>
      <c r="D50" s="225"/>
      <c r="E50" s="269"/>
      <c r="G50" s="227"/>
      <c r="H50" s="1339"/>
      <c r="I50" s="1340"/>
      <c r="J50" s="1340"/>
      <c r="K50" s="1340"/>
      <c r="L50" s="1340"/>
      <c r="M50" s="1340"/>
      <c r="N50" s="1340"/>
      <c r="O50" s="1340"/>
      <c r="P50" s="1340"/>
      <c r="Q50" s="1341"/>
      <c r="R50" s="1341"/>
      <c r="S50" s="258"/>
      <c r="T50" s="258"/>
      <c r="U50" s="230"/>
      <c r="V50" s="214"/>
      <c r="AI50" s="259"/>
      <c r="AJ50" s="259"/>
      <c r="AK50" s="259"/>
      <c r="AL50" s="146"/>
      <c r="AM50" s="260"/>
      <c r="AN50" s="260"/>
      <c r="AO50" s="260"/>
      <c r="AP50" s="260"/>
      <c r="AQ50" s="260"/>
      <c r="AR50" s="260"/>
      <c r="AS50" s="260"/>
      <c r="AT50" s="260"/>
      <c r="AU50" s="260"/>
      <c r="AV50" s="260"/>
      <c r="AW50" s="261"/>
      <c r="AX50" s="262"/>
      <c r="AY50" s="262"/>
      <c r="AZ50" s="261"/>
      <c r="BA50" s="261"/>
      <c r="BB50" s="262"/>
      <c r="BC50" s="257"/>
      <c r="BD50" s="257"/>
      <c r="BE50" s="257"/>
      <c r="BF50" s="262"/>
      <c r="BG50" s="262"/>
      <c r="BH50" s="20"/>
      <c r="BI50" s="20"/>
      <c r="BJ50" s="20"/>
      <c r="BN50" s="214"/>
      <c r="BO50" s="214"/>
      <c r="BP50" s="214"/>
      <c r="BQ50" s="214"/>
      <c r="BR50" s="214"/>
      <c r="BS50" s="214"/>
    </row>
    <row r="51" spans="2:71" ht="30.75" hidden="1" customHeight="1" outlineLevel="1">
      <c r="B51" s="1347"/>
      <c r="C51" s="1348"/>
      <c r="D51" s="225"/>
      <c r="E51" s="269"/>
      <c r="G51" s="227"/>
      <c r="H51" s="1339"/>
      <c r="I51" s="1340"/>
      <c r="J51" s="1340"/>
      <c r="K51" s="1340"/>
      <c r="L51" s="1340"/>
      <c r="M51" s="1340"/>
      <c r="N51" s="1340"/>
      <c r="O51" s="1340"/>
      <c r="P51" s="1340"/>
      <c r="Q51" s="1341"/>
      <c r="R51" s="1341"/>
      <c r="S51" s="258"/>
      <c r="T51" s="258"/>
      <c r="U51" s="230"/>
      <c r="V51" s="214"/>
      <c r="AI51" s="259"/>
      <c r="AJ51" s="259"/>
      <c r="AK51" s="259"/>
      <c r="AL51" s="146"/>
      <c r="AM51" s="260"/>
      <c r="AN51" s="260"/>
      <c r="AO51" s="260"/>
      <c r="AP51" s="260"/>
      <c r="AQ51" s="260"/>
      <c r="AR51" s="260"/>
      <c r="AS51" s="260"/>
      <c r="AT51" s="260"/>
      <c r="AU51" s="260"/>
      <c r="AV51" s="260"/>
      <c r="AW51" s="261"/>
      <c r="AX51" s="262"/>
      <c r="AY51" s="262"/>
      <c r="AZ51" s="261"/>
      <c r="BA51" s="261"/>
      <c r="BB51" s="262"/>
      <c r="BC51" s="257"/>
      <c r="BD51" s="257"/>
      <c r="BE51" s="257"/>
      <c r="BF51" s="262"/>
      <c r="BG51" s="262"/>
      <c r="BH51" s="20"/>
      <c r="BI51" s="20"/>
      <c r="BJ51" s="20"/>
      <c r="BN51" s="214"/>
      <c r="BO51" s="214"/>
      <c r="BP51" s="214"/>
      <c r="BQ51" s="214"/>
      <c r="BR51" s="214"/>
      <c r="BS51" s="214"/>
    </row>
    <row r="52" spans="2:71" ht="30.75" hidden="1" customHeight="1" outlineLevel="1">
      <c r="B52" s="1347"/>
      <c r="C52" s="1348"/>
      <c r="D52" s="225"/>
      <c r="E52" s="269"/>
      <c r="G52" s="227"/>
      <c r="H52" s="1339"/>
      <c r="I52" s="1340"/>
      <c r="J52" s="1340"/>
      <c r="K52" s="1340"/>
      <c r="L52" s="1340"/>
      <c r="M52" s="1340"/>
      <c r="N52" s="1340"/>
      <c r="O52" s="1340"/>
      <c r="P52" s="1340"/>
      <c r="Q52" s="1341"/>
      <c r="R52" s="1341"/>
      <c r="S52" s="258"/>
      <c r="T52" s="258"/>
      <c r="U52" s="230"/>
      <c r="V52" s="214"/>
      <c r="AI52" s="259"/>
      <c r="AJ52" s="259"/>
      <c r="AK52" s="259"/>
      <c r="AL52" s="146"/>
      <c r="AM52" s="260"/>
      <c r="AN52" s="260"/>
      <c r="AO52" s="260"/>
      <c r="AP52" s="260"/>
      <c r="AQ52" s="260"/>
      <c r="AR52" s="260"/>
      <c r="AS52" s="260"/>
      <c r="AT52" s="260"/>
      <c r="AU52" s="260"/>
      <c r="AV52" s="260"/>
      <c r="AW52" s="261"/>
      <c r="AX52" s="262"/>
      <c r="AY52" s="262"/>
      <c r="AZ52" s="261"/>
      <c r="BA52" s="261"/>
      <c r="BB52" s="262"/>
      <c r="BC52" s="257"/>
      <c r="BD52" s="257"/>
      <c r="BE52" s="257"/>
      <c r="BF52" s="262"/>
      <c r="BG52" s="262"/>
      <c r="BH52" s="20"/>
      <c r="BI52" s="20"/>
      <c r="BJ52" s="20"/>
      <c r="BN52" s="214"/>
      <c r="BO52" s="214"/>
      <c r="BP52" s="214"/>
      <c r="BQ52" s="214"/>
      <c r="BR52" s="214"/>
      <c r="BS52" s="214"/>
    </row>
    <row r="53" spans="2:71" ht="30.75" hidden="1" customHeight="1" outlineLevel="1">
      <c r="B53" s="1347"/>
      <c r="C53" s="1348"/>
      <c r="D53" s="225"/>
      <c r="E53" s="269"/>
      <c r="G53" s="227"/>
      <c r="H53" s="1339"/>
      <c r="I53" s="1340"/>
      <c r="J53" s="1340"/>
      <c r="K53" s="1340"/>
      <c r="L53" s="1340"/>
      <c r="M53" s="1340"/>
      <c r="N53" s="1340"/>
      <c r="O53" s="1340"/>
      <c r="P53" s="1340"/>
      <c r="Q53" s="1341"/>
      <c r="R53" s="1341"/>
      <c r="S53" s="258"/>
      <c r="T53" s="258"/>
      <c r="U53" s="230"/>
      <c r="V53" s="214"/>
      <c r="AI53" s="259"/>
      <c r="AJ53" s="259"/>
      <c r="AK53" s="259"/>
      <c r="AL53" s="146"/>
      <c r="AM53" s="260"/>
      <c r="AN53" s="260"/>
      <c r="AO53" s="260"/>
      <c r="AP53" s="260"/>
      <c r="AQ53" s="260"/>
      <c r="AR53" s="260"/>
      <c r="AS53" s="260"/>
      <c r="AT53" s="260"/>
      <c r="AU53" s="260"/>
      <c r="AV53" s="260"/>
      <c r="AW53" s="261"/>
      <c r="AX53" s="262"/>
      <c r="AY53" s="262"/>
      <c r="AZ53" s="261"/>
      <c r="BA53" s="261"/>
      <c r="BB53" s="262"/>
      <c r="BC53" s="257"/>
      <c r="BD53" s="257"/>
      <c r="BE53" s="257"/>
      <c r="BF53" s="262"/>
      <c r="BG53" s="262"/>
      <c r="BH53" s="20"/>
      <c r="BI53" s="20"/>
      <c r="BJ53" s="20"/>
      <c r="BN53" s="214"/>
      <c r="BO53" s="214"/>
      <c r="BP53" s="214"/>
      <c r="BQ53" s="214"/>
      <c r="BR53" s="214"/>
      <c r="BS53" s="214"/>
    </row>
    <row r="54" spans="2:71" ht="30.75" hidden="1" customHeight="1" outlineLevel="1">
      <c r="B54" s="1347"/>
      <c r="C54" s="1348"/>
      <c r="D54" s="225"/>
      <c r="E54" s="269"/>
      <c r="G54" s="227"/>
      <c r="H54" s="1339"/>
      <c r="I54" s="1340"/>
      <c r="J54" s="1340"/>
      <c r="K54" s="1340"/>
      <c r="L54" s="1340"/>
      <c r="M54" s="1340"/>
      <c r="N54" s="1340"/>
      <c r="O54" s="1340"/>
      <c r="P54" s="1340"/>
      <c r="Q54" s="1341"/>
      <c r="R54" s="1341"/>
      <c r="S54" s="258"/>
      <c r="T54" s="258"/>
      <c r="U54" s="230"/>
      <c r="V54" s="214"/>
      <c r="AI54" s="259"/>
      <c r="AJ54" s="259"/>
      <c r="AK54" s="259"/>
      <c r="AL54" s="146"/>
      <c r="AM54" s="260"/>
      <c r="AN54" s="260"/>
      <c r="AO54" s="260"/>
      <c r="AP54" s="260"/>
      <c r="AQ54" s="260"/>
      <c r="AR54" s="260"/>
      <c r="AS54" s="260"/>
      <c r="AT54" s="260"/>
      <c r="AU54" s="260"/>
      <c r="AV54" s="260"/>
      <c r="AW54" s="261"/>
      <c r="AX54" s="262"/>
      <c r="AY54" s="262"/>
      <c r="AZ54" s="261"/>
      <c r="BA54" s="261"/>
      <c r="BB54" s="262"/>
      <c r="BC54" s="257"/>
      <c r="BD54" s="257"/>
      <c r="BE54" s="257"/>
      <c r="BF54" s="262"/>
      <c r="BG54" s="262"/>
      <c r="BH54" s="20"/>
      <c r="BI54" s="20"/>
      <c r="BJ54" s="20"/>
      <c r="BN54" s="214"/>
      <c r="BO54" s="214"/>
      <c r="BP54" s="214"/>
      <c r="BQ54" s="214"/>
      <c r="BR54" s="214"/>
      <c r="BS54" s="214"/>
    </row>
    <row r="55" spans="2:71" ht="30.75" hidden="1" customHeight="1" outlineLevel="1">
      <c r="B55" s="1347"/>
      <c r="C55" s="1348"/>
      <c r="D55" s="225"/>
      <c r="E55" s="269"/>
      <c r="G55" s="227"/>
      <c r="H55" s="1339"/>
      <c r="I55" s="1340"/>
      <c r="J55" s="1340"/>
      <c r="K55" s="1340"/>
      <c r="L55" s="1340"/>
      <c r="M55" s="1340"/>
      <c r="N55" s="1340"/>
      <c r="O55" s="1340"/>
      <c r="P55" s="1340"/>
      <c r="Q55" s="1341"/>
      <c r="R55" s="1341"/>
      <c r="S55" s="258"/>
      <c r="T55" s="258"/>
      <c r="U55" s="230"/>
      <c r="V55" s="214"/>
      <c r="AI55" s="259"/>
      <c r="AJ55" s="259"/>
      <c r="AK55" s="259"/>
      <c r="AL55" s="146"/>
      <c r="AM55" s="260"/>
      <c r="AN55" s="260"/>
      <c r="AO55" s="260"/>
      <c r="AP55" s="260"/>
      <c r="AQ55" s="260"/>
      <c r="AR55" s="260"/>
      <c r="AS55" s="260"/>
      <c r="AT55" s="260"/>
      <c r="AU55" s="260"/>
      <c r="AV55" s="260"/>
      <c r="AW55" s="261"/>
      <c r="AX55" s="262"/>
      <c r="AY55" s="262"/>
      <c r="AZ55" s="261"/>
      <c r="BA55" s="261"/>
      <c r="BB55" s="262"/>
      <c r="BC55" s="257"/>
      <c r="BD55" s="257"/>
      <c r="BE55" s="257"/>
      <c r="BF55" s="262"/>
      <c r="BG55" s="262"/>
      <c r="BH55" s="20"/>
      <c r="BI55" s="20"/>
      <c r="BJ55" s="20"/>
      <c r="BN55" s="214"/>
      <c r="BO55" s="214"/>
      <c r="BP55" s="214"/>
      <c r="BQ55" s="214"/>
      <c r="BR55" s="214"/>
      <c r="BS55" s="214"/>
    </row>
    <row r="56" spans="2:71" ht="30.75" hidden="1" customHeight="1" outlineLevel="1">
      <c r="B56" s="1347"/>
      <c r="C56" s="1348"/>
      <c r="D56" s="225"/>
      <c r="E56" s="269"/>
      <c r="G56" s="227"/>
      <c r="H56" s="1339"/>
      <c r="I56" s="1340"/>
      <c r="J56" s="1340"/>
      <c r="K56" s="1340"/>
      <c r="L56" s="1340"/>
      <c r="M56" s="1340"/>
      <c r="N56" s="1340"/>
      <c r="O56" s="1340"/>
      <c r="P56" s="1340"/>
      <c r="Q56" s="1341"/>
      <c r="R56" s="1341"/>
      <c r="S56" s="258"/>
      <c r="T56" s="258"/>
      <c r="U56" s="230"/>
      <c r="V56" s="214"/>
      <c r="AI56" s="259"/>
      <c r="AJ56" s="259"/>
      <c r="AK56" s="259"/>
      <c r="AL56" s="146"/>
      <c r="AM56" s="260"/>
      <c r="AN56" s="260"/>
      <c r="AO56" s="260"/>
      <c r="AP56" s="260"/>
      <c r="AQ56" s="260"/>
      <c r="AR56" s="260"/>
      <c r="AS56" s="260"/>
      <c r="AT56" s="260"/>
      <c r="AU56" s="260"/>
      <c r="AV56" s="260"/>
      <c r="AW56" s="261"/>
      <c r="AX56" s="262"/>
      <c r="AY56" s="262"/>
      <c r="AZ56" s="261"/>
      <c r="BA56" s="261"/>
      <c r="BB56" s="262"/>
      <c r="BC56" s="257"/>
      <c r="BD56" s="257"/>
      <c r="BE56" s="257"/>
      <c r="BF56" s="262"/>
      <c r="BG56" s="262"/>
      <c r="BH56" s="20"/>
      <c r="BI56" s="20"/>
      <c r="BJ56" s="20"/>
      <c r="BN56" s="214"/>
      <c r="BO56" s="214"/>
      <c r="BP56" s="214"/>
      <c r="BQ56" s="214"/>
      <c r="BR56" s="214"/>
      <c r="BS56" s="214"/>
    </row>
    <row r="57" spans="2:71" ht="30.75" hidden="1" customHeight="1" outlineLevel="1">
      <c r="B57" s="1347"/>
      <c r="C57" s="1348"/>
      <c r="D57" s="225"/>
      <c r="E57" s="269"/>
      <c r="G57" s="227"/>
      <c r="H57" s="1339"/>
      <c r="I57" s="1340"/>
      <c r="J57" s="1340"/>
      <c r="K57" s="1340"/>
      <c r="L57" s="1340"/>
      <c r="M57" s="1340"/>
      <c r="N57" s="1340"/>
      <c r="O57" s="1340"/>
      <c r="P57" s="1340"/>
      <c r="Q57" s="1341"/>
      <c r="R57" s="1341"/>
      <c r="S57" s="258"/>
      <c r="T57" s="258"/>
      <c r="U57" s="230"/>
      <c r="V57" s="214"/>
      <c r="AI57" s="259"/>
      <c r="AJ57" s="259"/>
      <c r="AK57" s="259"/>
      <c r="AL57" s="146"/>
      <c r="AM57" s="260"/>
      <c r="AN57" s="260"/>
      <c r="AO57" s="260"/>
      <c r="AP57" s="260"/>
      <c r="AQ57" s="260"/>
      <c r="AR57" s="260"/>
      <c r="AS57" s="260"/>
      <c r="AT57" s="260"/>
      <c r="AU57" s="260"/>
      <c r="AV57" s="260"/>
      <c r="AW57" s="261"/>
      <c r="AX57" s="262"/>
      <c r="AY57" s="262"/>
      <c r="AZ57" s="261"/>
      <c r="BA57" s="261"/>
      <c r="BB57" s="262"/>
      <c r="BC57" s="257"/>
      <c r="BD57" s="257"/>
      <c r="BE57" s="257"/>
      <c r="BF57" s="262"/>
      <c r="BG57" s="262"/>
      <c r="BH57" s="20"/>
      <c r="BI57" s="20"/>
      <c r="BJ57" s="20"/>
      <c r="BN57" s="214"/>
      <c r="BO57" s="214"/>
      <c r="BP57" s="214"/>
      <c r="BQ57" s="214"/>
      <c r="BR57" s="214"/>
      <c r="BS57" s="214"/>
    </row>
    <row r="58" spans="2:71" ht="30.75" hidden="1" customHeight="1" outlineLevel="1">
      <c r="B58" s="1347"/>
      <c r="C58" s="1348"/>
      <c r="D58" s="225"/>
      <c r="E58" s="269"/>
      <c r="G58" s="227"/>
      <c r="H58" s="1339"/>
      <c r="I58" s="1340"/>
      <c r="J58" s="1340"/>
      <c r="K58" s="1340"/>
      <c r="L58" s="1340"/>
      <c r="M58" s="1340"/>
      <c r="N58" s="1340"/>
      <c r="O58" s="1340"/>
      <c r="P58" s="1340"/>
      <c r="Q58" s="1341"/>
      <c r="R58" s="1341"/>
      <c r="S58" s="258"/>
      <c r="T58" s="258"/>
      <c r="U58" s="230"/>
      <c r="V58" s="214"/>
      <c r="AI58" s="259"/>
      <c r="AJ58" s="259"/>
      <c r="AK58" s="259"/>
      <c r="AL58" s="146"/>
      <c r="AM58" s="260"/>
      <c r="AN58" s="260"/>
      <c r="AO58" s="260"/>
      <c r="AP58" s="260"/>
      <c r="AQ58" s="260"/>
      <c r="AR58" s="260"/>
      <c r="AS58" s="260"/>
      <c r="AT58" s="260"/>
      <c r="AU58" s="260"/>
      <c r="AV58" s="260"/>
      <c r="AW58" s="261"/>
      <c r="AX58" s="262"/>
      <c r="AY58" s="262"/>
      <c r="AZ58" s="261"/>
      <c r="BA58" s="261"/>
      <c r="BB58" s="262"/>
      <c r="BC58" s="257"/>
      <c r="BD58" s="257"/>
      <c r="BE58" s="257"/>
      <c r="BF58" s="262"/>
      <c r="BG58" s="262"/>
      <c r="BH58" s="20"/>
      <c r="BI58" s="20"/>
      <c r="BJ58" s="20"/>
      <c r="BN58" s="214"/>
      <c r="BO58" s="214"/>
      <c r="BP58" s="214"/>
      <c r="BQ58" s="214"/>
      <c r="BR58" s="214"/>
      <c r="BS58" s="214"/>
    </row>
    <row r="59" spans="2:71" ht="30.75" hidden="1" customHeight="1" outlineLevel="1">
      <c r="B59" s="1347"/>
      <c r="C59" s="1348"/>
      <c r="D59" s="225"/>
      <c r="E59" s="269"/>
      <c r="G59" s="227"/>
      <c r="H59" s="1339"/>
      <c r="I59" s="1340"/>
      <c r="J59" s="1340"/>
      <c r="K59" s="1340"/>
      <c r="L59" s="1340"/>
      <c r="M59" s="1340"/>
      <c r="N59" s="1340"/>
      <c r="O59" s="1340"/>
      <c r="P59" s="1340"/>
      <c r="Q59" s="1341"/>
      <c r="R59" s="1341"/>
      <c r="S59" s="258"/>
      <c r="T59" s="258"/>
      <c r="U59" s="230"/>
      <c r="V59" s="214"/>
      <c r="AI59" s="259"/>
      <c r="AJ59" s="259"/>
      <c r="AK59" s="259"/>
      <c r="AL59" s="146"/>
      <c r="AM59" s="260"/>
      <c r="AN59" s="260"/>
      <c r="AO59" s="260"/>
      <c r="AP59" s="260"/>
      <c r="AQ59" s="260"/>
      <c r="AR59" s="260"/>
      <c r="AS59" s="260"/>
      <c r="AT59" s="260"/>
      <c r="AU59" s="260"/>
      <c r="AV59" s="260"/>
      <c r="AW59" s="261"/>
      <c r="AX59" s="262"/>
      <c r="AY59" s="262"/>
      <c r="AZ59" s="261"/>
      <c r="BA59" s="261"/>
      <c r="BB59" s="262"/>
      <c r="BC59" s="257"/>
      <c r="BD59" s="257"/>
      <c r="BE59" s="257"/>
      <c r="BF59" s="262"/>
      <c r="BG59" s="262"/>
      <c r="BH59" s="20"/>
      <c r="BI59" s="20"/>
      <c r="BJ59" s="20"/>
      <c r="BN59" s="214"/>
      <c r="BO59" s="214"/>
      <c r="BP59" s="214"/>
      <c r="BQ59" s="214"/>
      <c r="BR59" s="214"/>
      <c r="BS59" s="214"/>
    </row>
    <row r="60" spans="2:71" ht="30.75" hidden="1" customHeight="1" outlineLevel="1">
      <c r="B60" s="1347"/>
      <c r="C60" s="1348"/>
      <c r="D60" s="225"/>
      <c r="E60" s="224"/>
      <c r="F60" s="255"/>
      <c r="G60" s="227"/>
      <c r="H60" s="1339"/>
      <c r="I60" s="1340"/>
      <c r="J60" s="1340"/>
      <c r="K60" s="1340"/>
      <c r="L60" s="1340"/>
      <c r="M60" s="1340"/>
      <c r="N60" s="1340"/>
      <c r="O60" s="1340"/>
      <c r="P60" s="1340"/>
      <c r="Q60" s="1341"/>
      <c r="R60" s="1341"/>
      <c r="S60" s="235"/>
      <c r="T60" s="235"/>
      <c r="U60" s="230"/>
      <c r="V60" s="231"/>
      <c r="AI60" s="146"/>
      <c r="AJ60" s="146"/>
      <c r="AK60" s="146"/>
      <c r="AL60" s="146"/>
      <c r="AM60" s="146"/>
      <c r="AN60" s="146"/>
      <c r="AO60" s="146"/>
      <c r="AP60" s="146"/>
      <c r="AQ60" s="146"/>
      <c r="AR60" s="146"/>
      <c r="AS60" s="146"/>
      <c r="AT60" s="146"/>
      <c r="AU60" s="146"/>
      <c r="AV60" s="146"/>
      <c r="AW60" s="1354"/>
      <c r="AX60" s="1354"/>
      <c r="AY60" s="1354"/>
      <c r="AZ60" s="1354"/>
      <c r="BA60" s="1354"/>
      <c r="BB60" s="1354"/>
      <c r="BC60" s="1354"/>
      <c r="BD60" s="1354"/>
      <c r="BE60" s="1354"/>
      <c r="BF60" s="1354"/>
      <c r="BG60" s="1354"/>
      <c r="BH60" s="1354"/>
      <c r="BI60" s="1354"/>
      <c r="BJ60" s="1354"/>
      <c r="BN60" s="214"/>
      <c r="BO60" s="214"/>
      <c r="BP60" s="214"/>
      <c r="BQ60" s="214"/>
      <c r="BR60" s="214"/>
      <c r="BS60" s="214"/>
    </row>
    <row r="61" spans="2:71" ht="30.75" hidden="1" customHeight="1" outlineLevel="1" thickBot="1">
      <c r="B61" s="1347"/>
      <c r="C61" s="1348"/>
      <c r="D61" s="270"/>
      <c r="E61" s="271"/>
      <c r="F61" s="255"/>
      <c r="G61" s="227"/>
      <c r="H61" s="1339"/>
      <c r="I61" s="1340"/>
      <c r="J61" s="1340"/>
      <c r="K61" s="1340"/>
      <c r="L61" s="1340"/>
      <c r="M61" s="1340"/>
      <c r="N61" s="1340"/>
      <c r="O61" s="1340"/>
      <c r="P61" s="1340"/>
      <c r="Q61" s="1341"/>
      <c r="R61" s="1341"/>
      <c r="S61" s="235"/>
      <c r="T61" s="235"/>
      <c r="U61" s="230"/>
      <c r="V61" s="231"/>
      <c r="AI61" s="44"/>
      <c r="AJ61" s="44"/>
      <c r="AK61" s="44"/>
      <c r="AL61" s="272"/>
      <c r="AM61" s="260"/>
      <c r="AN61" s="260"/>
      <c r="AO61" s="260"/>
      <c r="AP61" s="260"/>
      <c r="AQ61" s="260"/>
      <c r="AR61" s="260"/>
      <c r="AS61" s="260"/>
      <c r="AT61" s="260"/>
      <c r="AU61" s="260"/>
      <c r="AV61" s="260"/>
      <c r="AW61" s="273"/>
      <c r="AX61" s="274"/>
      <c r="AY61" s="274"/>
      <c r="AZ61" s="275"/>
      <c r="BA61" s="275"/>
      <c r="BB61" s="274"/>
      <c r="BC61" s="274"/>
      <c r="BD61" s="274"/>
      <c r="BE61" s="274"/>
      <c r="BF61" s="274"/>
      <c r="BG61" s="274"/>
      <c r="BH61" s="275"/>
      <c r="BI61" s="275"/>
      <c r="BJ61" s="274"/>
      <c r="BN61" s="214"/>
      <c r="BO61" s="214"/>
      <c r="BP61" s="214"/>
      <c r="BQ61" s="214"/>
      <c r="BR61" s="214"/>
      <c r="BS61" s="214"/>
    </row>
    <row r="62" spans="2:71" ht="30.75" customHeight="1" thickTop="1" thickBot="1">
      <c r="B62" s="1347"/>
      <c r="C62" s="1348"/>
      <c r="D62" s="1369" t="s">
        <v>231</v>
      </c>
      <c r="E62" s="1370"/>
      <c r="F62" s="1370"/>
      <c r="G62" s="1371"/>
      <c r="H62" s="1339" t="s">
        <v>232</v>
      </c>
      <c r="I62" s="1340"/>
      <c r="J62" s="1340"/>
      <c r="K62" s="1340"/>
      <c r="L62" s="1340"/>
      <c r="M62" s="1340"/>
      <c r="N62" s="1340"/>
      <c r="O62" s="1340"/>
      <c r="P62" s="1340"/>
      <c r="Q62" s="1341"/>
      <c r="R62" s="1341"/>
      <c r="S62" s="266"/>
      <c r="T62" s="267"/>
      <c r="U62" s="220"/>
      <c r="V62" s="214"/>
      <c r="AI62" s="276"/>
      <c r="AJ62" s="276"/>
      <c r="AK62" s="276"/>
      <c r="AL62" s="272"/>
      <c r="AM62" s="260"/>
      <c r="AN62" s="260"/>
      <c r="AO62" s="260"/>
      <c r="AP62" s="260"/>
      <c r="AQ62" s="260"/>
      <c r="AR62" s="260"/>
      <c r="AS62" s="260"/>
      <c r="AT62" s="260"/>
      <c r="AU62" s="260"/>
      <c r="AV62" s="260"/>
      <c r="AW62" s="261"/>
      <c r="AX62" s="262"/>
      <c r="AY62" s="262"/>
      <c r="AZ62" s="261"/>
      <c r="BA62" s="261"/>
      <c r="BB62" s="262"/>
      <c r="BC62" s="257"/>
      <c r="BD62" s="257"/>
      <c r="BE62" s="257"/>
      <c r="BF62" s="262"/>
      <c r="BG62" s="262"/>
      <c r="BH62" s="20"/>
      <c r="BI62" s="20"/>
      <c r="BJ62" s="20"/>
      <c r="BN62" s="214"/>
      <c r="BO62" s="214"/>
      <c r="BP62" s="214"/>
      <c r="BQ62" s="214"/>
      <c r="BR62" s="214"/>
      <c r="BS62" s="214"/>
    </row>
    <row r="63" spans="2:71" ht="30.75" customHeight="1" thickTop="1">
      <c r="B63" s="1347"/>
      <c r="C63" s="1348"/>
      <c r="D63" s="277"/>
      <c r="G63" s="227"/>
      <c r="H63" s="1339"/>
      <c r="I63" s="1340"/>
      <c r="J63" s="1340"/>
      <c r="K63" s="1340"/>
      <c r="L63" s="1340"/>
      <c r="M63" s="1340"/>
      <c r="N63" s="1340"/>
      <c r="O63" s="1340"/>
      <c r="P63" s="1340"/>
      <c r="Q63" s="1341"/>
      <c r="R63" s="1341"/>
      <c r="S63" s="278"/>
      <c r="T63" s="278"/>
      <c r="U63" s="230"/>
      <c r="V63" s="214"/>
      <c r="AI63" s="259"/>
      <c r="AJ63" s="259"/>
      <c r="AK63" s="259"/>
      <c r="AL63" s="146"/>
      <c r="AM63" s="260"/>
      <c r="AN63" s="260"/>
      <c r="AO63" s="260"/>
      <c r="AP63" s="260"/>
      <c r="AQ63" s="260"/>
      <c r="AR63" s="260"/>
      <c r="AS63" s="260"/>
      <c r="AT63" s="260"/>
      <c r="AU63" s="260"/>
      <c r="AV63" s="260"/>
      <c r="AW63" s="261"/>
      <c r="AX63" s="262"/>
      <c r="AY63" s="262"/>
      <c r="AZ63" s="261"/>
      <c r="BA63" s="261"/>
      <c r="BB63" s="262"/>
      <c r="BC63" s="257"/>
      <c r="BD63" s="257"/>
      <c r="BE63" s="257"/>
      <c r="BF63" s="262"/>
      <c r="BG63" s="262"/>
      <c r="BH63" s="20"/>
      <c r="BI63" s="20"/>
      <c r="BJ63" s="20"/>
      <c r="BN63" s="214"/>
      <c r="BO63" s="214"/>
      <c r="BP63" s="214"/>
      <c r="BQ63" s="214"/>
      <c r="BR63" s="214"/>
      <c r="BS63" s="214"/>
    </row>
    <row r="64" spans="2:71" ht="30.75" customHeight="1">
      <c r="B64" s="223"/>
      <c r="C64" s="224"/>
      <c r="D64" s="225"/>
      <c r="G64" s="227"/>
      <c r="H64" s="1339"/>
      <c r="I64" s="1340"/>
      <c r="J64" s="1340"/>
      <c r="K64" s="1340"/>
      <c r="L64" s="1340"/>
      <c r="M64" s="1340"/>
      <c r="N64" s="1340"/>
      <c r="O64" s="1340"/>
      <c r="P64" s="1340"/>
      <c r="Q64" s="1341"/>
      <c r="R64" s="1341"/>
      <c r="S64" s="258"/>
      <c r="T64" s="258"/>
      <c r="U64" s="230"/>
      <c r="V64" s="214"/>
      <c r="AI64" s="259"/>
      <c r="AJ64" s="259"/>
      <c r="AK64" s="259"/>
      <c r="AL64" s="146"/>
      <c r="AM64" s="260"/>
      <c r="AN64" s="260"/>
      <c r="AO64" s="260"/>
      <c r="AP64" s="260"/>
      <c r="AQ64" s="260"/>
      <c r="AR64" s="260"/>
      <c r="AS64" s="260"/>
      <c r="AT64" s="260"/>
      <c r="AU64" s="260"/>
      <c r="AV64" s="260"/>
      <c r="AW64" s="261"/>
      <c r="AX64" s="262"/>
      <c r="AY64" s="262"/>
      <c r="AZ64" s="261"/>
      <c r="BA64" s="261"/>
      <c r="BB64" s="262"/>
      <c r="BC64" s="257"/>
      <c r="BD64" s="257"/>
      <c r="BE64" s="257"/>
      <c r="BF64" s="262"/>
      <c r="BG64" s="262"/>
      <c r="BH64" s="20"/>
      <c r="BI64" s="20"/>
      <c r="BJ64" s="20"/>
      <c r="BN64" s="214"/>
      <c r="BO64" s="214"/>
      <c r="BP64" s="214"/>
      <c r="BQ64" s="214"/>
      <c r="BR64" s="214"/>
      <c r="BS64" s="214"/>
    </row>
    <row r="65" spans="2:71" ht="30.75" customHeight="1">
      <c r="B65" s="223"/>
      <c r="C65" s="224"/>
      <c r="D65" s="225"/>
      <c r="G65" s="227"/>
      <c r="H65" s="1339"/>
      <c r="I65" s="1340"/>
      <c r="J65" s="1340"/>
      <c r="K65" s="1340"/>
      <c r="L65" s="1340"/>
      <c r="M65" s="1340"/>
      <c r="N65" s="1340"/>
      <c r="O65" s="1340"/>
      <c r="P65" s="1340"/>
      <c r="Q65" s="1341"/>
      <c r="R65" s="1341"/>
      <c r="S65" s="258"/>
      <c r="T65" s="258"/>
      <c r="U65" s="230"/>
      <c r="V65" s="214"/>
      <c r="AI65" s="259"/>
      <c r="AJ65" s="259"/>
      <c r="AK65" s="259"/>
      <c r="AL65" s="146"/>
      <c r="AM65" s="260"/>
      <c r="AN65" s="260"/>
      <c r="AO65" s="260"/>
      <c r="AP65" s="260"/>
      <c r="AQ65" s="260"/>
      <c r="AR65" s="260"/>
      <c r="AS65" s="260"/>
      <c r="AT65" s="260"/>
      <c r="AU65" s="260"/>
      <c r="AV65" s="260"/>
      <c r="AW65" s="261"/>
      <c r="AX65" s="262"/>
      <c r="AY65" s="262"/>
      <c r="AZ65" s="261"/>
      <c r="BA65" s="261"/>
      <c r="BB65" s="262"/>
      <c r="BC65" s="257"/>
      <c r="BD65" s="257"/>
      <c r="BE65" s="257"/>
      <c r="BF65" s="262"/>
      <c r="BG65" s="262"/>
      <c r="BH65" s="20"/>
      <c r="BI65" s="20"/>
      <c r="BJ65" s="20"/>
      <c r="BN65" s="214"/>
      <c r="BO65" s="214"/>
      <c r="BP65" s="214"/>
      <c r="BQ65" s="214"/>
      <c r="BR65" s="214"/>
      <c r="BS65" s="214"/>
    </row>
    <row r="66" spans="2:71" ht="30.75" customHeight="1" collapsed="1" thickBot="1">
      <c r="B66" s="223"/>
      <c r="C66" s="224"/>
      <c r="D66" s="225"/>
      <c r="G66" s="227"/>
      <c r="H66" s="1339"/>
      <c r="I66" s="1340"/>
      <c r="J66" s="1340"/>
      <c r="K66" s="1340"/>
      <c r="L66" s="1340"/>
      <c r="M66" s="1340"/>
      <c r="N66" s="1340"/>
      <c r="O66" s="1340"/>
      <c r="P66" s="1340"/>
      <c r="Q66" s="1341"/>
      <c r="R66" s="1341"/>
      <c r="S66" s="258"/>
      <c r="T66" s="258"/>
      <c r="U66" s="230"/>
      <c r="V66" s="214"/>
      <c r="Z66" s="213" t="s">
        <v>233</v>
      </c>
      <c r="AA66" s="178"/>
      <c r="AB66" s="178"/>
      <c r="AC66" s="178"/>
      <c r="AD66" s="178"/>
      <c r="AE66" s="178"/>
      <c r="AI66" s="259"/>
      <c r="AJ66" s="259"/>
      <c r="AK66" s="259"/>
      <c r="AL66" s="146"/>
      <c r="AM66" s="260"/>
      <c r="AN66" s="260"/>
      <c r="AO66" s="260"/>
      <c r="AP66" s="260"/>
      <c r="AQ66" s="260"/>
      <c r="AR66" s="260"/>
      <c r="AS66" s="260"/>
      <c r="AT66" s="260"/>
      <c r="AU66" s="260"/>
      <c r="AV66" s="260"/>
      <c r="AW66" s="261"/>
      <c r="AX66" s="262"/>
      <c r="AY66" s="262"/>
      <c r="AZ66" s="261"/>
      <c r="BA66" s="261"/>
      <c r="BB66" s="262"/>
      <c r="BC66" s="257"/>
      <c r="BD66" s="257"/>
      <c r="BE66" s="257"/>
      <c r="BF66" s="262"/>
      <c r="BG66" s="262"/>
      <c r="BH66" s="20"/>
      <c r="BI66" s="20"/>
      <c r="BJ66" s="20"/>
      <c r="BN66" s="214"/>
      <c r="BO66" s="214"/>
      <c r="BP66" s="214"/>
      <c r="BQ66" s="214"/>
      <c r="BR66" s="214"/>
      <c r="BS66" s="214"/>
    </row>
    <row r="67" spans="2:71" ht="30.75" hidden="1" customHeight="1" outlineLevel="1">
      <c r="B67" s="223"/>
      <c r="C67" s="224"/>
      <c r="D67" s="225"/>
      <c r="G67" s="227"/>
      <c r="H67" s="1339"/>
      <c r="I67" s="1340"/>
      <c r="J67" s="1340"/>
      <c r="K67" s="1340"/>
      <c r="L67" s="1340"/>
      <c r="M67" s="1340"/>
      <c r="N67" s="1340"/>
      <c r="O67" s="1340"/>
      <c r="P67" s="1340"/>
      <c r="Q67" s="1341"/>
      <c r="R67" s="1341"/>
      <c r="S67" s="258"/>
      <c r="T67" s="258"/>
      <c r="U67" s="230"/>
      <c r="V67" s="214"/>
      <c r="AI67" s="259"/>
      <c r="AJ67" s="259"/>
      <c r="AK67" s="259"/>
      <c r="AL67" s="146"/>
      <c r="AM67" s="260"/>
      <c r="AN67" s="260"/>
      <c r="AO67" s="260"/>
      <c r="AP67" s="260"/>
      <c r="AQ67" s="260"/>
      <c r="AR67" s="260"/>
      <c r="AS67" s="260"/>
      <c r="AT67" s="260"/>
      <c r="AU67" s="260"/>
      <c r="AV67" s="260"/>
      <c r="AW67" s="261"/>
      <c r="AX67" s="262"/>
      <c r="AY67" s="262"/>
      <c r="AZ67" s="261"/>
      <c r="BA67" s="261"/>
      <c r="BB67" s="262"/>
      <c r="BC67" s="257"/>
      <c r="BD67" s="257"/>
      <c r="BE67" s="257"/>
      <c r="BF67" s="262"/>
      <c r="BG67" s="262"/>
      <c r="BH67" s="20"/>
      <c r="BI67" s="20"/>
      <c r="BJ67" s="20"/>
      <c r="BN67" s="214"/>
      <c r="BO67" s="214"/>
      <c r="BP67" s="214"/>
      <c r="BQ67" s="214"/>
      <c r="BR67" s="214"/>
      <c r="BS67" s="214"/>
    </row>
    <row r="68" spans="2:71" ht="30.75" hidden="1" customHeight="1" outlineLevel="1">
      <c r="B68" s="223"/>
      <c r="C68" s="224"/>
      <c r="D68" s="225"/>
      <c r="G68" s="227"/>
      <c r="H68" s="1339"/>
      <c r="I68" s="1340"/>
      <c r="J68" s="1340"/>
      <c r="K68" s="1340"/>
      <c r="L68" s="1340"/>
      <c r="M68" s="1340"/>
      <c r="N68" s="1340"/>
      <c r="O68" s="1340"/>
      <c r="P68" s="1340"/>
      <c r="Q68" s="1341"/>
      <c r="R68" s="1341"/>
      <c r="S68" s="258"/>
      <c r="T68" s="258"/>
      <c r="U68" s="230"/>
      <c r="V68" s="214"/>
      <c r="AI68" s="259"/>
      <c r="AJ68" s="259"/>
      <c r="AK68" s="259"/>
      <c r="AL68" s="146"/>
      <c r="AM68" s="260"/>
      <c r="AN68" s="260"/>
      <c r="AO68" s="260"/>
      <c r="AP68" s="260"/>
      <c r="AQ68" s="260"/>
      <c r="AR68" s="260"/>
      <c r="AS68" s="260"/>
      <c r="AT68" s="260"/>
      <c r="AU68" s="260"/>
      <c r="AV68" s="260"/>
      <c r="AW68" s="261"/>
      <c r="AX68" s="262"/>
      <c r="AY68" s="262"/>
      <c r="AZ68" s="261"/>
      <c r="BA68" s="261"/>
      <c r="BB68" s="262"/>
      <c r="BC68" s="257"/>
      <c r="BD68" s="257"/>
      <c r="BE68" s="257"/>
      <c r="BF68" s="262"/>
      <c r="BG68" s="262"/>
      <c r="BH68" s="20"/>
      <c r="BI68" s="20"/>
      <c r="BJ68" s="20"/>
      <c r="BN68" s="214"/>
      <c r="BO68" s="214"/>
      <c r="BP68" s="214"/>
      <c r="BQ68" s="214"/>
      <c r="BR68" s="214"/>
      <c r="BS68" s="214"/>
    </row>
    <row r="69" spans="2:71" ht="30.75" hidden="1" customHeight="1" outlineLevel="1">
      <c r="B69" s="223"/>
      <c r="C69" s="224"/>
      <c r="D69" s="225"/>
      <c r="G69" s="227"/>
      <c r="H69" s="1339"/>
      <c r="I69" s="1340"/>
      <c r="J69" s="1340"/>
      <c r="K69" s="1340"/>
      <c r="L69" s="1340"/>
      <c r="M69" s="1340"/>
      <c r="N69" s="1340"/>
      <c r="O69" s="1340"/>
      <c r="P69" s="1340"/>
      <c r="Q69" s="1341"/>
      <c r="R69" s="1341"/>
      <c r="S69" s="258"/>
      <c r="T69" s="258"/>
      <c r="U69" s="230"/>
      <c r="V69" s="214"/>
      <c r="AI69" s="259"/>
      <c r="AJ69" s="259"/>
      <c r="AK69" s="259"/>
      <c r="AL69" s="146"/>
      <c r="AM69" s="260"/>
      <c r="AN69" s="260"/>
      <c r="AO69" s="260"/>
      <c r="AP69" s="260"/>
      <c r="AQ69" s="260"/>
      <c r="AR69" s="260"/>
      <c r="AS69" s="260"/>
      <c r="AT69" s="260"/>
      <c r="AU69" s="260"/>
      <c r="AV69" s="260"/>
      <c r="AW69" s="261"/>
      <c r="AX69" s="262"/>
      <c r="AY69" s="262"/>
      <c r="AZ69" s="261"/>
      <c r="BA69" s="261"/>
      <c r="BB69" s="262"/>
      <c r="BC69" s="257"/>
      <c r="BD69" s="257"/>
      <c r="BE69" s="257"/>
      <c r="BF69" s="262"/>
      <c r="BG69" s="262"/>
      <c r="BH69" s="20"/>
      <c r="BI69" s="20"/>
      <c r="BJ69" s="20"/>
      <c r="BN69" s="214"/>
      <c r="BO69" s="214"/>
      <c r="BP69" s="214"/>
      <c r="BQ69" s="214"/>
      <c r="BR69" s="214"/>
      <c r="BS69" s="214"/>
    </row>
    <row r="70" spans="2:71" ht="30.75" hidden="1" customHeight="1" outlineLevel="1">
      <c r="B70" s="223"/>
      <c r="C70" s="224"/>
      <c r="D70" s="225"/>
      <c r="G70" s="227"/>
      <c r="H70" s="1339"/>
      <c r="I70" s="1340"/>
      <c r="J70" s="1340"/>
      <c r="K70" s="1340"/>
      <c r="L70" s="1340"/>
      <c r="M70" s="1340"/>
      <c r="N70" s="1340"/>
      <c r="O70" s="1340"/>
      <c r="P70" s="1340"/>
      <c r="Q70" s="1341"/>
      <c r="R70" s="1341"/>
      <c r="S70" s="258"/>
      <c r="T70" s="258"/>
      <c r="U70" s="230"/>
      <c r="V70" s="214"/>
      <c r="AI70" s="259"/>
      <c r="AJ70" s="259"/>
      <c r="AK70" s="259"/>
      <c r="AL70" s="146"/>
      <c r="AM70" s="260"/>
      <c r="AN70" s="260"/>
      <c r="AO70" s="260"/>
      <c r="AP70" s="260"/>
      <c r="AQ70" s="260"/>
      <c r="AR70" s="260"/>
      <c r="AS70" s="260"/>
      <c r="AT70" s="260"/>
      <c r="AU70" s="260"/>
      <c r="AV70" s="260"/>
      <c r="AW70" s="261"/>
      <c r="AX70" s="262"/>
      <c r="AY70" s="262"/>
      <c r="AZ70" s="261"/>
      <c r="BA70" s="261"/>
      <c r="BB70" s="262"/>
      <c r="BC70" s="257"/>
      <c r="BD70" s="257"/>
      <c r="BE70" s="257"/>
      <c r="BF70" s="262"/>
      <c r="BG70" s="262"/>
      <c r="BH70" s="20"/>
      <c r="BI70" s="20"/>
      <c r="BJ70" s="20"/>
      <c r="BN70" s="214"/>
      <c r="BO70" s="214"/>
      <c r="BP70" s="214"/>
      <c r="BQ70" s="214"/>
      <c r="BR70" s="214"/>
      <c r="BS70" s="214"/>
    </row>
    <row r="71" spans="2:71" ht="30.75" hidden="1" customHeight="1" outlineLevel="1">
      <c r="B71" s="223"/>
      <c r="C71" s="224"/>
      <c r="D71" s="225"/>
      <c r="G71" s="227"/>
      <c r="H71" s="1339"/>
      <c r="I71" s="1340"/>
      <c r="J71" s="1340"/>
      <c r="K71" s="1340"/>
      <c r="L71" s="1340"/>
      <c r="M71" s="1340"/>
      <c r="N71" s="1340"/>
      <c r="O71" s="1340"/>
      <c r="P71" s="1340"/>
      <c r="Q71" s="1341"/>
      <c r="R71" s="1341"/>
      <c r="S71" s="258"/>
      <c r="T71" s="258"/>
      <c r="U71" s="230"/>
      <c r="V71" s="214"/>
      <c r="AI71" s="259"/>
      <c r="AJ71" s="259"/>
      <c r="AK71" s="259"/>
      <c r="AL71" s="146"/>
      <c r="AM71" s="260"/>
      <c r="AN71" s="260"/>
      <c r="AO71" s="260"/>
      <c r="AP71" s="260"/>
      <c r="AQ71" s="260"/>
      <c r="AR71" s="260"/>
      <c r="AS71" s="260"/>
      <c r="AT71" s="260"/>
      <c r="AU71" s="260"/>
      <c r="AV71" s="260"/>
      <c r="AW71" s="261"/>
      <c r="AX71" s="262"/>
      <c r="AY71" s="262"/>
      <c r="AZ71" s="261"/>
      <c r="BA71" s="261"/>
      <c r="BB71" s="262"/>
      <c r="BC71" s="257"/>
      <c r="BD71" s="257"/>
      <c r="BE71" s="257"/>
      <c r="BF71" s="262"/>
      <c r="BG71" s="262"/>
      <c r="BH71" s="20"/>
      <c r="BI71" s="20"/>
      <c r="BJ71" s="20"/>
      <c r="BN71" s="214"/>
      <c r="BO71" s="214"/>
      <c r="BP71" s="214"/>
      <c r="BQ71" s="214"/>
      <c r="BR71" s="214"/>
      <c r="BS71" s="214"/>
    </row>
    <row r="72" spans="2:71" ht="30.75" hidden="1" customHeight="1" outlineLevel="1">
      <c r="B72" s="223"/>
      <c r="C72" s="224"/>
      <c r="D72" s="225"/>
      <c r="G72" s="227"/>
      <c r="H72" s="1339"/>
      <c r="I72" s="1340"/>
      <c r="J72" s="1340"/>
      <c r="K72" s="1340"/>
      <c r="L72" s="1340"/>
      <c r="M72" s="1340"/>
      <c r="N72" s="1340"/>
      <c r="O72" s="1340"/>
      <c r="P72" s="1340"/>
      <c r="Q72" s="1341"/>
      <c r="R72" s="1341"/>
      <c r="S72" s="258"/>
      <c r="T72" s="258"/>
      <c r="U72" s="230"/>
      <c r="V72" s="214"/>
      <c r="AI72" s="259"/>
      <c r="AJ72" s="259"/>
      <c r="AK72" s="259"/>
      <c r="AL72" s="146"/>
      <c r="AM72" s="260"/>
      <c r="AN72" s="260"/>
      <c r="AO72" s="260"/>
      <c r="AP72" s="260"/>
      <c r="AQ72" s="260"/>
      <c r="AR72" s="260"/>
      <c r="AS72" s="260"/>
      <c r="AT72" s="260"/>
      <c r="AU72" s="260"/>
      <c r="AV72" s="260"/>
      <c r="AW72" s="261"/>
      <c r="AX72" s="262"/>
      <c r="AY72" s="262"/>
      <c r="AZ72" s="261"/>
      <c r="BA72" s="261"/>
      <c r="BB72" s="262"/>
      <c r="BC72" s="257"/>
      <c r="BD72" s="257"/>
      <c r="BE72" s="257"/>
      <c r="BF72" s="262"/>
      <c r="BG72" s="262"/>
      <c r="BH72" s="20"/>
      <c r="BI72" s="20"/>
      <c r="BJ72" s="20"/>
      <c r="BN72" s="214"/>
      <c r="BO72" s="214"/>
      <c r="BP72" s="214"/>
      <c r="BQ72" s="214"/>
      <c r="BR72" s="214"/>
      <c r="BS72" s="214"/>
    </row>
    <row r="73" spans="2:71" ht="30.75" hidden="1" customHeight="1" outlineLevel="1">
      <c r="B73" s="223"/>
      <c r="C73" s="224"/>
      <c r="D73" s="225"/>
      <c r="G73" s="227"/>
      <c r="H73" s="1339"/>
      <c r="I73" s="1340"/>
      <c r="J73" s="1340"/>
      <c r="K73" s="1340"/>
      <c r="L73" s="1340"/>
      <c r="M73" s="1340"/>
      <c r="N73" s="1340"/>
      <c r="O73" s="1340"/>
      <c r="P73" s="1340"/>
      <c r="Q73" s="1341"/>
      <c r="R73" s="1341"/>
      <c r="S73" s="258"/>
      <c r="T73" s="258"/>
      <c r="U73" s="230"/>
      <c r="V73" s="214"/>
      <c r="AI73" s="259"/>
      <c r="AJ73" s="259"/>
      <c r="AK73" s="259"/>
      <c r="AL73" s="146"/>
      <c r="AM73" s="260"/>
      <c r="AN73" s="260"/>
      <c r="AO73" s="260"/>
      <c r="AP73" s="260"/>
      <c r="AQ73" s="260"/>
      <c r="AR73" s="260"/>
      <c r="AS73" s="260"/>
      <c r="AT73" s="260"/>
      <c r="AU73" s="260"/>
      <c r="AV73" s="260"/>
      <c r="AW73" s="261"/>
      <c r="AX73" s="262"/>
      <c r="AY73" s="262"/>
      <c r="AZ73" s="261"/>
      <c r="BA73" s="261"/>
      <c r="BB73" s="262"/>
      <c r="BC73" s="257"/>
      <c r="BD73" s="257"/>
      <c r="BE73" s="257"/>
      <c r="BF73" s="262"/>
      <c r="BG73" s="262"/>
      <c r="BH73" s="20"/>
      <c r="BI73" s="20"/>
      <c r="BJ73" s="20"/>
      <c r="BN73" s="214"/>
      <c r="BO73" s="214"/>
      <c r="BP73" s="214"/>
      <c r="BQ73" s="214"/>
      <c r="BR73" s="214"/>
      <c r="BS73" s="214"/>
    </row>
    <row r="74" spans="2:71" ht="30.75" hidden="1" customHeight="1" outlineLevel="1">
      <c r="B74" s="223"/>
      <c r="C74" s="224"/>
      <c r="D74" s="225"/>
      <c r="G74" s="227"/>
      <c r="H74" s="1339"/>
      <c r="I74" s="1340"/>
      <c r="J74" s="1340"/>
      <c r="K74" s="1340"/>
      <c r="L74" s="1340"/>
      <c r="M74" s="1340"/>
      <c r="N74" s="1340"/>
      <c r="O74" s="1340"/>
      <c r="P74" s="1340"/>
      <c r="Q74" s="1341"/>
      <c r="R74" s="1341"/>
      <c r="S74" s="258"/>
      <c r="T74" s="258"/>
      <c r="U74" s="230"/>
      <c r="V74" s="214"/>
      <c r="AI74" s="259"/>
      <c r="AJ74" s="259"/>
      <c r="AK74" s="259"/>
      <c r="AL74" s="146"/>
      <c r="AM74" s="260"/>
      <c r="AN74" s="260"/>
      <c r="AO74" s="260"/>
      <c r="AP74" s="260"/>
      <c r="AQ74" s="260"/>
      <c r="AR74" s="260"/>
      <c r="AS74" s="260"/>
      <c r="AT74" s="260"/>
      <c r="AU74" s="260"/>
      <c r="AV74" s="260"/>
      <c r="AW74" s="261"/>
      <c r="AX74" s="262"/>
      <c r="AY74" s="262"/>
      <c r="AZ74" s="261"/>
      <c r="BA74" s="261"/>
      <c r="BB74" s="262"/>
      <c r="BC74" s="257"/>
      <c r="BD74" s="257"/>
      <c r="BE74" s="257"/>
      <c r="BF74" s="262"/>
      <c r="BG74" s="262"/>
      <c r="BH74" s="20"/>
      <c r="BI74" s="20"/>
      <c r="BJ74" s="20"/>
      <c r="BN74" s="214"/>
      <c r="BO74" s="214"/>
      <c r="BP74" s="214"/>
      <c r="BQ74" s="214"/>
      <c r="BR74" s="214"/>
      <c r="BS74" s="214"/>
    </row>
    <row r="75" spans="2:71" ht="30.75" hidden="1" customHeight="1" outlineLevel="1">
      <c r="B75" s="223"/>
      <c r="C75" s="224"/>
      <c r="D75" s="225"/>
      <c r="G75" s="227"/>
      <c r="H75" s="1339"/>
      <c r="I75" s="1340"/>
      <c r="J75" s="1340"/>
      <c r="K75" s="1340"/>
      <c r="L75" s="1340"/>
      <c r="M75" s="1340"/>
      <c r="N75" s="1340"/>
      <c r="O75" s="1340"/>
      <c r="P75" s="1340"/>
      <c r="Q75" s="1341"/>
      <c r="R75" s="1341"/>
      <c r="S75" s="258"/>
      <c r="T75" s="258"/>
      <c r="U75" s="230"/>
      <c r="V75" s="214"/>
      <c r="AI75" s="259"/>
      <c r="AJ75" s="259"/>
      <c r="AK75" s="259"/>
      <c r="AL75" s="146"/>
      <c r="AM75" s="260"/>
      <c r="AN75" s="260"/>
      <c r="AO75" s="260"/>
      <c r="AP75" s="260"/>
      <c r="AQ75" s="260"/>
      <c r="AR75" s="260"/>
      <c r="AS75" s="260"/>
      <c r="AT75" s="260"/>
      <c r="AU75" s="260"/>
      <c r="AV75" s="260"/>
      <c r="AW75" s="261"/>
      <c r="AX75" s="262"/>
      <c r="AY75" s="262"/>
      <c r="AZ75" s="261"/>
      <c r="BA75" s="261"/>
      <c r="BB75" s="262"/>
      <c r="BC75" s="257"/>
      <c r="BD75" s="257"/>
      <c r="BE75" s="257"/>
      <c r="BF75" s="262"/>
      <c r="BG75" s="262"/>
      <c r="BH75" s="20"/>
      <c r="BI75" s="20"/>
      <c r="BJ75" s="20"/>
      <c r="BN75" s="214"/>
      <c r="BO75" s="214"/>
      <c r="BP75" s="214"/>
      <c r="BQ75" s="214"/>
      <c r="BR75" s="214"/>
      <c r="BS75" s="214"/>
    </row>
    <row r="76" spans="2:71" ht="30.75" hidden="1" customHeight="1" outlineLevel="1">
      <c r="B76" s="223"/>
      <c r="C76" s="224"/>
      <c r="D76" s="225"/>
      <c r="G76" s="227"/>
      <c r="H76" s="1339"/>
      <c r="I76" s="1340"/>
      <c r="J76" s="1340"/>
      <c r="K76" s="1340"/>
      <c r="L76" s="1340"/>
      <c r="M76" s="1340"/>
      <c r="N76" s="1340"/>
      <c r="O76" s="1340"/>
      <c r="P76" s="1340"/>
      <c r="Q76" s="1341"/>
      <c r="R76" s="1341"/>
      <c r="S76" s="258"/>
      <c r="T76" s="258"/>
      <c r="U76" s="230"/>
      <c r="V76" s="214"/>
      <c r="AI76" s="259"/>
      <c r="AJ76" s="259"/>
      <c r="AK76" s="259"/>
      <c r="AL76" s="146"/>
      <c r="AM76" s="260"/>
      <c r="AN76" s="260"/>
      <c r="AO76" s="260"/>
      <c r="AP76" s="260"/>
      <c r="AQ76" s="260"/>
      <c r="AR76" s="260"/>
      <c r="AS76" s="260"/>
      <c r="AT76" s="260"/>
      <c r="AU76" s="260"/>
      <c r="AV76" s="260"/>
      <c r="AW76" s="261"/>
      <c r="AX76" s="262"/>
      <c r="AY76" s="262"/>
      <c r="AZ76" s="261"/>
      <c r="BA76" s="261"/>
      <c r="BB76" s="262"/>
      <c r="BC76" s="257"/>
      <c r="BD76" s="257"/>
      <c r="BE76" s="257"/>
      <c r="BF76" s="262"/>
      <c r="BG76" s="262"/>
      <c r="BH76" s="20"/>
      <c r="BI76" s="20"/>
      <c r="BJ76" s="20"/>
      <c r="BN76" s="214"/>
      <c r="BO76" s="214"/>
      <c r="BP76" s="214"/>
      <c r="BQ76" s="214"/>
      <c r="BR76" s="214"/>
      <c r="BS76" s="214"/>
    </row>
    <row r="77" spans="2:71" ht="30.75" hidden="1" customHeight="1" outlineLevel="1" thickBot="1">
      <c r="B77" s="223"/>
      <c r="C77" s="224"/>
      <c r="D77" s="225"/>
      <c r="G77" s="227"/>
      <c r="H77" s="1339"/>
      <c r="I77" s="1340"/>
      <c r="J77" s="1340"/>
      <c r="K77" s="1340"/>
      <c r="L77" s="1340"/>
      <c r="M77" s="1340"/>
      <c r="N77" s="1340"/>
      <c r="O77" s="1340"/>
      <c r="P77" s="1340"/>
      <c r="Q77" s="1341"/>
      <c r="R77" s="1341"/>
      <c r="S77" s="258"/>
      <c r="T77" s="258"/>
      <c r="U77" s="230"/>
      <c r="V77" s="214"/>
      <c r="AI77" s="259"/>
      <c r="AJ77" s="259"/>
      <c r="AK77" s="259"/>
      <c r="AL77" s="146"/>
      <c r="AM77" s="260"/>
      <c r="AN77" s="260"/>
      <c r="AO77" s="260"/>
      <c r="AP77" s="260"/>
      <c r="AQ77" s="260"/>
      <c r="AR77" s="260"/>
      <c r="AS77" s="260"/>
      <c r="AT77" s="260"/>
      <c r="AU77" s="260"/>
      <c r="AV77" s="260"/>
      <c r="AW77" s="261"/>
      <c r="AX77" s="262"/>
      <c r="AY77" s="262"/>
      <c r="AZ77" s="261"/>
      <c r="BA77" s="261"/>
      <c r="BB77" s="262"/>
      <c r="BC77" s="257"/>
      <c r="BD77" s="257"/>
      <c r="BE77" s="257"/>
      <c r="BF77" s="262"/>
      <c r="BG77" s="262"/>
      <c r="BH77" s="20"/>
      <c r="BI77" s="20"/>
      <c r="BJ77" s="20"/>
      <c r="BN77" s="214"/>
      <c r="BO77" s="214"/>
      <c r="BP77" s="214"/>
      <c r="BQ77" s="214"/>
      <c r="BR77" s="214"/>
      <c r="BS77" s="214"/>
    </row>
    <row r="78" spans="2:71" ht="30.75" customHeight="1" thickTop="1" thickBot="1">
      <c r="B78" s="279"/>
      <c r="C78" s="271"/>
      <c r="D78" s="1359" t="s">
        <v>227</v>
      </c>
      <c r="E78" s="1360"/>
      <c r="F78" s="1360"/>
      <c r="G78" s="1361"/>
      <c r="H78" s="1372" t="s">
        <v>234</v>
      </c>
      <c r="I78" s="1373"/>
      <c r="J78" s="1373"/>
      <c r="K78" s="1373"/>
      <c r="L78" s="1373"/>
      <c r="M78" s="1373"/>
      <c r="N78" s="1373"/>
      <c r="O78" s="1373"/>
      <c r="P78" s="1373"/>
      <c r="Q78" s="1341"/>
      <c r="R78" s="1362"/>
      <c r="S78" s="218"/>
      <c r="T78" s="253"/>
      <c r="U78" s="220"/>
      <c r="V78" s="214"/>
      <c r="Z78" s="1374" t="s">
        <v>55</v>
      </c>
      <c r="AA78" s="1375"/>
      <c r="AB78" s="1376"/>
      <c r="AC78" s="221" t="s">
        <v>215</v>
      </c>
      <c r="AD78" s="280" t="s">
        <v>216</v>
      </c>
      <c r="AE78" s="134" t="s">
        <v>217</v>
      </c>
      <c r="BN78" s="214"/>
      <c r="BO78" s="214"/>
      <c r="BP78" s="214"/>
      <c r="BQ78" s="214"/>
      <c r="BR78" s="214"/>
      <c r="BS78" s="214"/>
    </row>
    <row r="79" spans="2:71" ht="30.75" customHeight="1" thickTop="1">
      <c r="B79" s="1355" t="s">
        <v>235</v>
      </c>
      <c r="C79" s="1356"/>
      <c r="D79" s="1359" t="s">
        <v>236</v>
      </c>
      <c r="E79" s="1360"/>
      <c r="F79" s="1360"/>
      <c r="G79" s="1361"/>
      <c r="H79" s="1339" t="s">
        <v>237</v>
      </c>
      <c r="I79" s="1340"/>
      <c r="J79" s="1340"/>
      <c r="K79" s="1340"/>
      <c r="L79" s="1340"/>
      <c r="M79" s="1340"/>
      <c r="N79" s="1340"/>
      <c r="O79" s="1340"/>
      <c r="P79" s="1340"/>
      <c r="Q79" s="1341"/>
      <c r="R79" s="1362"/>
      <c r="S79" s="281"/>
      <c r="T79" s="1363"/>
      <c r="U79" s="282"/>
      <c r="V79" s="214"/>
      <c r="Z79" s="1366" t="s">
        <v>238</v>
      </c>
      <c r="AA79" s="1377" t="s">
        <v>239</v>
      </c>
      <c r="AB79" s="1378"/>
      <c r="AC79" s="283">
        <f>S79</f>
        <v>0</v>
      </c>
      <c r="AD79" s="284"/>
      <c r="AE79" s="285">
        <f>ROUND(AC79/60*AD79,)</f>
        <v>0</v>
      </c>
      <c r="BN79" s="214"/>
      <c r="BO79" s="214"/>
      <c r="BP79" s="214"/>
      <c r="BQ79" s="214"/>
      <c r="BR79" s="214"/>
      <c r="BS79" s="214"/>
    </row>
    <row r="80" spans="2:71" ht="30.75" customHeight="1">
      <c r="B80" s="1347"/>
      <c r="C80" s="1348"/>
      <c r="D80" s="1359" t="s">
        <v>240</v>
      </c>
      <c r="E80" s="1360"/>
      <c r="F80" s="1360"/>
      <c r="G80" s="1361"/>
      <c r="H80" s="1339" t="s">
        <v>241</v>
      </c>
      <c r="I80" s="1340"/>
      <c r="J80" s="1340"/>
      <c r="K80" s="1340"/>
      <c r="L80" s="1340"/>
      <c r="M80" s="1340"/>
      <c r="N80" s="1340"/>
      <c r="O80" s="1340"/>
      <c r="P80" s="1340"/>
      <c r="Q80" s="1341"/>
      <c r="R80" s="1362"/>
      <c r="S80" s="281"/>
      <c r="T80" s="1364"/>
      <c r="U80" s="282"/>
      <c r="V80" s="214"/>
      <c r="Z80" s="1367"/>
      <c r="AA80" s="1377" t="s">
        <v>240</v>
      </c>
      <c r="AB80" s="1378"/>
      <c r="AC80" s="283">
        <f>S80</f>
        <v>0</v>
      </c>
      <c r="AD80" s="286"/>
      <c r="AE80" s="285">
        <f>ROUND(AC80/60*AD80,)</f>
        <v>0</v>
      </c>
      <c r="BN80" s="214"/>
      <c r="BO80" s="214"/>
      <c r="BP80" s="214"/>
      <c r="BQ80" s="214"/>
      <c r="BR80" s="214"/>
      <c r="BS80" s="214"/>
    </row>
    <row r="81" spans="1:71" ht="30.75" customHeight="1" thickBot="1">
      <c r="B81" s="1357"/>
      <c r="C81" s="1358"/>
      <c r="D81" s="1379" t="s">
        <v>227</v>
      </c>
      <c r="E81" s="1380"/>
      <c r="F81" s="1380"/>
      <c r="G81" s="1381"/>
      <c r="H81" s="1382" t="s">
        <v>242</v>
      </c>
      <c r="I81" s="1383"/>
      <c r="J81" s="1383"/>
      <c r="K81" s="1383"/>
      <c r="L81" s="1383"/>
      <c r="M81" s="1383"/>
      <c r="N81" s="1383"/>
      <c r="O81" s="1383"/>
      <c r="P81" s="1383"/>
      <c r="Q81" s="1384"/>
      <c r="R81" s="1385"/>
      <c r="S81" s="287"/>
      <c r="T81" s="1365"/>
      <c r="U81" s="282"/>
      <c r="V81" s="214"/>
      <c r="Z81" s="1368"/>
      <c r="AA81" s="1377" t="s">
        <v>227</v>
      </c>
      <c r="AB81" s="1378"/>
      <c r="AC81" s="283">
        <f>S81</f>
        <v>0</v>
      </c>
      <c r="AD81" s="288"/>
      <c r="AE81" s="285">
        <f>ROUND(AC81/60*AD81,)</f>
        <v>0</v>
      </c>
      <c r="BN81" s="214"/>
      <c r="BO81" s="214"/>
      <c r="BP81" s="214"/>
      <c r="BQ81" s="214"/>
      <c r="BR81" s="214"/>
      <c r="BS81" s="214"/>
    </row>
    <row r="82" spans="1:71" ht="14.25" customHeight="1" thickTop="1">
      <c r="B82" s="289"/>
      <c r="T82" s="290"/>
      <c r="U82" s="291"/>
      <c r="V82" s="290"/>
      <c r="Z82" s="1399" t="s">
        <v>243</v>
      </c>
      <c r="AA82" s="1399"/>
      <c r="AB82" s="1399"/>
      <c r="AC82" s="1388">
        <f>SUM(AC79:AC81)</f>
        <v>0</v>
      </c>
      <c r="AD82" s="1386">
        <f>IF(AND(AC82&gt;0,AE82&gt;0),ROUND(AE82/AC82*リスト!$C$23,2),)</f>
        <v>0</v>
      </c>
      <c r="AE82" s="1388">
        <f>SUM(AE79:AE81)</f>
        <v>0</v>
      </c>
    </row>
    <row r="83" spans="1:71" ht="14.25" customHeight="1">
      <c r="B83" s="289"/>
      <c r="T83" s="290"/>
      <c r="U83" s="291"/>
      <c r="V83" s="290"/>
      <c r="Z83" s="1406"/>
      <c r="AA83" s="1406"/>
      <c r="AB83" s="1406"/>
      <c r="AC83" s="1389"/>
      <c r="AD83" s="1387"/>
      <c r="AE83" s="1389"/>
    </row>
    <row r="84" spans="1:71" s="178" customFormat="1" ht="14.25" customHeight="1">
      <c r="A84" s="108" t="s">
        <v>244</v>
      </c>
      <c r="B84" s="30"/>
      <c r="C84" s="132"/>
      <c r="D84" s="132"/>
      <c r="E84" s="132"/>
      <c r="F84" s="132"/>
      <c r="G84" s="132"/>
      <c r="H84" s="132"/>
      <c r="I84" s="132"/>
      <c r="J84" s="132"/>
      <c r="K84" s="132"/>
      <c r="L84" s="132"/>
      <c r="M84" s="132"/>
      <c r="N84" s="132"/>
      <c r="O84" s="132"/>
      <c r="P84" s="132"/>
      <c r="Q84" s="132"/>
      <c r="R84" s="132"/>
      <c r="S84" s="132"/>
      <c r="T84" s="2"/>
      <c r="U84" s="196"/>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78" customFormat="1" ht="14.25" customHeight="1">
      <c r="A85" s="30"/>
      <c r="B85" s="58" t="s">
        <v>245</v>
      </c>
      <c r="C85" s="30"/>
      <c r="D85" s="110"/>
      <c r="E85" s="110"/>
      <c r="F85" s="110"/>
      <c r="G85" s="110"/>
      <c r="H85" s="110"/>
      <c r="I85" s="110"/>
      <c r="J85" s="110"/>
      <c r="K85" s="110"/>
      <c r="L85" s="110"/>
      <c r="M85" s="110"/>
      <c r="N85" s="110"/>
      <c r="O85" s="110"/>
      <c r="P85" s="110"/>
      <c r="Q85" s="110"/>
      <c r="R85" s="110"/>
      <c r="S85" s="110"/>
      <c r="T85" s="110"/>
      <c r="U85" s="196"/>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78" customFormat="1" ht="14.25" customHeight="1">
      <c r="A86" s="30"/>
      <c r="B86" s="58" t="s">
        <v>246</v>
      </c>
      <c r="C86" s="30"/>
      <c r="D86" s="110"/>
      <c r="E86" s="110"/>
      <c r="F86" s="110"/>
      <c r="G86" s="110"/>
      <c r="H86" s="110"/>
      <c r="I86" s="110"/>
      <c r="J86" s="110"/>
      <c r="K86" s="110"/>
      <c r="L86" s="110"/>
      <c r="M86" s="110"/>
      <c r="N86" s="110"/>
      <c r="O86" s="110"/>
      <c r="P86" s="110"/>
      <c r="Q86" s="110"/>
      <c r="R86" s="110"/>
      <c r="S86" s="110"/>
      <c r="T86" s="110"/>
      <c r="U86" s="196"/>
      <c r="W86" s="2"/>
      <c r="X86" s="2"/>
      <c r="Y86" s="2"/>
      <c r="Z86" s="108" t="s">
        <v>247</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248</v>
      </c>
      <c r="C87" s="30"/>
      <c r="D87" s="110"/>
      <c r="E87" s="110"/>
      <c r="F87" s="110"/>
      <c r="G87" s="110"/>
      <c r="H87" s="110"/>
      <c r="I87" s="110"/>
      <c r="J87" s="110"/>
      <c r="K87" s="110"/>
      <c r="L87" s="110"/>
      <c r="M87" s="110"/>
      <c r="N87" s="110"/>
      <c r="O87" s="110"/>
      <c r="P87" s="110"/>
      <c r="Q87" s="110"/>
      <c r="R87" s="110"/>
      <c r="S87" s="110"/>
      <c r="T87" s="110"/>
    </row>
    <row r="88" spans="1:71" ht="14.25" customHeight="1">
      <c r="B88" s="51" t="s">
        <v>249</v>
      </c>
      <c r="C88" s="51"/>
      <c r="D88" s="110"/>
      <c r="E88" s="110"/>
      <c r="F88" s="110"/>
      <c r="G88" s="110"/>
      <c r="H88" s="110"/>
      <c r="I88" s="110"/>
      <c r="J88" s="110"/>
      <c r="K88" s="110"/>
      <c r="L88" s="110"/>
      <c r="M88" s="110"/>
      <c r="N88" s="110"/>
      <c r="O88" s="110"/>
      <c r="P88" s="110"/>
      <c r="Q88" s="110"/>
      <c r="R88" s="110"/>
      <c r="S88" s="110"/>
      <c r="T88" s="110"/>
      <c r="Z88" s="213" t="s">
        <v>250</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233</v>
      </c>
    </row>
    <row r="90" spans="1:71" ht="17.25" customHeight="1" thickBot="1">
      <c r="B90" s="1390" t="s">
        <v>55</v>
      </c>
      <c r="C90" s="1391"/>
      <c r="D90" s="1391"/>
      <c r="E90" s="1391"/>
      <c r="F90" s="1391"/>
      <c r="G90" s="1391"/>
      <c r="H90" s="1212" t="s">
        <v>210</v>
      </c>
      <c r="I90" s="1213"/>
      <c r="J90" s="1213"/>
      <c r="K90" s="1213"/>
      <c r="L90" s="1213"/>
      <c r="M90" s="1213"/>
      <c r="N90" s="1213"/>
      <c r="O90" s="1213"/>
      <c r="P90" s="1213"/>
      <c r="Q90" s="1327"/>
      <c r="R90" s="1328"/>
      <c r="S90" s="1392" t="s">
        <v>56</v>
      </c>
      <c r="T90" s="1332" t="s">
        <v>211</v>
      </c>
      <c r="U90" s="2"/>
      <c r="Z90" s="1393" t="s">
        <v>55</v>
      </c>
      <c r="AA90" s="1394"/>
      <c r="AB90" s="1395"/>
      <c r="AC90" s="1399" t="s">
        <v>215</v>
      </c>
      <c r="AD90" s="1401" t="s">
        <v>216</v>
      </c>
      <c r="AE90" s="1399" t="s">
        <v>217</v>
      </c>
    </row>
    <row r="91" spans="1:71" ht="17.25" customHeight="1" thickBot="1">
      <c r="A91" s="212"/>
      <c r="B91" s="1390"/>
      <c r="C91" s="1391"/>
      <c r="D91" s="1391"/>
      <c r="E91" s="1391"/>
      <c r="F91" s="1391"/>
      <c r="G91" s="1391"/>
      <c r="H91" s="1218"/>
      <c r="I91" s="1219"/>
      <c r="J91" s="1219"/>
      <c r="K91" s="1219"/>
      <c r="L91" s="1219"/>
      <c r="M91" s="1219"/>
      <c r="N91" s="1219"/>
      <c r="O91" s="1219"/>
      <c r="P91" s="1219"/>
      <c r="Q91" s="1329"/>
      <c r="R91" s="1330"/>
      <c r="S91" s="1354"/>
      <c r="T91" s="1333"/>
      <c r="U91" s="2"/>
      <c r="Z91" s="1396"/>
      <c r="AA91" s="1397"/>
      <c r="AB91" s="1398"/>
      <c r="AC91" s="1400"/>
      <c r="AD91" s="1402"/>
      <c r="AE91" s="1400"/>
    </row>
    <row r="92" spans="1:71" ht="30" customHeight="1" thickTop="1" thickBot="1">
      <c r="A92" s="212"/>
      <c r="B92" s="1407" t="s">
        <v>251</v>
      </c>
      <c r="C92" s="1408"/>
      <c r="D92" s="1408"/>
      <c r="E92" s="1408"/>
      <c r="F92" s="1408"/>
      <c r="G92" s="1408"/>
      <c r="H92" s="1336" t="s">
        <v>252</v>
      </c>
      <c r="I92" s="1337"/>
      <c r="J92" s="1337"/>
      <c r="K92" s="1337"/>
      <c r="L92" s="1337"/>
      <c r="M92" s="1337"/>
      <c r="N92" s="1337"/>
      <c r="O92" s="1337"/>
      <c r="P92" s="1337"/>
      <c r="Q92" s="1338"/>
      <c r="R92" s="1409"/>
      <c r="S92" s="292"/>
      <c r="T92" s="293"/>
      <c r="U92" s="2"/>
      <c r="Z92" s="1342" t="s">
        <v>251</v>
      </c>
      <c r="AA92" s="1342"/>
      <c r="AB92" s="1342"/>
      <c r="AC92" s="233">
        <f>S92</f>
        <v>0</v>
      </c>
      <c r="AD92" s="294">
        <f>IF(AND(AC92&gt;0,AE92&gt;0),ROUND(AE92/AC92*リスト!$C$23,2),)</f>
        <v>0</v>
      </c>
      <c r="AE92" s="233">
        <f>T92</f>
        <v>0</v>
      </c>
    </row>
    <row r="93" spans="1:71" ht="30" customHeight="1" thickTop="1" thickBot="1">
      <c r="A93" s="231"/>
      <c r="B93" s="1403" t="s">
        <v>235</v>
      </c>
      <c r="C93" s="1404"/>
      <c r="D93" s="1404"/>
      <c r="E93" s="1404"/>
      <c r="F93" s="1404"/>
      <c r="G93" s="1404"/>
      <c r="H93" s="1382" t="s">
        <v>253</v>
      </c>
      <c r="I93" s="1383"/>
      <c r="J93" s="1383"/>
      <c r="K93" s="1383"/>
      <c r="L93" s="1383"/>
      <c r="M93" s="1383"/>
      <c r="N93" s="1383"/>
      <c r="O93" s="1383"/>
      <c r="P93" s="1383"/>
      <c r="Q93" s="1384"/>
      <c r="R93" s="1405"/>
      <c r="S93" s="295"/>
      <c r="T93" s="296"/>
      <c r="U93" s="2"/>
      <c r="Z93" s="1342" t="s">
        <v>238</v>
      </c>
      <c r="AA93" s="1342"/>
      <c r="AB93" s="1342"/>
      <c r="AC93" s="233">
        <f>S93</f>
        <v>0</v>
      </c>
      <c r="AD93" s="297"/>
      <c r="AE93" s="233">
        <f>ROUND(AC93/60*AD93,)</f>
        <v>0</v>
      </c>
    </row>
    <row r="96" spans="1:71" ht="14.25" customHeight="1">
      <c r="U96" s="2"/>
    </row>
    <row r="97" spans="21:21" ht="14.25" customHeight="1">
      <c r="U97" s="2"/>
    </row>
  </sheetData>
  <sheetProtection sheet="1" objects="1" scenarios="1" selectLockedCells="1"/>
  <mergeCells count="57">
    <mergeCell ref="B93:G93"/>
    <mergeCell ref="H93:R93"/>
    <mergeCell ref="Z93:AB93"/>
    <mergeCell ref="Z82:AB83"/>
    <mergeCell ref="AC82:AC83"/>
    <mergeCell ref="B92:G92"/>
    <mergeCell ref="H92:R92"/>
    <mergeCell ref="Z92:AB92"/>
    <mergeCell ref="AD82:AD83"/>
    <mergeCell ref="AE82:AE83"/>
    <mergeCell ref="B90:G91"/>
    <mergeCell ref="H90:R91"/>
    <mergeCell ref="S90:S91"/>
    <mergeCell ref="T90:T91"/>
    <mergeCell ref="Z90:AB91"/>
    <mergeCell ref="AC90:AC91"/>
    <mergeCell ref="AD90:AD91"/>
    <mergeCell ref="AE90:AE91"/>
    <mergeCell ref="H80:R80"/>
    <mergeCell ref="AA80:AB80"/>
    <mergeCell ref="D81:G81"/>
    <mergeCell ref="H81:R81"/>
    <mergeCell ref="AA81:AB81"/>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Z14:AB14"/>
    <mergeCell ref="Z15:Z30"/>
    <mergeCell ref="AA15:AA17"/>
    <mergeCell ref="AA18:AB18"/>
    <mergeCell ref="B27:C63"/>
    <mergeCell ref="D27:E46"/>
    <mergeCell ref="F30:G30"/>
    <mergeCell ref="H30:R45"/>
    <mergeCell ref="AA30:AB30"/>
    <mergeCell ref="Z31:AB31"/>
    <mergeCell ref="F46:G46"/>
    <mergeCell ref="H46:R61"/>
    <mergeCell ref="B12:G13"/>
    <mergeCell ref="H12:R13"/>
    <mergeCell ref="S12:S13"/>
    <mergeCell ref="T12:T13"/>
    <mergeCell ref="F14:G14"/>
    <mergeCell ref="H14:R29"/>
  </mergeCells>
  <phoneticPr fontId="5"/>
  <dataValidations count="3">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s>
  <pageMargins left="0.59055118110236227" right="0.59055118110236227" top="0.59055118110236227" bottom="0.59055118110236227" header="0" footer="0.19685039370078741"/>
  <pageSetup paperSize="9" scale="32" firstPageNumber="8" orientation="portrait" cellComments="asDisplayed" useFirstPageNumber="1" r:id="rId1"/>
  <headerFooter alignWithMargins="0"/>
  <drawing r:id="rId2"/>
  <legacyDrawing r:id="rId3"/>
  <controls>
    <mc:AlternateContent xmlns:mc="http://schemas.openxmlformats.org/markup-compatibility/2006">
      <mc:Choice Requires="x14">
        <control shapeId="22529" r:id="rId4" name="Label1">
          <controlPr defaultSize="0" print="0" autoLine="0" r:id="rId5">
            <anchor moveWithCells="1">
              <from>
                <xdr:col>8</xdr:col>
                <xdr:colOff>104775</xdr:colOff>
                <xdr:row>0</xdr:row>
                <xdr:rowOff>85725</xdr:rowOff>
              </from>
              <to>
                <xdr:col>11</xdr:col>
                <xdr:colOff>152400</xdr:colOff>
                <xdr:row>3</xdr:row>
                <xdr:rowOff>28575</xdr:rowOff>
              </to>
            </anchor>
          </controlPr>
        </control>
      </mc:Choice>
      <mc:Fallback>
        <control shapeId="22529" r:id="rId4" name="Label1"/>
      </mc:Fallback>
    </mc:AlternateContent>
    <mc:AlternateContent xmlns:mc="http://schemas.openxmlformats.org/markup-compatibility/2006">
      <mc:Choice Requires="x14">
        <control shapeId="22530" r:id="rId6" name="Label2">
          <controlPr defaultSize="0" print="0" autoLine="0" r:id="rId7">
            <anchor moveWithCells="1">
              <from>
                <xdr:col>8</xdr:col>
                <xdr:colOff>142875</xdr:colOff>
                <xdr:row>1</xdr:row>
                <xdr:rowOff>76200</xdr:rowOff>
              </from>
              <to>
                <xdr:col>11</xdr:col>
                <xdr:colOff>142875</xdr:colOff>
                <xdr:row>2</xdr:row>
                <xdr:rowOff>28575</xdr:rowOff>
              </to>
            </anchor>
          </controlPr>
        </control>
      </mc:Choice>
      <mc:Fallback>
        <control shapeId="22530" r:id="rId6" name="Label2"/>
      </mc:Fallback>
    </mc:AlternateContent>
    <mc:AlternateContent xmlns:mc="http://schemas.openxmlformats.org/markup-compatibility/2006">
      <mc:Choice Requires="x14">
        <control shapeId="22531" r:id="rId8" name="Label3">
          <controlPr defaultSize="0" print="0" autoLine="0" r:id="rId9">
            <anchor moveWithCells="1">
              <from>
                <xdr:col>11</xdr:col>
                <xdr:colOff>142875</xdr:colOff>
                <xdr:row>0</xdr:row>
                <xdr:rowOff>85725</xdr:rowOff>
              </from>
              <to>
                <xdr:col>14</xdr:col>
                <xdr:colOff>180975</xdr:colOff>
                <xdr:row>2</xdr:row>
                <xdr:rowOff>0</xdr:rowOff>
              </to>
            </anchor>
          </controlPr>
        </control>
      </mc:Choice>
      <mc:Fallback>
        <control shapeId="22531" r:id="rId8" name="Label3"/>
      </mc:Fallback>
    </mc:AlternateContent>
    <mc:AlternateContent xmlns:mc="http://schemas.openxmlformats.org/markup-compatibility/2006">
      <mc:Choice Requires="x14">
        <control shapeId="22532" r:id="rId10" name="txt_hyouji1">
          <controlPr locked="0" defaultSize="0" print="0" autoLine="0" r:id="rId11">
            <anchor moveWithCells="1">
              <from>
                <xdr:col>11</xdr:col>
                <xdr:colOff>142875</xdr:colOff>
                <xdr:row>2</xdr:row>
                <xdr:rowOff>0</xdr:rowOff>
              </from>
              <to>
                <xdr:col>14</xdr:col>
                <xdr:colOff>180975</xdr:colOff>
                <xdr:row>3</xdr:row>
                <xdr:rowOff>28575</xdr:rowOff>
              </to>
            </anchor>
          </controlPr>
        </control>
      </mc:Choice>
      <mc:Fallback>
        <control shapeId="22532" r:id="rId10" name="txt_hyouji1"/>
      </mc:Fallback>
    </mc:AlternateContent>
    <mc:AlternateContent xmlns:mc="http://schemas.openxmlformats.org/markup-compatibility/2006">
      <mc:Choice Requires="x14">
        <control shapeId="22533" r:id="rId12" name="btnKoushin1">
          <controlPr defaultSize="0" print="0" autoLine="0" r:id="rId13">
            <anchor moveWithCells="1">
              <from>
                <xdr:col>19</xdr:col>
                <xdr:colOff>142875</xdr:colOff>
                <xdr:row>0</xdr:row>
                <xdr:rowOff>85725</xdr:rowOff>
              </from>
              <to>
                <xdr:col>20</xdr:col>
                <xdr:colOff>38100</xdr:colOff>
                <xdr:row>3</xdr:row>
                <xdr:rowOff>38100</xdr:rowOff>
              </to>
            </anchor>
          </controlPr>
        </control>
      </mc:Choice>
      <mc:Fallback>
        <control shapeId="22533" r:id="rId12" name="btnKoushin1"/>
      </mc:Fallback>
    </mc:AlternateContent>
    <mc:AlternateContent xmlns:mc="http://schemas.openxmlformats.org/markup-compatibility/2006">
      <mc:Choice Requires="x14">
        <control shapeId="22534" r:id="rId14" name="Label4">
          <controlPr defaultSize="0" print="0" autoLine="0" r:id="rId15">
            <anchor moveWithCells="1">
              <from>
                <xdr:col>14</xdr:col>
                <xdr:colOff>171450</xdr:colOff>
                <xdr:row>0</xdr:row>
                <xdr:rowOff>85725</xdr:rowOff>
              </from>
              <to>
                <xdr:col>18</xdr:col>
                <xdr:colOff>0</xdr:colOff>
                <xdr:row>2</xdr:row>
                <xdr:rowOff>0</xdr:rowOff>
              </to>
            </anchor>
          </controlPr>
        </control>
      </mc:Choice>
      <mc:Fallback>
        <control shapeId="22534" r:id="rId14" name="Label4"/>
      </mc:Fallback>
    </mc:AlternateContent>
    <mc:AlternateContent xmlns:mc="http://schemas.openxmlformats.org/markup-compatibility/2006">
      <mc:Choice Requires="x14">
        <control shapeId="22535" r:id="rId16" name="txt_hyouji2">
          <controlPr locked="0" defaultSize="0" print="0" autoLine="0" r:id="rId17">
            <anchor moveWithCells="1">
              <from>
                <xdr:col>14</xdr:col>
                <xdr:colOff>171450</xdr:colOff>
                <xdr:row>2</xdr:row>
                <xdr:rowOff>0</xdr:rowOff>
              </from>
              <to>
                <xdr:col>18</xdr:col>
                <xdr:colOff>0</xdr:colOff>
                <xdr:row>3</xdr:row>
                <xdr:rowOff>28575</xdr:rowOff>
              </to>
            </anchor>
          </controlPr>
        </control>
      </mc:Choice>
      <mc:Fallback>
        <control shapeId="22535" r:id="rId16" name="txt_hyouji2"/>
      </mc:Fallback>
    </mc:AlternateContent>
    <mc:AlternateContent xmlns:mc="http://schemas.openxmlformats.org/markup-compatibility/2006">
      <mc:Choice Requires="x14">
        <control shapeId="22536" r:id="rId18" name="Label5">
          <controlPr defaultSize="0" print="0" autoLine="0" r:id="rId19">
            <anchor moveWithCells="1">
              <from>
                <xdr:col>17</xdr:col>
                <xdr:colOff>200025</xdr:colOff>
                <xdr:row>0</xdr:row>
                <xdr:rowOff>85725</xdr:rowOff>
              </from>
              <to>
                <xdr:col>18</xdr:col>
                <xdr:colOff>695325</xdr:colOff>
                <xdr:row>2</xdr:row>
                <xdr:rowOff>0</xdr:rowOff>
              </to>
            </anchor>
          </controlPr>
        </control>
      </mc:Choice>
      <mc:Fallback>
        <control shapeId="22536" r:id="rId18" name="Label5"/>
      </mc:Fallback>
    </mc:AlternateContent>
    <mc:AlternateContent xmlns:mc="http://schemas.openxmlformats.org/markup-compatibility/2006">
      <mc:Choice Requires="x14">
        <control shapeId="22537" r:id="rId20" name="txt_hyouji3">
          <controlPr locked="0" defaultSize="0" print="0" autoLine="0" r:id="rId21">
            <anchor moveWithCells="1">
              <from>
                <xdr:col>17</xdr:col>
                <xdr:colOff>200025</xdr:colOff>
                <xdr:row>2</xdr:row>
                <xdr:rowOff>0</xdr:rowOff>
              </from>
              <to>
                <xdr:col>18</xdr:col>
                <xdr:colOff>695325</xdr:colOff>
                <xdr:row>3</xdr:row>
                <xdr:rowOff>28575</xdr:rowOff>
              </to>
            </anchor>
          </controlPr>
        </control>
      </mc:Choice>
      <mc:Fallback>
        <control shapeId="22537" r:id="rId20" name="txt_hyouji3"/>
      </mc:Fallback>
    </mc:AlternateContent>
    <mc:AlternateContent xmlns:mc="http://schemas.openxmlformats.org/markup-compatibility/2006">
      <mc:Choice Requires="x14">
        <control shapeId="22538" r:id="rId22" name="Label6">
          <controlPr defaultSize="0" print="0" autoLine="0" r:id="rId23">
            <anchor moveWithCells="1">
              <from>
                <xdr:col>18</xdr:col>
                <xdr:colOff>685800</xdr:colOff>
                <xdr:row>0</xdr:row>
                <xdr:rowOff>85725</xdr:rowOff>
              </from>
              <to>
                <xdr:col>19</xdr:col>
                <xdr:colOff>85725</xdr:colOff>
                <xdr:row>2</xdr:row>
                <xdr:rowOff>0</xdr:rowOff>
              </to>
            </anchor>
          </controlPr>
        </control>
      </mc:Choice>
      <mc:Fallback>
        <control shapeId="22538" r:id="rId22" name="Label6"/>
      </mc:Fallback>
    </mc:AlternateContent>
    <mc:AlternateContent xmlns:mc="http://schemas.openxmlformats.org/markup-compatibility/2006">
      <mc:Choice Requires="x14">
        <control shapeId="22539" r:id="rId24" name="txt_hyouji4">
          <controlPr locked="0" defaultSize="0" print="0" autoLine="0" r:id="rId25">
            <anchor moveWithCells="1">
              <from>
                <xdr:col>18</xdr:col>
                <xdr:colOff>685800</xdr:colOff>
                <xdr:row>2</xdr:row>
                <xdr:rowOff>0</xdr:rowOff>
              </from>
              <to>
                <xdr:col>19</xdr:col>
                <xdr:colOff>85725</xdr:colOff>
                <xdr:row>3</xdr:row>
                <xdr:rowOff>28575</xdr:rowOff>
              </to>
            </anchor>
          </controlPr>
        </control>
      </mc:Choice>
      <mc:Fallback>
        <control shapeId="22539" r:id="rId24" name="txt_hyouji4"/>
      </mc:Fallback>
    </mc:AlternateContent>
    <mc:AlternateContent xmlns:mc="http://schemas.openxmlformats.org/markup-compatibility/2006">
      <mc:Choice Requires="x14">
        <control shapeId="22540" r:id="rId26" name="Label7">
          <controlPr defaultSize="0" print="0" autoLine="0" r:id="rId27">
            <anchor moveWithCells="1">
              <from>
                <xdr:col>12</xdr:col>
                <xdr:colOff>133350</xdr:colOff>
                <xdr:row>0</xdr:row>
                <xdr:rowOff>161925</xdr:rowOff>
              </from>
              <to>
                <xdr:col>14</xdr:col>
                <xdr:colOff>28575</xdr:colOff>
                <xdr:row>1</xdr:row>
                <xdr:rowOff>152400</xdr:rowOff>
              </to>
            </anchor>
          </controlPr>
        </control>
      </mc:Choice>
      <mc:Fallback>
        <control shapeId="22540" r:id="rId26" name="Label7"/>
      </mc:Fallback>
    </mc:AlternateContent>
    <mc:AlternateContent xmlns:mc="http://schemas.openxmlformats.org/markup-compatibility/2006">
      <mc:Choice Requires="x14">
        <control shapeId="22541" r:id="rId28" name="Label8">
          <controlPr defaultSize="0" print="0" autoLine="0" r:id="rId29">
            <anchor moveWithCells="1">
              <from>
                <xdr:col>15</xdr:col>
                <xdr:colOff>114300</xdr:colOff>
                <xdr:row>0</xdr:row>
                <xdr:rowOff>161925</xdr:rowOff>
              </from>
              <to>
                <xdr:col>17</xdr:col>
                <xdr:colOff>19050</xdr:colOff>
                <xdr:row>1</xdr:row>
                <xdr:rowOff>152400</xdr:rowOff>
              </to>
            </anchor>
          </controlPr>
        </control>
      </mc:Choice>
      <mc:Fallback>
        <control shapeId="22541" r:id="rId28" name="Label8"/>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98"/>
      <c r="C3" s="299"/>
      <c r="D3" s="299"/>
      <c r="E3" s="299"/>
      <c r="F3" s="299"/>
      <c r="G3" s="300"/>
      <c r="H3" s="74"/>
      <c r="J3" s="74"/>
    </row>
    <row r="4" spans="1:17" ht="18" customHeight="1">
      <c r="A4" s="130"/>
      <c r="B4" s="301"/>
      <c r="C4" s="132"/>
      <c r="D4" s="132"/>
      <c r="E4" s="132"/>
      <c r="F4" s="132"/>
      <c r="G4" s="302"/>
    </row>
    <row r="5" spans="1:17" ht="18" customHeight="1">
      <c r="A5" s="303"/>
      <c r="B5" s="304"/>
      <c r="D5" s="147" t="s">
        <v>254</v>
      </c>
      <c r="E5" s="132"/>
      <c r="F5" s="132"/>
      <c r="G5" s="302"/>
      <c r="I5" s="30"/>
    </row>
    <row r="6" spans="1:17" ht="75" customHeight="1">
      <c r="B6" s="305"/>
      <c r="C6" s="145"/>
      <c r="F6" s="306"/>
      <c r="G6" s="307"/>
      <c r="H6" s="290"/>
      <c r="I6" s="30"/>
      <c r="J6" s="290"/>
      <c r="K6" s="290"/>
    </row>
    <row r="7" spans="1:17" ht="14.25" customHeight="1">
      <c r="B7" s="308"/>
      <c r="C7" s="146"/>
      <c r="D7" s="309"/>
      <c r="E7" s="309"/>
      <c r="F7" s="309"/>
      <c r="G7" s="310"/>
      <c r="H7" s="147"/>
      <c r="I7" s="30"/>
      <c r="J7" s="212"/>
      <c r="K7" s="212"/>
      <c r="L7" s="20"/>
      <c r="M7" s="20"/>
      <c r="N7" s="20"/>
      <c r="O7" s="20"/>
      <c r="P7" s="20"/>
      <c r="Q7" s="20"/>
    </row>
    <row r="8" spans="1:17" ht="14.25" customHeight="1">
      <c r="B8" s="311"/>
      <c r="C8" s="312"/>
      <c r="D8" s="313" t="s">
        <v>255</v>
      </c>
      <c r="E8" s="147"/>
      <c r="F8" s="147"/>
      <c r="G8" s="314"/>
      <c r="H8" s="274"/>
      <c r="I8" s="30"/>
      <c r="J8" s="231"/>
      <c r="K8" s="214"/>
      <c r="L8" s="214"/>
      <c r="M8" s="214"/>
      <c r="N8" s="214"/>
      <c r="O8" s="214"/>
      <c r="P8" s="214"/>
      <c r="Q8" s="214"/>
    </row>
    <row r="9" spans="1:17" ht="75" customHeight="1">
      <c r="B9" s="305"/>
      <c r="C9" s="145"/>
      <c r="F9" s="306"/>
      <c r="G9" s="307"/>
      <c r="H9" s="290"/>
      <c r="I9" s="30"/>
      <c r="J9" s="290"/>
      <c r="K9" s="290"/>
    </row>
    <row r="10" spans="1:17" ht="14.25" customHeight="1">
      <c r="B10" s="315"/>
      <c r="C10" s="312"/>
      <c r="G10" s="316"/>
      <c r="H10" s="20"/>
      <c r="J10" s="231"/>
      <c r="K10" s="231"/>
      <c r="L10" s="214"/>
      <c r="M10" s="214"/>
      <c r="N10" s="214"/>
      <c r="O10" s="214"/>
      <c r="P10" s="214"/>
      <c r="Q10" s="214"/>
    </row>
    <row r="11" spans="1:17" ht="14.25" customHeight="1">
      <c r="B11" s="315"/>
      <c r="C11" s="312"/>
      <c r="D11" s="313" t="s">
        <v>256</v>
      </c>
      <c r="G11" s="316"/>
      <c r="H11" s="20"/>
      <c r="J11" s="231"/>
      <c r="K11" s="231"/>
      <c r="L11" s="214"/>
      <c r="M11" s="214"/>
      <c r="N11" s="214"/>
      <c r="O11" s="214"/>
      <c r="P11" s="214"/>
      <c r="Q11" s="214"/>
    </row>
    <row r="12" spans="1:17" ht="14.25" customHeight="1">
      <c r="B12" s="315"/>
      <c r="C12" s="312"/>
      <c r="G12" s="316"/>
      <c r="H12" s="20"/>
      <c r="J12" s="231"/>
      <c r="K12" s="231"/>
      <c r="L12" s="214"/>
      <c r="M12" s="214"/>
      <c r="N12" s="214"/>
      <c r="O12" s="214"/>
      <c r="P12" s="214"/>
      <c r="Q12" s="214"/>
    </row>
    <row r="13" spans="1:17" ht="14.25" customHeight="1">
      <c r="B13" s="315"/>
      <c r="C13" s="312"/>
      <c r="D13" s="317" t="s">
        <v>257</v>
      </c>
      <c r="G13" s="316"/>
      <c r="H13" s="20"/>
      <c r="J13" s="231"/>
      <c r="K13" s="231"/>
      <c r="L13" s="214"/>
      <c r="M13" s="214"/>
      <c r="N13" s="214"/>
      <c r="O13" s="214"/>
      <c r="P13" s="214"/>
      <c r="Q13" s="214"/>
    </row>
    <row r="14" spans="1:17" ht="75" customHeight="1">
      <c r="B14" s="315"/>
      <c r="C14" s="312"/>
      <c r="D14" s="317"/>
      <c r="E14" s="147"/>
      <c r="F14" s="306"/>
      <c r="G14" s="316"/>
      <c r="H14" s="20"/>
      <c r="J14" s="318"/>
      <c r="K14" s="318"/>
      <c r="L14" s="282"/>
      <c r="M14" s="282"/>
      <c r="N14" s="282"/>
      <c r="O14" s="282"/>
      <c r="P14" s="282"/>
      <c r="Q14" s="214"/>
    </row>
    <row r="15" spans="1:17" ht="27.95" customHeight="1">
      <c r="B15" s="315"/>
      <c r="C15" s="312"/>
      <c r="D15" s="317" t="s">
        <v>258</v>
      </c>
      <c r="E15" s="319"/>
      <c r="F15" s="320"/>
      <c r="G15" s="321"/>
      <c r="H15" s="257"/>
      <c r="J15" s="282"/>
      <c r="K15" s="282"/>
      <c r="L15" s="282"/>
      <c r="M15" s="282"/>
      <c r="N15" s="282"/>
      <c r="O15" s="282"/>
      <c r="P15" s="282"/>
      <c r="Q15" s="214"/>
    </row>
    <row r="16" spans="1:17" ht="75.75" customHeight="1">
      <c r="B16" s="315"/>
      <c r="C16" s="312"/>
      <c r="E16" s="178"/>
      <c r="F16" s="306"/>
      <c r="G16" s="321"/>
      <c r="H16" s="257"/>
      <c r="J16" s="282"/>
      <c r="K16" s="282"/>
      <c r="L16" s="282"/>
      <c r="M16" s="282"/>
      <c r="N16" s="282"/>
      <c r="O16" s="282"/>
      <c r="P16" s="282"/>
      <c r="Q16" s="214"/>
    </row>
    <row r="17" spans="2:17" ht="27.95" customHeight="1">
      <c r="B17" s="315"/>
      <c r="C17" s="312"/>
      <c r="D17" s="317" t="s">
        <v>259</v>
      </c>
      <c r="E17" s="30"/>
      <c r="F17" s="30"/>
      <c r="G17" s="321"/>
      <c r="H17" s="257"/>
      <c r="J17" s="282"/>
      <c r="K17" s="282"/>
      <c r="L17" s="282"/>
      <c r="M17" s="282"/>
      <c r="N17" s="282"/>
      <c r="O17" s="282"/>
      <c r="P17" s="282"/>
      <c r="Q17" s="214"/>
    </row>
    <row r="18" spans="2:17" ht="75.75" customHeight="1">
      <c r="B18" s="311"/>
      <c r="C18" s="312"/>
      <c r="F18" s="306"/>
      <c r="G18" s="322"/>
      <c r="H18" s="254"/>
      <c r="J18" s="231"/>
      <c r="K18" s="214"/>
      <c r="L18" s="214"/>
      <c r="M18" s="214"/>
      <c r="N18" s="214"/>
      <c r="O18" s="214"/>
      <c r="P18" s="214"/>
      <c r="Q18" s="214"/>
    </row>
    <row r="19" spans="2:17" ht="27.95" hidden="1" customHeight="1">
      <c r="B19" s="315"/>
      <c r="C19" s="312"/>
      <c r="D19" s="323" t="s">
        <v>260</v>
      </c>
      <c r="E19" s="324"/>
      <c r="F19" s="147"/>
      <c r="G19" s="321"/>
      <c r="H19" s="257"/>
      <c r="J19" s="282"/>
      <c r="K19" s="282"/>
      <c r="L19" s="282"/>
      <c r="M19" s="282"/>
      <c r="N19" s="282"/>
      <c r="O19" s="282"/>
      <c r="P19" s="282"/>
      <c r="Q19" s="214"/>
    </row>
    <row r="20" spans="2:17" ht="75.75" hidden="1" customHeight="1">
      <c r="B20" s="315"/>
      <c r="C20" s="312"/>
      <c r="F20" s="306"/>
      <c r="G20" s="321"/>
      <c r="H20" s="257"/>
      <c r="J20" s="282"/>
      <c r="K20" s="282"/>
      <c r="L20" s="282"/>
      <c r="M20" s="282"/>
      <c r="N20" s="282"/>
      <c r="O20" s="282"/>
      <c r="P20" s="282"/>
      <c r="Q20" s="214"/>
    </row>
    <row r="21" spans="2:17" ht="14.25" customHeight="1" thickBot="1">
      <c r="B21" s="325"/>
      <c r="C21" s="145"/>
      <c r="D21" s="145"/>
      <c r="G21" s="302"/>
    </row>
    <row r="22" spans="2:17" ht="14.25" customHeight="1" thickTop="1">
      <c r="B22" s="326"/>
      <c r="C22" s="327"/>
      <c r="D22" s="326"/>
      <c r="E22" s="326"/>
      <c r="F22" s="326"/>
      <c r="G22" s="326"/>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28"/>
      <c r="C26" s="329"/>
      <c r="D26" s="329"/>
      <c r="E26" s="329"/>
      <c r="F26" s="329"/>
      <c r="G26" s="330"/>
    </row>
    <row r="27" spans="2:17" ht="174" customHeight="1">
      <c r="B27" s="331"/>
      <c r="F27" s="306"/>
      <c r="G27" s="332"/>
      <c r="J27" s="184"/>
      <c r="K27" s="184"/>
      <c r="L27" s="184"/>
      <c r="M27" s="184"/>
    </row>
    <row r="28" spans="2:17" ht="14.25" customHeight="1" thickBot="1">
      <c r="B28" s="333"/>
      <c r="C28" s="334"/>
      <c r="D28" s="334"/>
      <c r="E28" s="334"/>
      <c r="F28" s="334"/>
      <c r="G28" s="335"/>
    </row>
    <row r="29" spans="2:17" ht="14.25" customHeight="1" thickTop="1"/>
    <row r="35" spans="2:3" ht="21" customHeight="1"/>
    <row r="36" spans="2:3" ht="21" customHeight="1"/>
    <row r="37" spans="2:3" ht="21" customHeight="1"/>
    <row r="38" spans="2:3" ht="21" customHeight="1"/>
    <row r="39" spans="2:3" ht="21" customHeight="1"/>
    <row r="46" spans="2:3" ht="14.25" customHeight="1">
      <c r="B46" s="336"/>
      <c r="C46" s="337"/>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338" t="s">
        <v>201</v>
      </c>
    </row>
    <row r="2" spans="1:36" ht="14.25" customHeight="1">
      <c r="B2" s="107" t="s">
        <v>261</v>
      </c>
      <c r="V2" s="107" t="s">
        <v>261</v>
      </c>
      <c r="W2" s="2"/>
    </row>
    <row r="3" spans="1:36" ht="18" customHeight="1">
      <c r="C3" s="48"/>
      <c r="D3" s="48"/>
      <c r="E3" s="48"/>
      <c r="F3" s="48"/>
      <c r="G3" s="48"/>
      <c r="H3" s="48"/>
      <c r="I3" s="48"/>
      <c r="R3" s="74"/>
      <c r="S3" s="74"/>
      <c r="T3" s="74"/>
      <c r="U3" s="74"/>
      <c r="W3" s="48"/>
    </row>
    <row r="4" spans="1:36" ht="18" customHeight="1">
      <c r="B4" s="108" t="s">
        <v>262</v>
      </c>
      <c r="C4" s="48"/>
      <c r="D4" s="48"/>
      <c r="E4" s="48"/>
      <c r="F4" s="48"/>
      <c r="G4" s="48"/>
      <c r="H4" s="48"/>
      <c r="I4" s="48"/>
      <c r="V4" s="108" t="s">
        <v>262</v>
      </c>
      <c r="W4" s="48"/>
    </row>
    <row r="5" spans="1:36" ht="18" customHeight="1">
      <c r="A5" s="30"/>
      <c r="B5" s="68"/>
      <c r="C5" s="58" t="s">
        <v>263</v>
      </c>
      <c r="D5" s="58"/>
      <c r="E5" s="58"/>
      <c r="F5" s="58"/>
      <c r="G5" s="58"/>
      <c r="H5" s="58"/>
      <c r="I5" s="58"/>
      <c r="J5" s="30"/>
      <c r="K5" s="30"/>
      <c r="L5" s="30"/>
      <c r="M5" s="30"/>
      <c r="N5" s="30"/>
      <c r="O5" s="30"/>
      <c r="P5" s="339"/>
      <c r="Q5" s="339"/>
    </row>
    <row r="6" spans="1:36" ht="14.25" customHeight="1">
      <c r="A6" s="30"/>
      <c r="B6" s="68"/>
      <c r="C6" s="58" t="s">
        <v>264</v>
      </c>
      <c r="D6" s="58"/>
      <c r="E6" s="58"/>
      <c r="F6" s="58"/>
      <c r="G6" s="58"/>
      <c r="H6" s="58"/>
      <c r="I6" s="58"/>
      <c r="J6" s="30"/>
      <c r="K6" s="30"/>
      <c r="L6" s="30"/>
      <c r="M6" s="30"/>
      <c r="N6" s="30"/>
      <c r="O6" s="30"/>
      <c r="P6" s="30"/>
      <c r="Q6" s="30"/>
      <c r="R6" s="178"/>
      <c r="S6" s="178"/>
      <c r="T6" s="290"/>
      <c r="U6" s="290"/>
      <c r="V6" s="290"/>
    </row>
    <row r="7" spans="1:36" s="178" customFormat="1" ht="14.25" customHeight="1">
      <c r="A7" s="30"/>
      <c r="B7" s="68"/>
      <c r="C7" s="58" t="s">
        <v>265</v>
      </c>
      <c r="D7" s="58"/>
      <c r="E7" s="58"/>
      <c r="F7" s="58"/>
      <c r="G7" s="58"/>
      <c r="H7" s="58"/>
      <c r="I7" s="58"/>
      <c r="J7" s="30"/>
      <c r="K7" s="30"/>
      <c r="L7" s="30"/>
      <c r="M7" s="30"/>
      <c r="N7" s="30"/>
      <c r="O7" s="30"/>
      <c r="P7" s="30"/>
      <c r="Q7" s="30"/>
      <c r="R7" s="212"/>
      <c r="S7" s="212"/>
      <c r="W7" s="148"/>
      <c r="X7" s="148"/>
      <c r="Y7" s="148"/>
      <c r="Z7" s="148"/>
      <c r="AA7" s="1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212"/>
      <c r="S8" s="212"/>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212"/>
      <c r="S9" s="21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31"/>
      <c r="S10" s="231"/>
      <c r="T10" s="231"/>
      <c r="U10" s="231"/>
      <c r="V10" s="214"/>
    </row>
    <row r="11" spans="1:36" ht="14.25" customHeight="1">
      <c r="A11" s="30"/>
      <c r="B11" s="68"/>
      <c r="C11" s="130" t="s">
        <v>266</v>
      </c>
      <c r="D11" s="58"/>
      <c r="E11" s="58"/>
      <c r="F11" s="58"/>
      <c r="G11" s="58"/>
      <c r="H11" s="58"/>
      <c r="I11" s="58"/>
      <c r="J11" s="30"/>
      <c r="K11" s="30"/>
      <c r="L11" s="30"/>
      <c r="M11" s="30"/>
      <c r="N11" s="30"/>
      <c r="O11" s="30"/>
      <c r="P11" s="30"/>
      <c r="Q11" s="30"/>
      <c r="R11" s="231"/>
      <c r="S11" s="231"/>
      <c r="T11" s="231"/>
      <c r="U11" s="231"/>
      <c r="V11" s="231"/>
      <c r="W11" s="130" t="s">
        <v>267</v>
      </c>
      <c r="X11" s="340"/>
      <c r="Y11" s="340"/>
      <c r="Z11" s="340"/>
      <c r="AA11" s="340"/>
      <c r="AB11" s="340"/>
    </row>
    <row r="12" spans="1:36" ht="18" customHeight="1" thickBot="1">
      <c r="A12" s="30"/>
      <c r="B12" s="68"/>
      <c r="C12" s="130"/>
      <c r="D12" s="58"/>
      <c r="E12" s="58"/>
      <c r="F12" s="58"/>
      <c r="G12" s="58"/>
      <c r="H12" s="58"/>
      <c r="I12" s="58"/>
      <c r="J12" s="30"/>
      <c r="K12" s="30"/>
      <c r="L12" s="30"/>
      <c r="M12" s="30"/>
      <c r="N12" s="30"/>
      <c r="O12" s="30"/>
      <c r="P12" s="30"/>
      <c r="Q12" s="30"/>
      <c r="R12" s="231"/>
      <c r="S12" s="231"/>
      <c r="T12" s="231"/>
      <c r="U12" s="231"/>
      <c r="V12" s="231"/>
      <c r="W12" s="340"/>
      <c r="X12" s="340"/>
      <c r="Y12" s="340"/>
      <c r="Z12" s="340"/>
      <c r="AA12" s="340"/>
      <c r="AB12" s="340"/>
    </row>
    <row r="13" spans="1:36" ht="14.25" customHeight="1">
      <c r="C13" s="341"/>
      <c r="D13" s="1212" t="s">
        <v>268</v>
      </c>
      <c r="E13" s="1213"/>
      <c r="F13" s="1410"/>
      <c r="G13" s="1213" t="s">
        <v>269</v>
      </c>
      <c r="H13" s="342"/>
      <c r="I13" s="1411" t="s">
        <v>270</v>
      </c>
      <c r="R13" s="231"/>
      <c r="S13" s="231"/>
      <c r="T13" s="231"/>
      <c r="U13" s="231"/>
      <c r="V13" s="231"/>
      <c r="W13" s="340"/>
      <c r="X13" s="340"/>
      <c r="Y13" s="340"/>
      <c r="Z13" s="340"/>
      <c r="AA13" s="340"/>
      <c r="AB13" s="340"/>
    </row>
    <row r="14" spans="1:36" ht="14.25" customHeight="1">
      <c r="C14" s="341"/>
      <c r="D14" s="1215"/>
      <c r="E14" s="1216"/>
      <c r="F14" s="1256"/>
      <c r="G14" s="1216"/>
      <c r="H14" s="1414" t="s">
        <v>132</v>
      </c>
      <c r="I14" s="1412"/>
      <c r="R14" s="231"/>
      <c r="S14" s="231"/>
      <c r="T14" s="231"/>
      <c r="U14" s="231"/>
      <c r="V14" s="231"/>
      <c r="W14" s="340"/>
      <c r="X14" s="340"/>
      <c r="Y14" s="340"/>
      <c r="Z14" s="340"/>
      <c r="AA14" s="340"/>
      <c r="AB14" s="340"/>
    </row>
    <row r="15" spans="1:36" ht="14.25" customHeight="1" thickBot="1">
      <c r="D15" s="1218"/>
      <c r="E15" s="1219"/>
      <c r="F15" s="1248"/>
      <c r="G15" s="1216"/>
      <c r="H15" s="1415"/>
      <c r="I15" s="1413"/>
      <c r="R15" s="231"/>
      <c r="S15" s="231"/>
      <c r="T15" s="231"/>
      <c r="U15" s="231"/>
      <c r="V15" s="231"/>
    </row>
    <row r="16" spans="1:36" ht="30" customHeight="1" thickTop="1" thickBot="1">
      <c r="D16" s="1416" t="s">
        <v>271</v>
      </c>
      <c r="E16" s="1417"/>
      <c r="F16" s="343" t="s">
        <v>272</v>
      </c>
      <c r="G16" s="344"/>
      <c r="H16" s="345" t="s">
        <v>273</v>
      </c>
      <c r="I16" s="346"/>
      <c r="J16" s="220"/>
      <c r="K16" s="184"/>
      <c r="L16" s="184"/>
      <c r="M16" s="184"/>
      <c r="R16" s="231"/>
      <c r="S16" s="231"/>
      <c r="T16" s="231"/>
      <c r="U16" s="231"/>
      <c r="V16" s="231"/>
      <c r="W16" s="1342" t="s">
        <v>274</v>
      </c>
      <c r="X16" s="1342"/>
      <c r="Y16" s="1424"/>
      <c r="Z16" s="1425"/>
      <c r="AA16" s="1424"/>
      <c r="AB16" s="1425"/>
      <c r="AC16" s="221" t="s">
        <v>217</v>
      </c>
    </row>
    <row r="17" spans="4:29" ht="30" customHeight="1" thickTop="1">
      <c r="D17" s="1418"/>
      <c r="E17" s="1419"/>
      <c r="F17" s="347"/>
      <c r="G17" s="348"/>
      <c r="H17" s="349"/>
      <c r="I17" s="350"/>
      <c r="J17" s="230"/>
      <c r="K17" s="184"/>
      <c r="L17" s="184"/>
      <c r="M17" s="184"/>
      <c r="N17" s="184"/>
      <c r="O17" s="184"/>
      <c r="P17" s="184"/>
      <c r="Q17" s="184"/>
      <c r="R17" s="318"/>
      <c r="S17" s="318"/>
      <c r="T17" s="318"/>
      <c r="U17" s="318"/>
      <c r="V17" s="318"/>
      <c r="W17" s="1342" t="s">
        <v>275</v>
      </c>
      <c r="X17" s="1342"/>
      <c r="Y17" s="1424"/>
      <c r="Z17" s="1425"/>
      <c r="AA17" s="1424"/>
      <c r="AB17" s="1425"/>
      <c r="AC17" s="351">
        <f>IF(OR(I16="",I16=0),SUM(I17:I31),I16)</f>
        <v>0</v>
      </c>
    </row>
    <row r="18" spans="4:29" ht="30" customHeight="1">
      <c r="D18" s="1418"/>
      <c r="E18" s="1419"/>
      <c r="F18" s="347"/>
      <c r="G18" s="352"/>
      <c r="H18" s="349"/>
      <c r="I18" s="353"/>
      <c r="J18" s="354"/>
      <c r="K18" s="184"/>
      <c r="L18" s="184"/>
      <c r="M18" s="184"/>
      <c r="N18" s="184"/>
      <c r="O18" s="184"/>
      <c r="P18" s="184"/>
      <c r="Q18" s="184"/>
      <c r="R18" s="282"/>
      <c r="S18" s="282"/>
      <c r="T18" s="282"/>
      <c r="U18" s="282"/>
      <c r="V18" s="282"/>
      <c r="W18" s="2"/>
      <c r="Y18" s="338"/>
      <c r="Z18" s="338"/>
      <c r="AA18" s="338"/>
      <c r="AB18" s="338"/>
    </row>
    <row r="19" spans="4:29" ht="30" customHeight="1">
      <c r="D19" s="1418"/>
      <c r="E19" s="1419"/>
      <c r="F19" s="347"/>
      <c r="G19" s="352"/>
      <c r="H19" s="349"/>
      <c r="I19" s="353"/>
      <c r="J19" s="354"/>
      <c r="K19" s="184"/>
      <c r="L19" s="184"/>
      <c r="M19" s="184"/>
      <c r="N19" s="184"/>
      <c r="O19" s="184"/>
      <c r="P19" s="184"/>
      <c r="Q19" s="184"/>
      <c r="R19" s="282"/>
      <c r="S19" s="282"/>
      <c r="T19" s="282"/>
      <c r="U19" s="282"/>
      <c r="V19" s="282"/>
      <c r="W19" s="338"/>
      <c r="Y19" s="152"/>
      <c r="Z19" s="152"/>
      <c r="AA19" s="152"/>
      <c r="AB19" s="152"/>
    </row>
    <row r="20" spans="4:29" ht="30" customHeight="1" collapsed="1" thickBot="1">
      <c r="D20" s="1418"/>
      <c r="E20" s="1419"/>
      <c r="F20" s="347"/>
      <c r="G20" s="352"/>
      <c r="H20" s="349"/>
      <c r="I20" s="353"/>
      <c r="J20" s="354"/>
      <c r="K20" s="184"/>
      <c r="L20" s="184"/>
      <c r="M20" s="184"/>
      <c r="N20" s="184"/>
      <c r="O20" s="184"/>
      <c r="P20" s="184"/>
      <c r="Q20" s="184"/>
      <c r="R20" s="282"/>
      <c r="S20" s="282"/>
      <c r="T20" s="282"/>
      <c r="U20" s="282"/>
      <c r="V20" s="282"/>
      <c r="W20" s="338"/>
      <c r="Y20" s="152"/>
      <c r="Z20" s="152"/>
      <c r="AA20" s="152"/>
      <c r="AB20" s="152"/>
    </row>
    <row r="21" spans="4:29" ht="30" hidden="1" customHeight="1" outlineLevel="1">
      <c r="D21" s="1418"/>
      <c r="E21" s="1419"/>
      <c r="F21" s="347"/>
      <c r="G21" s="352"/>
      <c r="H21" s="349"/>
      <c r="I21" s="353"/>
      <c r="J21" s="354"/>
      <c r="K21" s="184"/>
      <c r="L21" s="184"/>
      <c r="M21" s="184"/>
      <c r="N21" s="184"/>
      <c r="O21" s="184"/>
      <c r="P21" s="184"/>
      <c r="Q21" s="184"/>
      <c r="R21" s="282"/>
      <c r="S21" s="282"/>
      <c r="T21" s="282"/>
      <c r="U21" s="282"/>
      <c r="V21" s="282"/>
      <c r="W21" s="338"/>
      <c r="Y21" s="152"/>
      <c r="Z21" s="152"/>
      <c r="AA21" s="152"/>
      <c r="AB21" s="152"/>
    </row>
    <row r="22" spans="4:29" ht="30" hidden="1" customHeight="1" outlineLevel="1">
      <c r="D22" s="1418"/>
      <c r="E22" s="1419"/>
      <c r="F22" s="347"/>
      <c r="G22" s="352"/>
      <c r="H22" s="349"/>
      <c r="I22" s="353"/>
      <c r="J22" s="354"/>
      <c r="K22" s="184"/>
      <c r="L22" s="184"/>
      <c r="M22" s="184"/>
      <c r="N22" s="184"/>
      <c r="O22" s="184"/>
      <c r="P22" s="184"/>
      <c r="Q22" s="184"/>
      <c r="R22" s="282"/>
      <c r="S22" s="282"/>
      <c r="T22" s="282"/>
      <c r="U22" s="282"/>
      <c r="V22" s="282"/>
      <c r="W22" s="338"/>
      <c r="Y22" s="152"/>
      <c r="Z22" s="152"/>
      <c r="AA22" s="152"/>
      <c r="AB22" s="152"/>
    </row>
    <row r="23" spans="4:29" ht="30" hidden="1" customHeight="1" outlineLevel="1">
      <c r="D23" s="1418"/>
      <c r="E23" s="1419"/>
      <c r="F23" s="347"/>
      <c r="G23" s="352"/>
      <c r="H23" s="349"/>
      <c r="I23" s="353"/>
      <c r="J23" s="354"/>
      <c r="K23" s="184"/>
      <c r="L23" s="184"/>
      <c r="M23" s="184"/>
      <c r="N23" s="184"/>
      <c r="O23" s="184"/>
      <c r="P23" s="184"/>
      <c r="Q23" s="184"/>
      <c r="R23" s="282"/>
      <c r="S23" s="282"/>
      <c r="T23" s="282"/>
      <c r="U23" s="282"/>
      <c r="V23" s="282"/>
      <c r="W23" s="338"/>
      <c r="Y23" s="152"/>
      <c r="Z23" s="152"/>
      <c r="AA23" s="152"/>
      <c r="AB23" s="152"/>
    </row>
    <row r="24" spans="4:29" ht="30" hidden="1" customHeight="1" outlineLevel="1">
      <c r="D24" s="1418"/>
      <c r="E24" s="1419"/>
      <c r="F24" s="347"/>
      <c r="G24" s="352"/>
      <c r="H24" s="349"/>
      <c r="I24" s="353"/>
      <c r="J24" s="354"/>
      <c r="K24" s="184"/>
      <c r="L24" s="184"/>
      <c r="M24" s="184"/>
      <c r="N24" s="184"/>
      <c r="O24" s="184"/>
      <c r="P24" s="184"/>
      <c r="Q24" s="184"/>
      <c r="R24" s="282"/>
      <c r="S24" s="282"/>
      <c r="T24" s="282"/>
      <c r="U24" s="282"/>
      <c r="V24" s="282"/>
      <c r="W24" s="338"/>
      <c r="Y24" s="152"/>
      <c r="Z24" s="152"/>
      <c r="AA24" s="152"/>
      <c r="AB24" s="152"/>
    </row>
    <row r="25" spans="4:29" ht="30" hidden="1" customHeight="1" outlineLevel="1">
      <c r="D25" s="1418"/>
      <c r="E25" s="1419"/>
      <c r="F25" s="347"/>
      <c r="G25" s="352"/>
      <c r="H25" s="349"/>
      <c r="I25" s="353"/>
      <c r="J25" s="354"/>
      <c r="K25" s="184"/>
      <c r="L25" s="184"/>
      <c r="M25" s="184"/>
      <c r="N25" s="184"/>
      <c r="O25" s="184"/>
      <c r="P25" s="184"/>
      <c r="Q25" s="184"/>
      <c r="R25" s="282"/>
      <c r="S25" s="282"/>
      <c r="T25" s="282"/>
      <c r="U25" s="282"/>
      <c r="V25" s="282"/>
      <c r="W25" s="338"/>
      <c r="Y25" s="152"/>
      <c r="Z25" s="152"/>
      <c r="AA25" s="152"/>
      <c r="AB25" s="152"/>
    </row>
    <row r="26" spans="4:29" ht="30" hidden="1" customHeight="1" outlineLevel="1">
      <c r="D26" s="1418"/>
      <c r="E26" s="1419"/>
      <c r="F26" s="347"/>
      <c r="G26" s="352"/>
      <c r="H26" s="349"/>
      <c r="I26" s="353"/>
      <c r="J26" s="354"/>
      <c r="K26" s="184"/>
      <c r="L26" s="184"/>
      <c r="M26" s="184"/>
      <c r="N26" s="184"/>
      <c r="O26" s="184"/>
      <c r="P26" s="184"/>
      <c r="Q26" s="184"/>
      <c r="R26" s="282"/>
      <c r="S26" s="282"/>
      <c r="T26" s="282"/>
      <c r="U26" s="282"/>
      <c r="V26" s="282"/>
      <c r="W26" s="338"/>
      <c r="Y26" s="152"/>
      <c r="Z26" s="152"/>
      <c r="AA26" s="152"/>
      <c r="AB26" s="152"/>
    </row>
    <row r="27" spans="4:29" ht="30" hidden="1" customHeight="1" outlineLevel="1">
      <c r="D27" s="1418"/>
      <c r="E27" s="1419"/>
      <c r="F27" s="347"/>
      <c r="G27" s="352"/>
      <c r="H27" s="349"/>
      <c r="I27" s="353"/>
      <c r="J27" s="354"/>
      <c r="K27" s="184"/>
      <c r="L27" s="184"/>
      <c r="M27" s="184"/>
      <c r="N27" s="184"/>
      <c r="O27" s="184"/>
      <c r="P27" s="184"/>
      <c r="Q27" s="184"/>
      <c r="R27" s="282"/>
      <c r="S27" s="282"/>
      <c r="T27" s="282"/>
      <c r="U27" s="282"/>
      <c r="V27" s="282"/>
      <c r="W27" s="338"/>
      <c r="Y27" s="152"/>
      <c r="Z27" s="152"/>
      <c r="AA27" s="152"/>
      <c r="AB27" s="152"/>
    </row>
    <row r="28" spans="4:29" ht="30" hidden="1" customHeight="1" outlineLevel="1">
      <c r="D28" s="1418"/>
      <c r="E28" s="1419"/>
      <c r="F28" s="347"/>
      <c r="G28" s="352"/>
      <c r="H28" s="349"/>
      <c r="I28" s="353"/>
      <c r="J28" s="354"/>
      <c r="K28" s="184"/>
      <c r="L28" s="184"/>
      <c r="M28" s="184"/>
      <c r="N28" s="184"/>
      <c r="O28" s="184"/>
      <c r="P28" s="184"/>
      <c r="Q28" s="184"/>
      <c r="R28" s="282"/>
      <c r="S28" s="282"/>
      <c r="T28" s="282"/>
      <c r="U28" s="282"/>
      <c r="V28" s="282"/>
      <c r="W28" s="338"/>
      <c r="Y28" s="152"/>
      <c r="Z28" s="152"/>
      <c r="AA28" s="152"/>
      <c r="AB28" s="152"/>
    </row>
    <row r="29" spans="4:29" ht="30" hidden="1" customHeight="1" outlineLevel="1">
      <c r="D29" s="1418"/>
      <c r="E29" s="1419"/>
      <c r="F29" s="347"/>
      <c r="G29" s="352"/>
      <c r="H29" s="349"/>
      <c r="I29" s="353"/>
      <c r="J29" s="354"/>
      <c r="K29" s="184"/>
      <c r="L29" s="184"/>
      <c r="M29" s="184"/>
      <c r="N29" s="184"/>
      <c r="O29" s="184"/>
      <c r="P29" s="184"/>
      <c r="Q29" s="184"/>
      <c r="R29" s="282"/>
      <c r="S29" s="282"/>
      <c r="T29" s="282"/>
      <c r="U29" s="282"/>
      <c r="V29" s="282"/>
      <c r="W29" s="338"/>
      <c r="Y29" s="152"/>
      <c r="Z29" s="152"/>
      <c r="AA29" s="152"/>
      <c r="AB29" s="152"/>
    </row>
    <row r="30" spans="4:29" ht="30" hidden="1" customHeight="1" outlineLevel="1">
      <c r="D30" s="1418"/>
      <c r="E30" s="1419"/>
      <c r="F30" s="347"/>
      <c r="G30" s="352"/>
      <c r="H30" s="349"/>
      <c r="I30" s="353"/>
      <c r="J30" s="354"/>
      <c r="K30" s="184"/>
      <c r="L30" s="184"/>
      <c r="M30" s="184"/>
      <c r="N30" s="184"/>
      <c r="O30" s="184"/>
      <c r="P30" s="184"/>
      <c r="Q30" s="184"/>
      <c r="R30" s="282"/>
      <c r="S30" s="282"/>
      <c r="T30" s="282"/>
      <c r="U30" s="282"/>
      <c r="V30" s="282"/>
      <c r="W30" s="338" t="s">
        <v>276</v>
      </c>
      <c r="Y30" s="152"/>
      <c r="Z30" s="152"/>
      <c r="AA30" s="152"/>
      <c r="AB30" s="152"/>
    </row>
    <row r="31" spans="4:29" ht="30" hidden="1" customHeight="1" outlineLevel="1" thickBot="1">
      <c r="D31" s="1420"/>
      <c r="E31" s="1421"/>
      <c r="F31" s="347"/>
      <c r="G31" s="348"/>
      <c r="H31" s="355"/>
      <c r="I31" s="356"/>
      <c r="J31" s="354"/>
      <c r="K31" s="184"/>
      <c r="L31" s="184"/>
      <c r="M31" s="184"/>
      <c r="N31" s="184"/>
      <c r="O31" s="184"/>
      <c r="P31" s="184"/>
      <c r="Q31" s="184"/>
      <c r="R31" s="282"/>
      <c r="S31" s="282"/>
      <c r="T31" s="282"/>
      <c r="U31" s="282"/>
      <c r="V31" s="282"/>
      <c r="W31" s="1342" t="s">
        <v>277</v>
      </c>
      <c r="X31" s="1342"/>
      <c r="Y31" s="1342" t="s">
        <v>269</v>
      </c>
      <c r="Z31" s="1342"/>
      <c r="AA31" s="1401" t="s">
        <v>278</v>
      </c>
      <c r="AB31" s="1426"/>
      <c r="AC31" s="221" t="s">
        <v>217</v>
      </c>
    </row>
    <row r="32" spans="4:29" ht="30" customHeight="1" thickTop="1">
      <c r="D32" s="1427" t="s">
        <v>279</v>
      </c>
      <c r="E32" s="1428"/>
      <c r="F32" s="357"/>
      <c r="G32" s="358"/>
      <c r="H32" s="359"/>
      <c r="I32" s="1431"/>
      <c r="J32" s="354"/>
      <c r="K32" s="184"/>
      <c r="L32" s="184"/>
      <c r="M32" s="184"/>
      <c r="N32" s="184"/>
      <c r="O32" s="184"/>
      <c r="P32" s="184"/>
      <c r="Q32" s="184"/>
      <c r="R32" s="282"/>
      <c r="S32" s="282"/>
      <c r="T32" s="282"/>
      <c r="U32" s="282"/>
      <c r="V32" s="282"/>
      <c r="W32" s="1433" t="s">
        <v>279</v>
      </c>
      <c r="X32" s="360">
        <f>F32</f>
        <v>0</v>
      </c>
      <c r="Y32" s="361">
        <f>G32</f>
        <v>0</v>
      </c>
      <c r="Z32" s="362">
        <f>H32</f>
        <v>0</v>
      </c>
      <c r="AA32" s="363"/>
      <c r="AB32" s="364" t="str">
        <f>"円/"&amp;Z32</f>
        <v>円/0</v>
      </c>
      <c r="AC32" s="351">
        <f>ROUND(Y32*AA32,)</f>
        <v>0</v>
      </c>
    </row>
    <row r="33" spans="3:34" ht="30" customHeight="1">
      <c r="D33" s="1429"/>
      <c r="E33" s="1430"/>
      <c r="F33" s="365"/>
      <c r="G33" s="366"/>
      <c r="H33" s="367"/>
      <c r="I33" s="1432"/>
      <c r="J33" s="354"/>
      <c r="K33" s="184"/>
      <c r="L33" s="184"/>
      <c r="M33" s="184"/>
      <c r="N33" s="184"/>
      <c r="O33" s="184"/>
      <c r="P33" s="184"/>
      <c r="Q33" s="184"/>
      <c r="R33" s="282"/>
      <c r="S33" s="282"/>
      <c r="T33" s="282"/>
      <c r="U33" s="282"/>
      <c r="V33" s="282"/>
      <c r="W33" s="1433"/>
      <c r="X33" s="360">
        <f t="shared" ref="X33:Z46" si="0">F33</f>
        <v>0</v>
      </c>
      <c r="Y33" s="361">
        <f t="shared" si="0"/>
        <v>0</v>
      </c>
      <c r="Z33" s="362">
        <f t="shared" si="0"/>
        <v>0</v>
      </c>
      <c r="AA33" s="368"/>
      <c r="AB33" s="364" t="str">
        <f t="shared" ref="AB33:AB46" si="1">"円/"&amp;Z33</f>
        <v>円/0</v>
      </c>
      <c r="AC33" s="351">
        <f t="shared" ref="AC33:AC46" si="2">ROUND(Y33*AA33,)</f>
        <v>0</v>
      </c>
    </row>
    <row r="34" spans="3:34" ht="30" customHeight="1">
      <c r="D34" s="1429"/>
      <c r="E34" s="1430"/>
      <c r="F34" s="365"/>
      <c r="G34" s="366"/>
      <c r="H34" s="367"/>
      <c r="I34" s="1432"/>
      <c r="J34" s="354"/>
      <c r="K34" s="184"/>
      <c r="L34" s="184"/>
      <c r="M34" s="184"/>
      <c r="N34" s="184"/>
      <c r="O34" s="184"/>
      <c r="P34" s="184"/>
      <c r="Q34" s="184"/>
      <c r="R34" s="282"/>
      <c r="S34" s="282"/>
      <c r="T34" s="282"/>
      <c r="U34" s="282"/>
      <c r="V34" s="282"/>
      <c r="W34" s="1433"/>
      <c r="X34" s="360">
        <f t="shared" si="0"/>
        <v>0</v>
      </c>
      <c r="Y34" s="361">
        <f t="shared" si="0"/>
        <v>0</v>
      </c>
      <c r="Z34" s="362">
        <f t="shared" si="0"/>
        <v>0</v>
      </c>
      <c r="AA34" s="368"/>
      <c r="AB34" s="364" t="str">
        <f t="shared" si="1"/>
        <v>円/0</v>
      </c>
      <c r="AC34" s="351">
        <f t="shared" si="2"/>
        <v>0</v>
      </c>
    </row>
    <row r="35" spans="3:34" ht="30" customHeight="1">
      <c r="D35" s="1429"/>
      <c r="E35" s="1430"/>
      <c r="F35" s="365"/>
      <c r="G35" s="366"/>
      <c r="H35" s="367"/>
      <c r="I35" s="1432"/>
      <c r="J35" s="354"/>
      <c r="K35" s="184"/>
      <c r="L35" s="184"/>
      <c r="M35" s="184"/>
      <c r="N35" s="184"/>
      <c r="O35" s="184"/>
      <c r="P35" s="184"/>
      <c r="Q35" s="184"/>
      <c r="R35" s="282"/>
      <c r="S35" s="282"/>
      <c r="T35" s="282"/>
      <c r="U35" s="282"/>
      <c r="V35" s="282"/>
      <c r="W35" s="1433"/>
      <c r="X35" s="360">
        <f t="shared" si="0"/>
        <v>0</v>
      </c>
      <c r="Y35" s="361">
        <f t="shared" si="0"/>
        <v>0</v>
      </c>
      <c r="Z35" s="362">
        <f t="shared" si="0"/>
        <v>0</v>
      </c>
      <c r="AA35" s="368"/>
      <c r="AB35" s="364" t="str">
        <f t="shared" si="1"/>
        <v>円/0</v>
      </c>
      <c r="AC35" s="351">
        <f t="shared" si="2"/>
        <v>0</v>
      </c>
    </row>
    <row r="36" spans="3:34" ht="30" customHeight="1" collapsed="1" thickBot="1">
      <c r="D36" s="1429"/>
      <c r="E36" s="1430"/>
      <c r="F36" s="365"/>
      <c r="G36" s="366"/>
      <c r="H36" s="367"/>
      <c r="I36" s="1432"/>
      <c r="J36" s="354"/>
      <c r="K36" s="184"/>
      <c r="L36" s="184"/>
      <c r="M36" s="184"/>
      <c r="N36" s="184"/>
      <c r="O36" s="184"/>
      <c r="P36" s="184"/>
      <c r="Q36" s="184"/>
      <c r="R36" s="282"/>
      <c r="S36" s="282"/>
      <c r="T36" s="282"/>
      <c r="U36" s="282"/>
      <c r="V36" s="282"/>
      <c r="W36" s="1433"/>
      <c r="X36" s="360">
        <f t="shared" si="0"/>
        <v>0</v>
      </c>
      <c r="Y36" s="361">
        <f t="shared" si="0"/>
        <v>0</v>
      </c>
      <c r="Z36" s="362">
        <f t="shared" si="0"/>
        <v>0</v>
      </c>
      <c r="AA36" s="368"/>
      <c r="AB36" s="364" t="str">
        <f t="shared" si="1"/>
        <v>円/0</v>
      </c>
      <c r="AC36" s="351">
        <f t="shared" si="2"/>
        <v>0</v>
      </c>
    </row>
    <row r="37" spans="3:34" ht="30" hidden="1" customHeight="1" outlineLevel="1">
      <c r="D37" s="1429"/>
      <c r="E37" s="1430"/>
      <c r="F37" s="365"/>
      <c r="G37" s="366"/>
      <c r="H37" s="367"/>
      <c r="I37" s="1432"/>
      <c r="J37" s="354"/>
      <c r="K37" s="184"/>
      <c r="L37" s="184"/>
      <c r="M37" s="184"/>
      <c r="N37" s="184"/>
      <c r="O37" s="184"/>
      <c r="P37" s="184"/>
      <c r="Q37" s="184"/>
      <c r="R37" s="282"/>
      <c r="S37" s="282"/>
      <c r="T37" s="282"/>
      <c r="U37" s="282"/>
      <c r="V37" s="282"/>
      <c r="W37" s="1433"/>
      <c r="X37" s="360">
        <f t="shared" si="0"/>
        <v>0</v>
      </c>
      <c r="Y37" s="361">
        <f t="shared" si="0"/>
        <v>0</v>
      </c>
      <c r="Z37" s="362">
        <f t="shared" si="0"/>
        <v>0</v>
      </c>
      <c r="AA37" s="368"/>
      <c r="AB37" s="364" t="str">
        <f t="shared" si="1"/>
        <v>円/0</v>
      </c>
      <c r="AC37" s="351">
        <f t="shared" si="2"/>
        <v>0</v>
      </c>
    </row>
    <row r="38" spans="3:34" ht="30" hidden="1" customHeight="1" outlineLevel="1">
      <c r="D38" s="1429"/>
      <c r="E38" s="1430"/>
      <c r="F38" s="365"/>
      <c r="G38" s="366"/>
      <c r="H38" s="367"/>
      <c r="I38" s="1432"/>
      <c r="J38" s="354"/>
      <c r="K38" s="184"/>
      <c r="L38" s="184"/>
      <c r="M38" s="184"/>
      <c r="N38" s="184"/>
      <c r="O38" s="184"/>
      <c r="P38" s="184"/>
      <c r="Q38" s="184"/>
      <c r="R38" s="282"/>
      <c r="S38" s="282"/>
      <c r="T38" s="282"/>
      <c r="U38" s="282"/>
      <c r="V38" s="282"/>
      <c r="W38" s="1433"/>
      <c r="X38" s="360">
        <f t="shared" si="0"/>
        <v>0</v>
      </c>
      <c r="Y38" s="361">
        <f t="shared" si="0"/>
        <v>0</v>
      </c>
      <c r="Z38" s="362">
        <f t="shared" si="0"/>
        <v>0</v>
      </c>
      <c r="AA38" s="368"/>
      <c r="AB38" s="364" t="str">
        <f t="shared" si="1"/>
        <v>円/0</v>
      </c>
      <c r="AC38" s="351">
        <f t="shared" si="2"/>
        <v>0</v>
      </c>
    </row>
    <row r="39" spans="3:34" ht="30" hidden="1" customHeight="1" outlineLevel="1">
      <c r="D39" s="1429"/>
      <c r="E39" s="1430"/>
      <c r="F39" s="365"/>
      <c r="G39" s="366"/>
      <c r="H39" s="367"/>
      <c r="I39" s="1432"/>
      <c r="J39" s="354"/>
      <c r="K39" s="184"/>
      <c r="L39" s="184"/>
      <c r="M39" s="184"/>
      <c r="N39" s="184"/>
      <c r="O39" s="184"/>
      <c r="P39" s="184"/>
      <c r="Q39" s="184"/>
      <c r="R39" s="282"/>
      <c r="S39" s="282"/>
      <c r="T39" s="282"/>
      <c r="U39" s="282"/>
      <c r="V39" s="282"/>
      <c r="W39" s="1433"/>
      <c r="X39" s="360">
        <f t="shared" si="0"/>
        <v>0</v>
      </c>
      <c r="Y39" s="361">
        <f t="shared" si="0"/>
        <v>0</v>
      </c>
      <c r="Z39" s="362">
        <f t="shared" si="0"/>
        <v>0</v>
      </c>
      <c r="AA39" s="368"/>
      <c r="AB39" s="364" t="str">
        <f t="shared" si="1"/>
        <v>円/0</v>
      </c>
      <c r="AC39" s="351">
        <f t="shared" si="2"/>
        <v>0</v>
      </c>
    </row>
    <row r="40" spans="3:34" ht="30" hidden="1" customHeight="1" outlineLevel="1">
      <c r="D40" s="1429"/>
      <c r="E40" s="1430"/>
      <c r="F40" s="365"/>
      <c r="G40" s="366"/>
      <c r="H40" s="367"/>
      <c r="I40" s="1432"/>
      <c r="J40" s="354"/>
      <c r="K40" s="184"/>
      <c r="L40" s="184"/>
      <c r="M40" s="184"/>
      <c r="N40" s="184"/>
      <c r="O40" s="184"/>
      <c r="P40" s="184"/>
      <c r="Q40" s="184"/>
      <c r="R40" s="282"/>
      <c r="S40" s="282"/>
      <c r="T40" s="282"/>
      <c r="U40" s="282"/>
      <c r="V40" s="282"/>
      <c r="W40" s="1433"/>
      <c r="X40" s="360">
        <f t="shared" si="0"/>
        <v>0</v>
      </c>
      <c r="Y40" s="361">
        <f t="shared" si="0"/>
        <v>0</v>
      </c>
      <c r="Z40" s="362">
        <f t="shared" si="0"/>
        <v>0</v>
      </c>
      <c r="AA40" s="368"/>
      <c r="AB40" s="369" t="str">
        <f t="shared" si="1"/>
        <v>円/0</v>
      </c>
      <c r="AC40" s="351">
        <f t="shared" si="2"/>
        <v>0</v>
      </c>
    </row>
    <row r="41" spans="3:34" ht="30" hidden="1" customHeight="1" outlineLevel="1">
      <c r="D41" s="1429"/>
      <c r="E41" s="1430"/>
      <c r="F41" s="365"/>
      <c r="G41" s="366"/>
      <c r="H41" s="367"/>
      <c r="I41" s="1432"/>
      <c r="J41" s="354"/>
      <c r="K41" s="184"/>
      <c r="L41" s="184"/>
      <c r="M41" s="184"/>
      <c r="N41" s="184"/>
      <c r="O41" s="184"/>
      <c r="P41" s="184"/>
      <c r="Q41" s="184"/>
      <c r="R41" s="282"/>
      <c r="S41" s="282"/>
      <c r="T41" s="282"/>
      <c r="U41" s="282"/>
      <c r="V41" s="282"/>
      <c r="W41" s="1433"/>
      <c r="X41" s="360">
        <f t="shared" si="0"/>
        <v>0</v>
      </c>
      <c r="Y41" s="361">
        <f t="shared" si="0"/>
        <v>0</v>
      </c>
      <c r="Z41" s="362">
        <f t="shared" si="0"/>
        <v>0</v>
      </c>
      <c r="AA41" s="368"/>
      <c r="AB41" s="369" t="str">
        <f t="shared" si="1"/>
        <v>円/0</v>
      </c>
      <c r="AC41" s="351">
        <f t="shared" si="2"/>
        <v>0</v>
      </c>
    </row>
    <row r="42" spans="3:34" ht="30" hidden="1" customHeight="1" outlineLevel="1">
      <c r="D42" s="1429"/>
      <c r="E42" s="1430"/>
      <c r="F42" s="365"/>
      <c r="G42" s="366"/>
      <c r="H42" s="367"/>
      <c r="I42" s="1432"/>
      <c r="J42" s="354"/>
      <c r="K42" s="184"/>
      <c r="L42" s="184"/>
      <c r="M42" s="184"/>
      <c r="N42" s="184"/>
      <c r="O42" s="184"/>
      <c r="P42" s="184"/>
      <c r="Q42" s="184"/>
      <c r="R42" s="282"/>
      <c r="S42" s="282"/>
      <c r="T42" s="282"/>
      <c r="U42" s="282"/>
      <c r="V42" s="282"/>
      <c r="W42" s="1433"/>
      <c r="X42" s="360">
        <f t="shared" si="0"/>
        <v>0</v>
      </c>
      <c r="Y42" s="361">
        <f t="shared" si="0"/>
        <v>0</v>
      </c>
      <c r="Z42" s="362">
        <f t="shared" si="0"/>
        <v>0</v>
      </c>
      <c r="AA42" s="368"/>
      <c r="AB42" s="369" t="str">
        <f t="shared" si="1"/>
        <v>円/0</v>
      </c>
      <c r="AC42" s="351">
        <f t="shared" si="2"/>
        <v>0</v>
      </c>
    </row>
    <row r="43" spans="3:34" ht="30" hidden="1" customHeight="1" outlineLevel="1">
      <c r="D43" s="1429"/>
      <c r="E43" s="1430"/>
      <c r="F43" s="365"/>
      <c r="G43" s="366"/>
      <c r="H43" s="367"/>
      <c r="I43" s="1432"/>
      <c r="J43" s="354"/>
      <c r="K43" s="184"/>
      <c r="L43" s="184"/>
      <c r="M43" s="184"/>
      <c r="N43" s="184"/>
      <c r="O43" s="184"/>
      <c r="P43" s="184"/>
      <c r="Q43" s="184"/>
      <c r="R43" s="282"/>
      <c r="S43" s="282"/>
      <c r="T43" s="282"/>
      <c r="U43" s="282"/>
      <c r="V43" s="282"/>
      <c r="W43" s="1433"/>
      <c r="X43" s="360">
        <f t="shared" si="0"/>
        <v>0</v>
      </c>
      <c r="Y43" s="361">
        <f t="shared" si="0"/>
        <v>0</v>
      </c>
      <c r="Z43" s="362">
        <f t="shared" si="0"/>
        <v>0</v>
      </c>
      <c r="AA43" s="368"/>
      <c r="AB43" s="369" t="str">
        <f t="shared" si="1"/>
        <v>円/0</v>
      </c>
      <c r="AC43" s="351">
        <f t="shared" si="2"/>
        <v>0</v>
      </c>
    </row>
    <row r="44" spans="3:34" ht="30" hidden="1" customHeight="1" outlineLevel="1">
      <c r="D44" s="1429"/>
      <c r="E44" s="1430"/>
      <c r="F44" s="365"/>
      <c r="G44" s="366"/>
      <c r="H44" s="367"/>
      <c r="I44" s="1432"/>
      <c r="J44" s="354"/>
      <c r="K44" s="184"/>
      <c r="L44" s="184"/>
      <c r="M44" s="184"/>
      <c r="N44" s="184"/>
      <c r="O44" s="184"/>
      <c r="P44" s="184"/>
      <c r="Q44" s="184"/>
      <c r="R44" s="282"/>
      <c r="S44" s="282"/>
      <c r="T44" s="282"/>
      <c r="U44" s="282"/>
      <c r="V44" s="282"/>
      <c r="W44" s="1433"/>
      <c r="X44" s="360">
        <f t="shared" si="0"/>
        <v>0</v>
      </c>
      <c r="Y44" s="361">
        <f t="shared" si="0"/>
        <v>0</v>
      </c>
      <c r="Z44" s="362">
        <f t="shared" si="0"/>
        <v>0</v>
      </c>
      <c r="AA44" s="368"/>
      <c r="AB44" s="369" t="str">
        <f t="shared" si="1"/>
        <v>円/0</v>
      </c>
      <c r="AC44" s="351">
        <f t="shared" si="2"/>
        <v>0</v>
      </c>
    </row>
    <row r="45" spans="3:34" ht="30" hidden="1" customHeight="1" outlineLevel="1">
      <c r="D45" s="1429"/>
      <c r="E45" s="1430"/>
      <c r="F45" s="365"/>
      <c r="G45" s="366"/>
      <c r="H45" s="367"/>
      <c r="I45" s="1432"/>
      <c r="J45" s="354"/>
      <c r="K45" s="184"/>
      <c r="L45" s="184"/>
      <c r="M45" s="184"/>
      <c r="N45" s="184"/>
      <c r="O45" s="184"/>
      <c r="P45" s="184"/>
      <c r="Q45" s="184"/>
      <c r="R45" s="282"/>
      <c r="S45" s="282"/>
      <c r="T45" s="282"/>
      <c r="U45" s="282"/>
      <c r="V45" s="282"/>
      <c r="W45" s="1433"/>
      <c r="X45" s="360">
        <f t="shared" si="0"/>
        <v>0</v>
      </c>
      <c r="Y45" s="361">
        <f t="shared" si="0"/>
        <v>0</v>
      </c>
      <c r="Z45" s="362">
        <f t="shared" si="0"/>
        <v>0</v>
      </c>
      <c r="AA45" s="368"/>
      <c r="AB45" s="369" t="str">
        <f t="shared" si="1"/>
        <v>円/0</v>
      </c>
      <c r="AC45" s="351">
        <f t="shared" si="2"/>
        <v>0</v>
      </c>
    </row>
    <row r="46" spans="3:34" ht="30" hidden="1" customHeight="1" outlineLevel="1" thickBot="1">
      <c r="D46" s="1429"/>
      <c r="E46" s="1430"/>
      <c r="F46" s="370"/>
      <c r="G46" s="371"/>
      <c r="H46" s="372"/>
      <c r="I46" s="1432"/>
      <c r="J46" s="354"/>
      <c r="K46" s="184"/>
      <c r="L46" s="184"/>
      <c r="M46" s="184"/>
      <c r="N46" s="184"/>
      <c r="O46" s="184"/>
      <c r="P46" s="184"/>
      <c r="Q46" s="184"/>
      <c r="R46" s="282"/>
      <c r="S46" s="282"/>
      <c r="T46" s="282"/>
      <c r="U46" s="282"/>
      <c r="V46" s="282"/>
      <c r="W46" s="1433"/>
      <c r="X46" s="360">
        <f t="shared" si="0"/>
        <v>0</v>
      </c>
      <c r="Y46" s="361">
        <f t="shared" si="0"/>
        <v>0</v>
      </c>
      <c r="Z46" s="362">
        <f t="shared" si="0"/>
        <v>0</v>
      </c>
      <c r="AA46" s="373"/>
      <c r="AB46" s="374" t="str">
        <f t="shared" si="1"/>
        <v>円/0</v>
      </c>
      <c r="AC46" s="351">
        <f t="shared" si="2"/>
        <v>0</v>
      </c>
    </row>
    <row r="47" spans="3:34" ht="30" customHeight="1" thickTop="1">
      <c r="C47" s="375" t="s">
        <v>280</v>
      </c>
      <c r="D47" s="376"/>
      <c r="E47" s="377"/>
      <c r="F47" s="378"/>
      <c r="G47" s="379"/>
      <c r="H47" s="379"/>
      <c r="I47" s="380"/>
      <c r="R47" s="231"/>
      <c r="S47" s="231"/>
      <c r="T47" s="231"/>
      <c r="U47" s="231"/>
      <c r="V47" s="214"/>
      <c r="W47" s="1342" t="s">
        <v>281</v>
      </c>
      <c r="X47" s="1342"/>
      <c r="Y47" s="1434"/>
      <c r="Z47" s="1435"/>
      <c r="AA47" s="1422"/>
      <c r="AB47" s="1423"/>
      <c r="AC47" s="351">
        <f>SUM(AC32:AC46)</f>
        <v>0</v>
      </c>
      <c r="AD47" s="148"/>
      <c r="AE47" s="148"/>
      <c r="AF47" s="148"/>
      <c r="AG47" s="148"/>
      <c r="AH47" s="148"/>
    </row>
    <row r="48" spans="3:34" ht="30" customHeight="1">
      <c r="C48" s="375"/>
      <c r="D48" s="375"/>
      <c r="E48" s="73"/>
      <c r="F48" s="73"/>
      <c r="G48" s="209"/>
      <c r="H48" s="209"/>
      <c r="I48" s="20"/>
      <c r="R48" s="214"/>
      <c r="S48" s="214"/>
      <c r="T48" s="214"/>
      <c r="U48" s="214"/>
      <c r="V48" s="214"/>
      <c r="W48" s="381"/>
      <c r="X48" s="381"/>
      <c r="Y48" s="340"/>
      <c r="Z48" s="340"/>
      <c r="AA48" s="340"/>
      <c r="AB48" s="340"/>
    </row>
    <row r="49" spans="1:35" ht="14.25" hidden="1" customHeight="1">
      <c r="A49" s="30"/>
      <c r="B49" s="68"/>
      <c r="C49" s="130" t="s">
        <v>280</v>
      </c>
      <c r="D49" s="58"/>
      <c r="E49" s="58"/>
      <c r="F49" s="58"/>
      <c r="G49" s="58"/>
      <c r="H49" s="58"/>
      <c r="I49" s="58"/>
      <c r="J49" s="30"/>
      <c r="K49" s="30"/>
      <c r="L49" s="30"/>
      <c r="M49" s="30"/>
      <c r="N49" s="30"/>
      <c r="O49" s="30"/>
      <c r="P49" s="30"/>
      <c r="Q49" s="30"/>
      <c r="W49" s="130" t="s">
        <v>282</v>
      </c>
      <c r="X49" s="340"/>
      <c r="Y49" s="340"/>
      <c r="Z49" s="340"/>
      <c r="AA49" s="340"/>
      <c r="AB49" s="340"/>
    </row>
    <row r="50" spans="1:35" ht="14.25" hidden="1" customHeight="1" thickBot="1">
      <c r="A50" s="30"/>
      <c r="B50" s="68"/>
      <c r="C50" s="130"/>
      <c r="D50" s="58"/>
      <c r="E50" s="58"/>
      <c r="F50" s="58"/>
      <c r="G50" s="58"/>
      <c r="H50" s="58"/>
      <c r="I50" s="58"/>
      <c r="J50" s="30"/>
      <c r="K50" s="30"/>
      <c r="L50" s="30"/>
      <c r="M50" s="30"/>
      <c r="N50" s="30"/>
      <c r="O50" s="30"/>
      <c r="P50" s="30"/>
      <c r="Q50" s="30"/>
      <c r="W50" s="340"/>
      <c r="X50" s="340"/>
      <c r="Y50" s="340"/>
      <c r="Z50" s="340"/>
      <c r="AA50" s="340"/>
      <c r="AB50" s="340"/>
    </row>
    <row r="51" spans="1:35" ht="14.25" hidden="1" customHeight="1">
      <c r="C51" s="341"/>
      <c r="D51" s="1212" t="s">
        <v>268</v>
      </c>
      <c r="E51" s="1213"/>
      <c r="F51" s="1410"/>
      <c r="G51" s="1436" t="s">
        <v>269</v>
      </c>
      <c r="H51" s="382"/>
      <c r="I51" s="1411" t="s">
        <v>270</v>
      </c>
      <c r="W51" s="340"/>
      <c r="X51" s="340"/>
      <c r="Y51" s="340"/>
      <c r="Z51" s="340"/>
      <c r="AA51" s="340"/>
      <c r="AB51" s="340"/>
    </row>
    <row r="52" spans="1:35" ht="14.25" hidden="1" customHeight="1">
      <c r="C52" s="341"/>
      <c r="D52" s="1215"/>
      <c r="E52" s="1216"/>
      <c r="F52" s="1256"/>
      <c r="G52" s="1437"/>
      <c r="H52" s="1414" t="s">
        <v>132</v>
      </c>
      <c r="I52" s="1412"/>
      <c r="W52" s="148"/>
      <c r="X52" s="148"/>
      <c r="Y52" s="148"/>
      <c r="Z52" s="148"/>
      <c r="AA52" s="148"/>
      <c r="AB52" s="148"/>
      <c r="AC52" s="148"/>
      <c r="AD52" s="148"/>
      <c r="AE52" s="148"/>
      <c r="AF52" s="148"/>
      <c r="AG52" s="148"/>
      <c r="AH52" s="148"/>
      <c r="AI52" s="148"/>
    </row>
    <row r="53" spans="1:35" ht="14.25" hidden="1" customHeight="1" thickBot="1">
      <c r="D53" s="1218"/>
      <c r="E53" s="1219"/>
      <c r="F53" s="1248"/>
      <c r="G53" s="1438"/>
      <c r="H53" s="1415"/>
      <c r="I53" s="1439"/>
    </row>
    <row r="54" spans="1:35" ht="30" hidden="1" customHeight="1" thickTop="1" thickBot="1">
      <c r="D54" s="1440" t="s">
        <v>271</v>
      </c>
      <c r="E54" s="1417"/>
      <c r="F54" s="343" t="s">
        <v>272</v>
      </c>
      <c r="G54" s="383"/>
      <c r="H54" s="345" t="s">
        <v>283</v>
      </c>
      <c r="I54" s="384"/>
      <c r="J54" s="220"/>
      <c r="K54" s="184"/>
      <c r="L54" s="184"/>
      <c r="M54" s="184"/>
      <c r="N54" s="184"/>
      <c r="O54" s="184"/>
      <c r="P54" s="184"/>
      <c r="Q54" s="184"/>
      <c r="R54" s="184"/>
      <c r="S54" s="184"/>
      <c r="T54" s="184"/>
      <c r="U54" s="184"/>
      <c r="V54" s="184"/>
      <c r="W54" s="1441"/>
      <c r="X54" s="1442"/>
      <c r="Y54" s="1424"/>
      <c r="Z54" s="1425"/>
      <c r="AA54" s="1424"/>
      <c r="AB54" s="1425"/>
      <c r="AC54" s="221" t="s">
        <v>217</v>
      </c>
    </row>
    <row r="55" spans="1:35" ht="30" hidden="1" customHeight="1" thickTop="1">
      <c r="D55" s="1418"/>
      <c r="E55" s="1419"/>
      <c r="F55" s="385"/>
      <c r="G55" s="386"/>
      <c r="H55" s="387"/>
      <c r="I55" s="388"/>
      <c r="J55" s="354"/>
      <c r="K55" s="184"/>
      <c r="L55" s="184"/>
      <c r="M55" s="184"/>
      <c r="N55" s="184"/>
      <c r="O55" s="184"/>
      <c r="P55" s="184"/>
      <c r="Q55" s="184"/>
      <c r="R55" s="184"/>
      <c r="S55" s="184"/>
      <c r="T55" s="184"/>
      <c r="U55" s="184"/>
      <c r="V55" s="184"/>
      <c r="W55" s="1374" t="s">
        <v>284</v>
      </c>
      <c r="X55" s="1376"/>
      <c r="Y55" s="1424"/>
      <c r="Z55" s="1425"/>
      <c r="AA55" s="1424"/>
      <c r="AB55" s="1425"/>
      <c r="AC55" s="351">
        <f>IF(OR(I54="",I54=0),SUM(I55:I69),I54)</f>
        <v>0</v>
      </c>
    </row>
    <row r="56" spans="1:35" ht="30" hidden="1" customHeight="1">
      <c r="D56" s="1418"/>
      <c r="E56" s="1419"/>
      <c r="F56" s="385"/>
      <c r="G56" s="386"/>
      <c r="H56" s="387"/>
      <c r="I56" s="353"/>
      <c r="J56" s="354"/>
      <c r="K56" s="184"/>
      <c r="L56" s="184"/>
      <c r="M56" s="184"/>
      <c r="N56" s="184"/>
      <c r="O56" s="184"/>
      <c r="P56" s="184"/>
      <c r="Q56" s="184"/>
      <c r="R56" s="184"/>
      <c r="S56" s="184"/>
      <c r="T56" s="184"/>
      <c r="U56" s="184"/>
      <c r="V56" s="184"/>
    </row>
    <row r="57" spans="1:35" ht="30" hidden="1" customHeight="1">
      <c r="D57" s="1418"/>
      <c r="E57" s="1419"/>
      <c r="F57" s="385"/>
      <c r="G57" s="386"/>
      <c r="H57" s="387"/>
      <c r="I57" s="353"/>
      <c r="J57" s="354"/>
      <c r="K57" s="184"/>
      <c r="L57" s="184"/>
      <c r="M57" s="184"/>
      <c r="N57" s="184"/>
      <c r="O57" s="184"/>
      <c r="P57" s="184"/>
      <c r="Q57" s="184"/>
      <c r="R57" s="184"/>
      <c r="S57" s="184"/>
      <c r="T57" s="184"/>
      <c r="U57" s="184"/>
      <c r="V57" s="184"/>
    </row>
    <row r="58" spans="1:35" ht="30" hidden="1" customHeight="1" collapsed="1">
      <c r="D58" s="1418"/>
      <c r="E58" s="1419"/>
      <c r="F58" s="385"/>
      <c r="G58" s="386"/>
      <c r="H58" s="387"/>
      <c r="I58" s="353"/>
      <c r="J58" s="354"/>
      <c r="K58" s="184"/>
      <c r="L58" s="184"/>
      <c r="M58" s="184"/>
      <c r="N58" s="184"/>
      <c r="O58" s="184"/>
      <c r="P58" s="184"/>
      <c r="Q58" s="184"/>
      <c r="R58" s="184"/>
      <c r="S58" s="184"/>
      <c r="T58" s="184"/>
      <c r="U58" s="184"/>
      <c r="V58" s="184"/>
    </row>
    <row r="59" spans="1:35" ht="30" hidden="1" customHeight="1" outlineLevel="1">
      <c r="D59" s="1418"/>
      <c r="E59" s="1419"/>
      <c r="F59" s="385"/>
      <c r="G59" s="386"/>
      <c r="H59" s="387"/>
      <c r="I59" s="353"/>
      <c r="J59" s="354"/>
      <c r="K59" s="184"/>
      <c r="L59" s="184"/>
      <c r="M59" s="184"/>
      <c r="N59" s="184"/>
      <c r="O59" s="184"/>
      <c r="P59" s="184"/>
      <c r="Q59" s="184"/>
      <c r="R59" s="184"/>
      <c r="S59" s="184"/>
      <c r="T59" s="184"/>
      <c r="U59" s="184"/>
      <c r="V59" s="184"/>
    </row>
    <row r="60" spans="1:35" ht="30" hidden="1" customHeight="1" outlineLevel="1">
      <c r="D60" s="1418"/>
      <c r="E60" s="1419"/>
      <c r="F60" s="385"/>
      <c r="G60" s="386"/>
      <c r="H60" s="387"/>
      <c r="I60" s="353"/>
      <c r="J60" s="354"/>
      <c r="K60" s="184"/>
      <c r="L60" s="184"/>
      <c r="M60" s="184"/>
      <c r="N60" s="184"/>
      <c r="O60" s="184"/>
      <c r="P60" s="184"/>
      <c r="Q60" s="184"/>
      <c r="R60" s="184"/>
      <c r="S60" s="184"/>
      <c r="T60" s="184"/>
      <c r="U60" s="184"/>
      <c r="V60" s="184"/>
    </row>
    <row r="61" spans="1:35" ht="30" hidden="1" customHeight="1" outlineLevel="1">
      <c r="D61" s="1418"/>
      <c r="E61" s="1419"/>
      <c r="F61" s="385"/>
      <c r="G61" s="386"/>
      <c r="H61" s="387"/>
      <c r="I61" s="353"/>
      <c r="J61" s="354"/>
      <c r="K61" s="184"/>
      <c r="L61" s="184"/>
      <c r="M61" s="184"/>
      <c r="N61" s="184"/>
      <c r="O61" s="184"/>
      <c r="P61" s="184"/>
      <c r="Q61" s="184"/>
      <c r="R61" s="184"/>
      <c r="S61" s="184"/>
      <c r="T61" s="184"/>
      <c r="U61" s="184"/>
      <c r="V61" s="184"/>
    </row>
    <row r="62" spans="1:35" ht="30" hidden="1" customHeight="1" outlineLevel="1">
      <c r="D62" s="1418"/>
      <c r="E62" s="1419"/>
      <c r="F62" s="385"/>
      <c r="G62" s="386"/>
      <c r="H62" s="387"/>
      <c r="I62" s="353"/>
      <c r="J62" s="354"/>
      <c r="K62" s="184"/>
      <c r="L62" s="184"/>
      <c r="M62" s="184"/>
      <c r="N62" s="184"/>
      <c r="O62" s="184"/>
      <c r="P62" s="184"/>
      <c r="Q62" s="184"/>
      <c r="R62" s="184"/>
      <c r="S62" s="184"/>
      <c r="T62" s="184"/>
      <c r="U62" s="184"/>
      <c r="V62" s="184"/>
    </row>
    <row r="63" spans="1:35" ht="30" hidden="1" customHeight="1" outlineLevel="1">
      <c r="D63" s="1418"/>
      <c r="E63" s="1419"/>
      <c r="F63" s="385"/>
      <c r="G63" s="386"/>
      <c r="H63" s="387"/>
      <c r="I63" s="353"/>
      <c r="J63" s="354"/>
      <c r="K63" s="184"/>
      <c r="L63" s="184"/>
      <c r="M63" s="184"/>
      <c r="N63" s="184"/>
      <c r="O63" s="184"/>
      <c r="P63" s="184"/>
      <c r="Q63" s="184"/>
      <c r="R63" s="184"/>
      <c r="S63" s="184"/>
      <c r="T63" s="184"/>
      <c r="U63" s="184"/>
      <c r="V63" s="184"/>
    </row>
    <row r="64" spans="1:35" ht="30" hidden="1" customHeight="1" outlineLevel="1">
      <c r="D64" s="1418"/>
      <c r="E64" s="1419"/>
      <c r="F64" s="385"/>
      <c r="G64" s="386"/>
      <c r="H64" s="387"/>
      <c r="I64" s="353"/>
      <c r="J64" s="354"/>
      <c r="K64" s="184"/>
      <c r="L64" s="184"/>
      <c r="M64" s="184"/>
      <c r="N64" s="184"/>
      <c r="O64" s="184"/>
      <c r="P64" s="184"/>
      <c r="Q64" s="184"/>
      <c r="R64" s="184"/>
      <c r="S64" s="184"/>
      <c r="T64" s="184"/>
      <c r="U64" s="184"/>
      <c r="V64" s="184"/>
    </row>
    <row r="65" spans="4:29" ht="30" hidden="1" customHeight="1" outlineLevel="1">
      <c r="D65" s="1418"/>
      <c r="E65" s="1419"/>
      <c r="F65" s="385"/>
      <c r="G65" s="386"/>
      <c r="H65" s="387"/>
      <c r="I65" s="353"/>
      <c r="J65" s="354"/>
      <c r="K65" s="184"/>
      <c r="L65" s="184"/>
      <c r="M65" s="184"/>
      <c r="N65" s="184"/>
      <c r="O65" s="184"/>
      <c r="P65" s="184"/>
      <c r="Q65" s="184"/>
      <c r="R65" s="184"/>
      <c r="S65" s="184"/>
      <c r="T65" s="184"/>
      <c r="U65" s="184"/>
      <c r="V65" s="184"/>
    </row>
    <row r="66" spans="4:29" ht="30" hidden="1" customHeight="1" outlineLevel="1">
      <c r="D66" s="1418"/>
      <c r="E66" s="1419"/>
      <c r="F66" s="385"/>
      <c r="G66" s="386"/>
      <c r="H66" s="387"/>
      <c r="I66" s="353"/>
      <c r="J66" s="354"/>
      <c r="K66" s="184"/>
      <c r="L66" s="184"/>
      <c r="M66" s="184"/>
      <c r="N66" s="184"/>
      <c r="O66" s="184"/>
      <c r="P66" s="184"/>
      <c r="Q66" s="184"/>
      <c r="R66" s="184"/>
      <c r="S66" s="184"/>
      <c r="T66" s="184"/>
      <c r="U66" s="184"/>
      <c r="V66" s="184"/>
    </row>
    <row r="67" spans="4:29" ht="30" hidden="1" customHeight="1" outlineLevel="1">
      <c r="D67" s="1418"/>
      <c r="E67" s="1419"/>
      <c r="F67" s="385"/>
      <c r="G67" s="386"/>
      <c r="H67" s="387"/>
      <c r="I67" s="353"/>
      <c r="J67" s="354"/>
      <c r="K67" s="184"/>
      <c r="L67" s="184"/>
      <c r="M67" s="184"/>
      <c r="N67" s="184"/>
      <c r="O67" s="184"/>
      <c r="P67" s="184"/>
      <c r="Q67" s="184"/>
      <c r="R67" s="184"/>
      <c r="S67" s="184"/>
      <c r="T67" s="184"/>
      <c r="U67" s="184"/>
      <c r="V67" s="184"/>
    </row>
    <row r="68" spans="4:29" ht="30" hidden="1" customHeight="1" outlineLevel="1">
      <c r="D68" s="1418"/>
      <c r="E68" s="1419"/>
      <c r="F68" s="385"/>
      <c r="G68" s="386"/>
      <c r="H68" s="387"/>
      <c r="I68" s="353"/>
      <c r="J68" s="354"/>
      <c r="K68" s="184"/>
      <c r="L68" s="184"/>
      <c r="M68" s="184"/>
      <c r="N68" s="184"/>
      <c r="O68" s="184"/>
      <c r="P68" s="184"/>
      <c r="Q68" s="184"/>
      <c r="R68" s="184"/>
      <c r="S68" s="184"/>
      <c r="T68" s="184"/>
      <c r="U68" s="184"/>
      <c r="V68" s="184"/>
      <c r="W68" s="338" t="s">
        <v>285</v>
      </c>
      <c r="Y68" s="152"/>
      <c r="Z68" s="152"/>
      <c r="AA68" s="152"/>
      <c r="AB68" s="152"/>
    </row>
    <row r="69" spans="4:29" ht="30" hidden="1" customHeight="1" outlineLevel="1" thickBot="1">
      <c r="D69" s="1418"/>
      <c r="E69" s="1419"/>
      <c r="F69" s="347"/>
      <c r="G69" s="389"/>
      <c r="H69" s="355"/>
      <c r="I69" s="390"/>
      <c r="J69" s="354"/>
      <c r="K69" s="184"/>
      <c r="L69" s="184"/>
      <c r="M69" s="184"/>
      <c r="N69" s="184"/>
      <c r="O69" s="184"/>
      <c r="P69" s="184"/>
      <c r="Q69" s="184"/>
      <c r="R69" s="184"/>
      <c r="S69" s="184"/>
      <c r="T69" s="184"/>
      <c r="U69" s="184"/>
      <c r="V69" s="184"/>
      <c r="W69" s="1399" t="s">
        <v>286</v>
      </c>
      <c r="X69" s="1399"/>
      <c r="Y69" s="1399" t="s">
        <v>287</v>
      </c>
      <c r="Z69" s="1399"/>
      <c r="AA69" s="1401" t="s">
        <v>288</v>
      </c>
      <c r="AB69" s="1401"/>
      <c r="AC69" s="391" t="s">
        <v>289</v>
      </c>
    </row>
    <row r="70" spans="4:29" ht="30" hidden="1" customHeight="1" thickTop="1">
      <c r="D70" s="1427" t="s">
        <v>279</v>
      </c>
      <c r="E70" s="1428"/>
      <c r="F70" s="357"/>
      <c r="G70" s="392"/>
      <c r="H70" s="359"/>
      <c r="I70" s="1445"/>
      <c r="W70" s="1447" t="s">
        <v>279</v>
      </c>
      <c r="X70" s="393">
        <f>F70</f>
        <v>0</v>
      </c>
      <c r="Y70" s="394">
        <f>G70</f>
        <v>0</v>
      </c>
      <c r="Z70" s="395">
        <f>H70</f>
        <v>0</v>
      </c>
      <c r="AA70" s="396"/>
      <c r="AB70" s="397" t="str">
        <f>"円/"&amp;Z70</f>
        <v>円/0</v>
      </c>
      <c r="AC70" s="398">
        <f>ROUND(Y70*AA70,)</f>
        <v>0</v>
      </c>
    </row>
    <row r="71" spans="4:29" ht="30" hidden="1" customHeight="1">
      <c r="D71" s="1429"/>
      <c r="E71" s="1430"/>
      <c r="F71" s="365"/>
      <c r="G71" s="366"/>
      <c r="H71" s="367"/>
      <c r="I71" s="1432"/>
      <c r="W71" s="1447"/>
      <c r="X71" s="360">
        <f t="shared" ref="X71:Z84" si="3">F71</f>
        <v>0</v>
      </c>
      <c r="Y71" s="361">
        <f t="shared" si="3"/>
        <v>0</v>
      </c>
      <c r="Z71" s="399">
        <f t="shared" si="3"/>
        <v>0</v>
      </c>
      <c r="AA71" s="368"/>
      <c r="AB71" s="369" t="str">
        <f t="shared" ref="AB71:AB84" si="4">"円/"&amp;Z71</f>
        <v>円/0</v>
      </c>
      <c r="AC71" s="351">
        <f t="shared" ref="AC71:AC84" si="5">ROUND(Y71*AA71,)</f>
        <v>0</v>
      </c>
    </row>
    <row r="72" spans="4:29" ht="30" hidden="1" customHeight="1">
      <c r="D72" s="1429"/>
      <c r="E72" s="1430"/>
      <c r="F72" s="365"/>
      <c r="G72" s="366"/>
      <c r="H72" s="367"/>
      <c r="I72" s="1432"/>
      <c r="W72" s="1447"/>
      <c r="X72" s="360">
        <f t="shared" si="3"/>
        <v>0</v>
      </c>
      <c r="Y72" s="361">
        <f t="shared" si="3"/>
        <v>0</v>
      </c>
      <c r="Z72" s="399">
        <f t="shared" si="3"/>
        <v>0</v>
      </c>
      <c r="AA72" s="368"/>
      <c r="AB72" s="369" t="str">
        <f t="shared" si="4"/>
        <v>円/0</v>
      </c>
      <c r="AC72" s="351">
        <f t="shared" si="5"/>
        <v>0</v>
      </c>
    </row>
    <row r="73" spans="4:29" ht="30" hidden="1" customHeight="1">
      <c r="D73" s="1429"/>
      <c r="E73" s="1430"/>
      <c r="F73" s="365"/>
      <c r="G73" s="366"/>
      <c r="H73" s="367"/>
      <c r="I73" s="1432"/>
      <c r="W73" s="1447"/>
      <c r="X73" s="360">
        <f t="shared" si="3"/>
        <v>0</v>
      </c>
      <c r="Y73" s="361">
        <f t="shared" si="3"/>
        <v>0</v>
      </c>
      <c r="Z73" s="399">
        <f t="shared" si="3"/>
        <v>0</v>
      </c>
      <c r="AA73" s="368"/>
      <c r="AB73" s="369" t="str">
        <f t="shared" si="4"/>
        <v>円/0</v>
      </c>
      <c r="AC73" s="351">
        <f t="shared" si="5"/>
        <v>0</v>
      </c>
    </row>
    <row r="74" spans="4:29" ht="30" hidden="1" customHeight="1" collapsed="1">
      <c r="D74" s="1429"/>
      <c r="E74" s="1430"/>
      <c r="F74" s="365"/>
      <c r="G74" s="366"/>
      <c r="H74" s="367"/>
      <c r="I74" s="1432"/>
      <c r="W74" s="1447"/>
      <c r="X74" s="360">
        <f t="shared" si="3"/>
        <v>0</v>
      </c>
      <c r="Y74" s="361">
        <f t="shared" si="3"/>
        <v>0</v>
      </c>
      <c r="Z74" s="399">
        <f t="shared" si="3"/>
        <v>0</v>
      </c>
      <c r="AA74" s="368"/>
      <c r="AB74" s="369" t="str">
        <f t="shared" si="4"/>
        <v>円/0</v>
      </c>
      <c r="AC74" s="351">
        <f t="shared" si="5"/>
        <v>0</v>
      </c>
    </row>
    <row r="75" spans="4:29" ht="30" hidden="1" customHeight="1" outlineLevel="1">
      <c r="D75" s="1429"/>
      <c r="E75" s="1430"/>
      <c r="F75" s="365"/>
      <c r="G75" s="366"/>
      <c r="H75" s="367"/>
      <c r="I75" s="1432"/>
      <c r="W75" s="1447"/>
      <c r="X75" s="360">
        <f t="shared" si="3"/>
        <v>0</v>
      </c>
      <c r="Y75" s="361">
        <f t="shared" si="3"/>
        <v>0</v>
      </c>
      <c r="Z75" s="399">
        <f t="shared" si="3"/>
        <v>0</v>
      </c>
      <c r="AA75" s="368"/>
      <c r="AB75" s="369" t="str">
        <f t="shared" si="4"/>
        <v>円/0</v>
      </c>
      <c r="AC75" s="351">
        <f t="shared" si="5"/>
        <v>0</v>
      </c>
    </row>
    <row r="76" spans="4:29" ht="30" hidden="1" customHeight="1" outlineLevel="1">
      <c r="D76" s="1429"/>
      <c r="E76" s="1430"/>
      <c r="F76" s="365"/>
      <c r="G76" s="366"/>
      <c r="H76" s="367"/>
      <c r="I76" s="1432"/>
      <c r="W76" s="1447"/>
      <c r="X76" s="360">
        <f t="shared" si="3"/>
        <v>0</v>
      </c>
      <c r="Y76" s="361">
        <f t="shared" si="3"/>
        <v>0</v>
      </c>
      <c r="Z76" s="399">
        <f t="shared" si="3"/>
        <v>0</v>
      </c>
      <c r="AA76" s="368"/>
      <c r="AB76" s="369" t="str">
        <f t="shared" si="4"/>
        <v>円/0</v>
      </c>
      <c r="AC76" s="351">
        <f t="shared" si="5"/>
        <v>0</v>
      </c>
    </row>
    <row r="77" spans="4:29" ht="30" hidden="1" customHeight="1" outlineLevel="1">
      <c r="D77" s="1429"/>
      <c r="E77" s="1430"/>
      <c r="F77" s="365"/>
      <c r="G77" s="366"/>
      <c r="H77" s="367"/>
      <c r="I77" s="1432"/>
      <c r="W77" s="1447"/>
      <c r="X77" s="360">
        <f t="shared" si="3"/>
        <v>0</v>
      </c>
      <c r="Y77" s="361">
        <f t="shared" si="3"/>
        <v>0</v>
      </c>
      <c r="Z77" s="399">
        <f t="shared" si="3"/>
        <v>0</v>
      </c>
      <c r="AA77" s="368"/>
      <c r="AB77" s="369" t="str">
        <f t="shared" si="4"/>
        <v>円/0</v>
      </c>
      <c r="AC77" s="351">
        <f t="shared" si="5"/>
        <v>0</v>
      </c>
    </row>
    <row r="78" spans="4:29" ht="30" hidden="1" customHeight="1" outlineLevel="1">
      <c r="D78" s="1429"/>
      <c r="E78" s="1430"/>
      <c r="F78" s="365"/>
      <c r="G78" s="366"/>
      <c r="H78" s="367"/>
      <c r="I78" s="1432"/>
      <c r="W78" s="1447"/>
      <c r="X78" s="360">
        <f t="shared" si="3"/>
        <v>0</v>
      </c>
      <c r="Y78" s="361">
        <f t="shared" si="3"/>
        <v>0</v>
      </c>
      <c r="Z78" s="399">
        <f t="shared" si="3"/>
        <v>0</v>
      </c>
      <c r="AA78" s="368"/>
      <c r="AB78" s="369" t="str">
        <f t="shared" si="4"/>
        <v>円/0</v>
      </c>
      <c r="AC78" s="351">
        <f t="shared" si="5"/>
        <v>0</v>
      </c>
    </row>
    <row r="79" spans="4:29" ht="30" hidden="1" customHeight="1" outlineLevel="1">
      <c r="D79" s="1429"/>
      <c r="E79" s="1430"/>
      <c r="F79" s="365"/>
      <c r="G79" s="366"/>
      <c r="H79" s="367"/>
      <c r="I79" s="1432"/>
      <c r="W79" s="1447"/>
      <c r="X79" s="360">
        <f t="shared" si="3"/>
        <v>0</v>
      </c>
      <c r="Y79" s="361">
        <f t="shared" si="3"/>
        <v>0</v>
      </c>
      <c r="Z79" s="399">
        <f t="shared" si="3"/>
        <v>0</v>
      </c>
      <c r="AA79" s="368"/>
      <c r="AB79" s="369" t="str">
        <f t="shared" si="4"/>
        <v>円/0</v>
      </c>
      <c r="AC79" s="351">
        <f t="shared" si="5"/>
        <v>0</v>
      </c>
    </row>
    <row r="80" spans="4:29" ht="30" hidden="1" customHeight="1" outlineLevel="1">
      <c r="D80" s="1429"/>
      <c r="E80" s="1430"/>
      <c r="F80" s="365"/>
      <c r="G80" s="366"/>
      <c r="H80" s="367"/>
      <c r="I80" s="1432"/>
      <c r="W80" s="1447"/>
      <c r="X80" s="360">
        <f t="shared" si="3"/>
        <v>0</v>
      </c>
      <c r="Y80" s="361">
        <f t="shared" si="3"/>
        <v>0</v>
      </c>
      <c r="Z80" s="399">
        <f t="shared" si="3"/>
        <v>0</v>
      </c>
      <c r="AA80" s="368"/>
      <c r="AB80" s="369" t="str">
        <f t="shared" si="4"/>
        <v>円/0</v>
      </c>
      <c r="AC80" s="351">
        <f t="shared" si="5"/>
        <v>0</v>
      </c>
    </row>
    <row r="81" spans="4:30" ht="30" hidden="1" customHeight="1" outlineLevel="1">
      <c r="D81" s="1429"/>
      <c r="E81" s="1430"/>
      <c r="F81" s="365"/>
      <c r="G81" s="366"/>
      <c r="H81" s="367"/>
      <c r="I81" s="1432"/>
      <c r="W81" s="1447"/>
      <c r="X81" s="360">
        <f t="shared" si="3"/>
        <v>0</v>
      </c>
      <c r="Y81" s="361">
        <f t="shared" si="3"/>
        <v>0</v>
      </c>
      <c r="Z81" s="399">
        <f t="shared" si="3"/>
        <v>0</v>
      </c>
      <c r="AA81" s="368"/>
      <c r="AB81" s="369" t="str">
        <f t="shared" si="4"/>
        <v>円/0</v>
      </c>
      <c r="AC81" s="351">
        <f t="shared" si="5"/>
        <v>0</v>
      </c>
    </row>
    <row r="82" spans="4:30" ht="30" hidden="1" customHeight="1" outlineLevel="1">
      <c r="D82" s="1429"/>
      <c r="E82" s="1430"/>
      <c r="F82" s="365"/>
      <c r="G82" s="366"/>
      <c r="H82" s="367"/>
      <c r="I82" s="1432"/>
      <c r="W82" s="1447"/>
      <c r="X82" s="360">
        <f t="shared" si="3"/>
        <v>0</v>
      </c>
      <c r="Y82" s="361">
        <f t="shared" si="3"/>
        <v>0</v>
      </c>
      <c r="Z82" s="399">
        <f t="shared" si="3"/>
        <v>0</v>
      </c>
      <c r="AA82" s="368"/>
      <c r="AB82" s="369" t="str">
        <f t="shared" si="4"/>
        <v>円/0</v>
      </c>
      <c r="AC82" s="351">
        <f t="shared" si="5"/>
        <v>0</v>
      </c>
    </row>
    <row r="83" spans="4:30" ht="30" hidden="1" customHeight="1" outlineLevel="1">
      <c r="D83" s="1429"/>
      <c r="E83" s="1430"/>
      <c r="F83" s="365"/>
      <c r="G83" s="366"/>
      <c r="H83" s="367"/>
      <c r="I83" s="1432"/>
      <c r="W83" s="1447"/>
      <c r="X83" s="360">
        <f t="shared" si="3"/>
        <v>0</v>
      </c>
      <c r="Y83" s="361">
        <f t="shared" si="3"/>
        <v>0</v>
      </c>
      <c r="Z83" s="399">
        <f t="shared" si="3"/>
        <v>0</v>
      </c>
      <c r="AA83" s="368"/>
      <c r="AB83" s="369" t="str">
        <f t="shared" si="4"/>
        <v>円/0</v>
      </c>
      <c r="AC83" s="351">
        <f t="shared" si="5"/>
        <v>0</v>
      </c>
    </row>
    <row r="84" spans="4:30" ht="30" hidden="1" customHeight="1" outlineLevel="1" thickBot="1">
      <c r="D84" s="1443"/>
      <c r="E84" s="1444"/>
      <c r="F84" s="400"/>
      <c r="G84" s="401"/>
      <c r="H84" s="402"/>
      <c r="I84" s="1446"/>
      <c r="W84" s="1448"/>
      <c r="X84" s="360">
        <f t="shared" si="3"/>
        <v>0</v>
      </c>
      <c r="Y84" s="361">
        <f t="shared" si="3"/>
        <v>0</v>
      </c>
      <c r="Z84" s="399">
        <f t="shared" si="3"/>
        <v>0</v>
      </c>
      <c r="AA84" s="373"/>
      <c r="AB84" s="374" t="str">
        <f t="shared" si="4"/>
        <v>円/0</v>
      </c>
      <c r="AC84" s="351">
        <f t="shared" si="5"/>
        <v>0</v>
      </c>
    </row>
    <row r="85" spans="4:30" ht="21" hidden="1" customHeight="1" thickTop="1">
      <c r="D85" s="403"/>
      <c r="E85" s="404"/>
      <c r="F85" s="405"/>
      <c r="G85" s="405"/>
      <c r="H85" s="405"/>
      <c r="I85" s="404"/>
      <c r="W85" s="1374" t="s">
        <v>290</v>
      </c>
      <c r="X85" s="1376"/>
      <c r="Y85" s="1434"/>
      <c r="Z85" s="1435"/>
      <c r="AA85" s="1422"/>
      <c r="AB85" s="1423"/>
      <c r="AC85" s="351">
        <f>SUM(AC70:AC84)</f>
        <v>0</v>
      </c>
      <c r="AD85" s="148"/>
    </row>
    <row r="86" spans="4:30" ht="17.25" customHeight="1">
      <c r="D86" s="289"/>
      <c r="W86" s="381"/>
      <c r="X86" s="381"/>
      <c r="Y86" s="340"/>
      <c r="Z86" s="340"/>
      <c r="AA86" s="340"/>
      <c r="AB86" s="340"/>
    </row>
    <row r="87" spans="4:30" ht="17.25" customHeight="1">
      <c r="W87" s="244"/>
      <c r="X87" s="244"/>
      <c r="Y87" s="406"/>
      <c r="Z87" s="406"/>
      <c r="AA87" s="406"/>
      <c r="AB87" s="406"/>
      <c r="AC87" s="407"/>
      <c r="AD87" s="148"/>
    </row>
    <row r="88" spans="4:30" ht="17.25" customHeight="1">
      <c r="W88" s="381"/>
      <c r="X88" s="381"/>
      <c r="Y88" s="340"/>
      <c r="Z88" s="340"/>
      <c r="AA88" s="340"/>
      <c r="AB88" s="340"/>
    </row>
    <row r="89" spans="4:30" ht="21" customHeight="1"/>
    <row r="90" spans="4:30" ht="30" customHeight="1">
      <c r="W90" s="1441"/>
      <c r="X90" s="1442"/>
      <c r="Y90" s="1424"/>
      <c r="Z90" s="1425"/>
      <c r="AA90" s="1424"/>
      <c r="AB90" s="1425"/>
      <c r="AC90" s="221" t="s">
        <v>217</v>
      </c>
    </row>
    <row r="91" spans="4:30" ht="30" customHeight="1">
      <c r="W91" s="1374" t="s">
        <v>291</v>
      </c>
      <c r="X91" s="1376"/>
      <c r="Y91" s="1424"/>
      <c r="Z91" s="1425"/>
      <c r="AA91" s="1424"/>
      <c r="AB91" s="1425"/>
      <c r="AC91" s="408">
        <f>SUM(AC17,AC55)</f>
        <v>0</v>
      </c>
    </row>
    <row r="92" spans="4:30" ht="30" customHeight="1">
      <c r="W92" s="1374" t="s">
        <v>292</v>
      </c>
      <c r="X92" s="1376"/>
      <c r="Y92" s="1424"/>
      <c r="Z92" s="1425"/>
      <c r="AA92" s="1424"/>
      <c r="AB92" s="1425"/>
      <c r="AC92" s="408">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69" r:id="rId4" name="Label1">
          <controlPr defaultSize="0" print="0" autoLine="0" r:id="rId5">
            <anchor moveWithCells="1">
              <from>
                <xdr:col>5</xdr:col>
                <xdr:colOff>1162050</xdr:colOff>
                <xdr:row>9</xdr:row>
                <xdr:rowOff>85725</xdr:rowOff>
              </from>
              <to>
                <xdr:col>6</xdr:col>
                <xdr:colOff>647700</xdr:colOff>
                <xdr:row>11</xdr:row>
                <xdr:rowOff>142875</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5</xdr:col>
                <xdr:colOff>1190625</xdr:colOff>
                <xdr:row>10</xdr:row>
                <xdr:rowOff>28575</xdr:rowOff>
              </from>
              <to>
                <xdr:col>6</xdr:col>
                <xdr:colOff>619125</xdr:colOff>
                <xdr:row>11</xdr:row>
                <xdr:rowOff>19050</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6</xdr:col>
                <xdr:colOff>628650</xdr:colOff>
                <xdr:row>9</xdr:row>
                <xdr:rowOff>85725</xdr:rowOff>
              </from>
              <to>
                <xdr:col>7</xdr:col>
                <xdr:colOff>323850</xdr:colOff>
                <xdr:row>10</xdr:row>
                <xdr:rowOff>114300</xdr:rowOff>
              </to>
            </anchor>
          </controlPr>
        </control>
      </mc:Choice>
      <mc:Fallback>
        <control shapeId="7171" r:id="rId8" name="Label3"/>
      </mc:Fallback>
    </mc:AlternateContent>
    <mc:AlternateContent xmlns:mc="http://schemas.openxmlformats.org/markup-compatibility/2006">
      <mc:Choice Requires="x14">
        <control shapeId="7172" r:id="rId10" name="txt_kounyu">
          <controlPr locked="0" defaultSize="0" print="0" autoLine="0" r:id="rId11">
            <anchor moveWithCells="1">
              <from>
                <xdr:col>6</xdr:col>
                <xdr:colOff>628650</xdr:colOff>
                <xdr:row>10</xdr:row>
                <xdr:rowOff>114300</xdr:rowOff>
              </from>
              <to>
                <xdr:col>7</xdr:col>
                <xdr:colOff>323850</xdr:colOff>
                <xdr:row>11</xdr:row>
                <xdr:rowOff>142875</xdr:rowOff>
              </to>
            </anchor>
          </controlPr>
        </control>
      </mc:Choice>
      <mc:Fallback>
        <control shapeId="7172" r:id="rId10" name="txt_kounyu"/>
      </mc:Fallback>
    </mc:AlternateContent>
    <mc:AlternateContent xmlns:mc="http://schemas.openxmlformats.org/markup-compatibility/2006">
      <mc:Choice Requires="x14">
        <control shapeId="7173" r:id="rId12" name="Label4">
          <controlPr defaultSize="0" print="0" autoLine="0" r:id="rId13">
            <anchor moveWithCells="1">
              <from>
                <xdr:col>7</xdr:col>
                <xdr:colOff>323850</xdr:colOff>
                <xdr:row>9</xdr:row>
                <xdr:rowOff>85725</xdr:rowOff>
              </from>
              <to>
                <xdr:col>8</xdr:col>
                <xdr:colOff>933450</xdr:colOff>
                <xdr:row>10</xdr:row>
                <xdr:rowOff>114300</xdr:rowOff>
              </to>
            </anchor>
          </controlPr>
        </control>
      </mc:Choice>
      <mc:Fallback>
        <control shapeId="7173" r:id="rId12" name="Label4"/>
      </mc:Fallback>
    </mc:AlternateContent>
    <mc:AlternateContent xmlns:mc="http://schemas.openxmlformats.org/markup-compatibility/2006">
      <mc:Choice Requires="x14">
        <control shapeId="7174" r:id="rId14" name="txt_jikyu">
          <controlPr locked="0" defaultSize="0" print="0" autoLine="0" r:id="rId15">
            <anchor moveWithCells="1">
              <from>
                <xdr:col>7</xdr:col>
                <xdr:colOff>323850</xdr:colOff>
                <xdr:row>10</xdr:row>
                <xdr:rowOff>114300</xdr:rowOff>
              </from>
              <to>
                <xdr:col>8</xdr:col>
                <xdr:colOff>933450</xdr:colOff>
                <xdr:row>11</xdr:row>
                <xdr:rowOff>142875</xdr:rowOff>
              </to>
            </anchor>
          </controlPr>
        </control>
      </mc:Choice>
      <mc:Fallback>
        <control shapeId="7174" r:id="rId14" name="txt_jikyu"/>
      </mc:Fallback>
    </mc:AlternateContent>
    <mc:AlternateContent xmlns:mc="http://schemas.openxmlformats.org/markup-compatibility/2006">
      <mc:Choice Requires="x14">
        <control shapeId="7175" r:id="rId16" name="btnKoushin1">
          <controlPr defaultSize="0" print="0" autoLine="0" r:id="rId17">
            <anchor moveWithCells="1">
              <from>
                <xdr:col>8</xdr:col>
                <xdr:colOff>1028700</xdr:colOff>
                <xdr:row>9</xdr:row>
                <xdr:rowOff>85725</xdr:rowOff>
              </from>
              <to>
                <xdr:col>13</xdr:col>
                <xdr:colOff>0</xdr:colOff>
                <xdr:row>11</xdr:row>
                <xdr:rowOff>142875</xdr:rowOff>
              </to>
            </anchor>
          </controlPr>
        </control>
      </mc:Choice>
      <mc:Fallback>
        <control shapeId="7175" r:id="rId16"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2"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9"/>
      <c r="AB1" s="151" t="s">
        <v>201</v>
      </c>
      <c r="AC1" s="410"/>
      <c r="AW1" s="411"/>
      <c r="AX1" s="410"/>
    </row>
    <row r="2" spans="2:52" s="30" customFormat="1" ht="18" customHeight="1">
      <c r="B2" s="108" t="s">
        <v>293</v>
      </c>
      <c r="C2" s="58"/>
      <c r="D2" s="58"/>
      <c r="E2" s="58"/>
      <c r="F2" s="58"/>
      <c r="G2" s="58"/>
      <c r="H2" s="58"/>
      <c r="S2" s="409"/>
      <c r="T2" s="2"/>
      <c r="U2" s="2"/>
      <c r="V2" s="2"/>
      <c r="W2" s="2"/>
      <c r="X2" s="2"/>
      <c r="Y2" s="2"/>
      <c r="Z2" s="2"/>
      <c r="AA2" s="2"/>
      <c r="AC2" s="108" t="s">
        <v>293</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9" t="s">
        <v>294</v>
      </c>
      <c r="C3" s="339"/>
      <c r="D3" s="412"/>
      <c r="E3" s="58"/>
      <c r="F3" s="58"/>
      <c r="G3" s="58"/>
      <c r="H3" s="58"/>
      <c r="S3" s="409"/>
      <c r="T3" s="2"/>
      <c r="U3" s="2"/>
      <c r="V3" s="2"/>
      <c r="W3" s="2"/>
      <c r="X3" s="2"/>
      <c r="Y3" s="2"/>
      <c r="Z3" s="2"/>
      <c r="AA3" s="2"/>
      <c r="AB3" s="2"/>
      <c r="AC3" s="410"/>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9" t="s">
        <v>295</v>
      </c>
      <c r="C4" s="339"/>
      <c r="D4" s="412"/>
      <c r="E4" s="58"/>
      <c r="F4" s="58"/>
      <c r="G4" s="58"/>
      <c r="H4" s="58"/>
      <c r="S4" s="409"/>
      <c r="T4" s="2"/>
      <c r="U4" s="2"/>
      <c r="V4" s="2"/>
      <c r="W4" s="2"/>
      <c r="X4" s="2"/>
      <c r="Y4" s="2"/>
      <c r="Z4" s="2"/>
      <c r="AA4" s="2"/>
      <c r="AB4" s="2"/>
      <c r="AC4" s="410"/>
      <c r="AD4" s="2"/>
      <c r="AE4" s="2"/>
      <c r="AF4" s="2"/>
      <c r="AG4" s="2"/>
      <c r="AH4" s="2"/>
      <c r="AI4" s="2"/>
      <c r="AJ4" s="2"/>
      <c r="AR4" s="2"/>
      <c r="AS4" s="2"/>
      <c r="AT4" s="2"/>
      <c r="AU4" s="2"/>
      <c r="AV4" s="2"/>
      <c r="AW4" s="2"/>
      <c r="AX4" s="2"/>
      <c r="AY4" s="2"/>
      <c r="AZ4" s="2"/>
    </row>
    <row r="5" spans="2:52" s="30" customFormat="1" ht="14.25" customHeight="1">
      <c r="B5" s="51" t="s">
        <v>296</v>
      </c>
      <c r="C5" s="51"/>
      <c r="D5" s="51"/>
      <c r="E5" s="51"/>
      <c r="F5" s="58"/>
      <c r="G5" s="58"/>
      <c r="H5" s="58"/>
      <c r="S5" s="409"/>
      <c r="T5" s="2"/>
      <c r="U5" s="2"/>
      <c r="V5" s="2"/>
      <c r="W5" s="2"/>
      <c r="X5" s="2"/>
      <c r="Y5" s="2"/>
      <c r="Z5" s="2"/>
      <c r="AA5" s="2"/>
      <c r="AB5" s="2"/>
      <c r="AC5" s="410"/>
      <c r="AD5" s="2"/>
      <c r="AE5" s="2"/>
      <c r="AF5" s="2"/>
      <c r="AG5" s="2"/>
      <c r="AH5" s="2"/>
      <c r="AI5" s="2"/>
      <c r="AJ5" s="2"/>
      <c r="AR5" s="2"/>
      <c r="AS5" s="2"/>
      <c r="AT5" s="2"/>
      <c r="AU5" s="2"/>
      <c r="AV5" s="2"/>
      <c r="AW5" s="34"/>
      <c r="AX5" s="2"/>
      <c r="AY5" s="2"/>
      <c r="AZ5" s="2"/>
    </row>
    <row r="6" spans="2:52" s="30" customFormat="1" ht="14.25" customHeight="1">
      <c r="B6" s="51" t="s">
        <v>297</v>
      </c>
      <c r="C6" s="51"/>
      <c r="D6" s="51"/>
      <c r="E6" s="51"/>
      <c r="F6" s="58"/>
      <c r="G6" s="58"/>
      <c r="H6" s="58"/>
      <c r="S6" s="409"/>
      <c r="T6" s="2"/>
      <c r="U6" s="2"/>
      <c r="V6" s="2"/>
      <c r="W6" s="2"/>
      <c r="X6" s="2"/>
      <c r="Y6" s="2"/>
      <c r="Z6" s="2"/>
      <c r="AA6" s="2"/>
      <c r="AB6" s="2"/>
      <c r="AC6" s="340"/>
      <c r="AD6" s="340"/>
      <c r="AE6" s="340"/>
      <c r="AF6" s="340"/>
      <c r="AG6" s="145"/>
      <c r="AH6" s="145"/>
      <c r="AI6" s="2"/>
      <c r="AJ6" s="2"/>
      <c r="AR6" s="2"/>
      <c r="AS6" s="2"/>
      <c r="AT6" s="2"/>
      <c r="AU6" s="2"/>
      <c r="AV6" s="2"/>
      <c r="AW6" s="34"/>
      <c r="AX6" s="2"/>
      <c r="AY6" s="2"/>
      <c r="AZ6" s="2"/>
    </row>
    <row r="7" spans="2:52" s="30" customFormat="1" ht="14.25" customHeight="1" thickBot="1">
      <c r="B7" s="339"/>
      <c r="C7" s="339"/>
      <c r="D7" s="412"/>
      <c r="E7" s="58"/>
      <c r="F7" s="58"/>
      <c r="G7" s="58"/>
      <c r="H7" s="58"/>
      <c r="S7" s="409"/>
      <c r="T7" s="2"/>
      <c r="U7" s="2"/>
      <c r="V7" s="2"/>
      <c r="W7" s="2"/>
      <c r="X7" s="2"/>
      <c r="Y7" s="2"/>
      <c r="Z7" s="2"/>
      <c r="AA7" s="2"/>
      <c r="AB7" s="2"/>
      <c r="AC7" s="340"/>
      <c r="AD7" s="340"/>
      <c r="AE7" s="340"/>
      <c r="AF7" s="340"/>
      <c r="AG7" s="145"/>
      <c r="AH7" s="145"/>
      <c r="AI7" s="145"/>
      <c r="AJ7" s="145"/>
      <c r="AR7" s="2"/>
      <c r="AS7" s="2"/>
      <c r="AT7" s="2"/>
      <c r="AU7" s="2"/>
      <c r="AV7" s="2"/>
      <c r="AW7" s="34"/>
      <c r="AX7" s="2"/>
      <c r="AY7" s="2"/>
      <c r="AZ7" s="2"/>
    </row>
    <row r="8" spans="2:52" ht="14.25" customHeight="1">
      <c r="B8" s="1452" t="s">
        <v>298</v>
      </c>
      <c r="C8" s="1453"/>
      <c r="D8" s="1453"/>
      <c r="E8" s="1454"/>
      <c r="F8" s="1212" t="s">
        <v>299</v>
      </c>
      <c r="G8" s="342"/>
      <c r="H8" s="1152" t="s">
        <v>300</v>
      </c>
      <c r="I8" s="1460" t="s">
        <v>301</v>
      </c>
      <c r="J8" s="1463" t="s">
        <v>302</v>
      </c>
      <c r="K8" s="1213"/>
      <c r="L8" s="1213"/>
      <c r="M8" s="1213"/>
      <c r="N8" s="1213"/>
      <c r="O8" s="1213"/>
      <c r="P8" s="1213"/>
      <c r="Q8" s="1213"/>
      <c r="R8" s="1410"/>
      <c r="S8" s="409"/>
      <c r="AC8" s="340"/>
      <c r="AD8" s="340"/>
      <c r="AE8" s="340"/>
      <c r="AF8" s="340"/>
      <c r="AG8" s="145"/>
      <c r="AH8" s="145"/>
      <c r="AI8" s="145"/>
      <c r="AJ8" s="145"/>
    </row>
    <row r="9" spans="2:52" ht="18" customHeight="1">
      <c r="B9" s="1242"/>
      <c r="C9" s="1243"/>
      <c r="D9" s="1243"/>
      <c r="E9" s="1244"/>
      <c r="F9" s="1215"/>
      <c r="G9" s="1414" t="s">
        <v>132</v>
      </c>
      <c r="H9" s="1458"/>
      <c r="I9" s="1461"/>
      <c r="J9" s="1464"/>
      <c r="K9" s="1216"/>
      <c r="L9" s="1216"/>
      <c r="M9" s="1216"/>
      <c r="N9" s="1216"/>
      <c r="O9" s="1216"/>
      <c r="P9" s="1216"/>
      <c r="Q9" s="1216"/>
      <c r="R9" s="1256"/>
      <c r="S9" s="409"/>
      <c r="AC9" s="1342" t="s">
        <v>303</v>
      </c>
      <c r="AD9" s="1342"/>
      <c r="AE9" s="1342" t="s">
        <v>304</v>
      </c>
      <c r="AF9" s="1449" t="s">
        <v>305</v>
      </c>
      <c r="AG9" s="1342" t="s">
        <v>217</v>
      </c>
      <c r="AH9" s="145"/>
      <c r="AI9" s="145"/>
      <c r="AJ9" s="145"/>
    </row>
    <row r="10" spans="2:52" ht="18" customHeight="1" thickBot="1">
      <c r="B10" s="1455"/>
      <c r="C10" s="1456"/>
      <c r="D10" s="1456"/>
      <c r="E10" s="1457"/>
      <c r="F10" s="1215"/>
      <c r="G10" s="1415"/>
      <c r="H10" s="1459"/>
      <c r="I10" s="1462"/>
      <c r="J10" s="1465"/>
      <c r="K10" s="1219"/>
      <c r="L10" s="1219"/>
      <c r="M10" s="1219"/>
      <c r="N10" s="1219"/>
      <c r="O10" s="1219"/>
      <c r="P10" s="1219"/>
      <c r="Q10" s="1219"/>
      <c r="R10" s="1248"/>
      <c r="S10" s="409"/>
      <c r="AC10" s="1342"/>
      <c r="AD10" s="1342"/>
      <c r="AE10" s="1342"/>
      <c r="AF10" s="1342"/>
      <c r="AG10" s="1342"/>
      <c r="AH10" s="145"/>
      <c r="AI10" s="145"/>
      <c r="AJ10" s="145"/>
    </row>
    <row r="11" spans="2:52" ht="30" customHeight="1" thickTop="1" thickBot="1">
      <c r="B11" s="1450" t="s">
        <v>306</v>
      </c>
      <c r="C11" s="1451"/>
      <c r="D11" s="1451"/>
      <c r="E11" s="1451"/>
      <c r="F11" s="413"/>
      <c r="G11" s="414" t="s">
        <v>307</v>
      </c>
      <c r="H11" s="415"/>
      <c r="I11" s="1053"/>
      <c r="J11" s="127"/>
      <c r="K11" s="127"/>
      <c r="L11" s="127"/>
      <c r="M11" s="127"/>
      <c r="N11" s="127"/>
      <c r="O11" s="127"/>
      <c r="P11" s="127"/>
      <c r="Q11" s="127"/>
      <c r="R11" s="416"/>
      <c r="S11" s="409"/>
      <c r="AC11" s="1426" t="s">
        <v>308</v>
      </c>
      <c r="AD11" s="1426"/>
      <c r="AE11" s="417"/>
      <c r="AF11" s="417"/>
      <c r="AG11" s="351">
        <f>IF(H11&gt;0,ROUND(H11*I11%,),SUM(AG12:AG31))</f>
        <v>0</v>
      </c>
      <c r="AH11" s="145"/>
      <c r="AI11" s="145"/>
      <c r="AJ11" s="145"/>
    </row>
    <row r="12" spans="2:52" ht="30" customHeight="1" thickTop="1">
      <c r="B12" s="1429" t="s">
        <v>271</v>
      </c>
      <c r="C12" s="1472"/>
      <c r="D12" s="1467" t="s">
        <v>309</v>
      </c>
      <c r="E12" s="1468"/>
      <c r="F12" s="1469"/>
      <c r="G12" s="1470"/>
      <c r="H12" s="1474"/>
      <c r="I12" s="1475"/>
      <c r="J12" s="260"/>
      <c r="K12" s="260"/>
      <c r="L12" s="260"/>
      <c r="M12" s="260"/>
      <c r="N12" s="260"/>
      <c r="O12" s="260"/>
      <c r="P12" s="260"/>
      <c r="Q12" s="260"/>
      <c r="R12" s="418"/>
      <c r="S12" s="230"/>
      <c r="AC12" s="1426" t="s">
        <v>310</v>
      </c>
      <c r="AD12" s="1426"/>
      <c r="AE12" s="361">
        <f>SUMPRODUCT(ROUND((F13:F27)*(I13:I27)/100,))</f>
        <v>0</v>
      </c>
      <c r="AF12" s="234">
        <f>IF(AND(AE12&gt;0,AG12&gt;0),ROUND(AG12/AE12,2),)</f>
        <v>0</v>
      </c>
      <c r="AG12" s="351">
        <f>SUMPRODUCT(ROUND((H13:H27)*(I13:I27)/100,))</f>
        <v>0</v>
      </c>
      <c r="AH12" s="145"/>
      <c r="AI12" s="145"/>
      <c r="AJ12" s="145"/>
    </row>
    <row r="13" spans="2:52" ht="30" customHeight="1">
      <c r="B13" s="1429"/>
      <c r="C13" s="1472"/>
      <c r="D13" s="419"/>
      <c r="E13" s="420"/>
      <c r="F13" s="421"/>
      <c r="G13" s="349"/>
      <c r="H13" s="422"/>
      <c r="I13" s="1054"/>
      <c r="J13" s="260"/>
      <c r="K13" s="260"/>
      <c r="L13" s="260"/>
      <c r="M13" s="260"/>
      <c r="N13" s="260"/>
      <c r="O13" s="260"/>
      <c r="P13" s="260"/>
      <c r="Q13" s="260"/>
      <c r="R13" s="418"/>
      <c r="S13" s="230"/>
      <c r="AC13" s="1426" t="s">
        <v>311</v>
      </c>
      <c r="AD13" s="1426"/>
      <c r="AE13" s="361">
        <f>SUMPRODUCT(ROUND((F29:F43)*(I29:I43)/100,))</f>
        <v>0</v>
      </c>
      <c r="AF13" s="234">
        <f t="shared" ref="AF13:AF16" si="0">IF(AND(AE13&gt;0,AG13&gt;0),ROUND(AG13/AE13,2),)</f>
        <v>0</v>
      </c>
      <c r="AG13" s="351">
        <f>SUMPRODUCT(ROUND((H29:H43)*(I29:I43)/100,))</f>
        <v>0</v>
      </c>
      <c r="AI13" s="145"/>
      <c r="AJ13" s="145"/>
    </row>
    <row r="14" spans="2:52" ht="30" customHeight="1">
      <c r="B14" s="1429"/>
      <c r="C14" s="1472"/>
      <c r="D14" s="419"/>
      <c r="E14" s="420"/>
      <c r="F14" s="423"/>
      <c r="G14" s="349"/>
      <c r="H14" s="424"/>
      <c r="I14" s="1055"/>
      <c r="J14" s="260"/>
      <c r="K14" s="260"/>
      <c r="L14" s="260"/>
      <c r="M14" s="260"/>
      <c r="N14" s="260"/>
      <c r="O14" s="260"/>
      <c r="P14" s="260"/>
      <c r="Q14" s="260"/>
      <c r="R14" s="418"/>
      <c r="S14" s="230"/>
      <c r="AC14" s="1426" t="s">
        <v>312</v>
      </c>
      <c r="AD14" s="1426"/>
      <c r="AE14" s="361">
        <f>SUMPRODUCT(ROUND((F45:F59)*(I45:I59)/100,))</f>
        <v>0</v>
      </c>
      <c r="AF14" s="234">
        <f t="shared" si="0"/>
        <v>0</v>
      </c>
      <c r="AG14" s="351">
        <f>SUMPRODUCT(ROUND((H45:H59)*(I45:I59)/100,))</f>
        <v>0</v>
      </c>
    </row>
    <row r="15" spans="2:52" ht="30" customHeight="1">
      <c r="B15" s="1429"/>
      <c r="C15" s="1472"/>
      <c r="D15" s="419"/>
      <c r="E15" s="420"/>
      <c r="F15" s="425"/>
      <c r="G15" s="349"/>
      <c r="H15" s="426"/>
      <c r="I15" s="1056"/>
      <c r="J15" s="260"/>
      <c r="K15" s="260"/>
      <c r="L15" s="260"/>
      <c r="M15" s="260"/>
      <c r="N15" s="260"/>
      <c r="O15" s="260"/>
      <c r="P15" s="260"/>
      <c r="Q15" s="260"/>
      <c r="R15" s="418"/>
      <c r="S15" s="230"/>
      <c r="AC15" s="1426" t="s">
        <v>313</v>
      </c>
      <c r="AD15" s="1426"/>
      <c r="AE15" s="361">
        <f>SUMPRODUCT(ROUND((F61:F75)*(I61:I75)/100,))</f>
        <v>0</v>
      </c>
      <c r="AF15" s="234">
        <f t="shared" si="0"/>
        <v>0</v>
      </c>
      <c r="AG15" s="351">
        <f>SUMPRODUCT(ROUND((H61:H75)*(I61:I75)/100,))</f>
        <v>0</v>
      </c>
    </row>
    <row r="16" spans="2:52" ht="30" customHeight="1" collapsed="1">
      <c r="B16" s="1429"/>
      <c r="C16" s="1472"/>
      <c r="D16" s="419"/>
      <c r="E16" s="420"/>
      <c r="F16" s="423"/>
      <c r="G16" s="349"/>
      <c r="H16" s="424"/>
      <c r="I16" s="1055"/>
      <c r="J16" s="260"/>
      <c r="K16" s="260"/>
      <c r="L16" s="260"/>
      <c r="M16" s="260"/>
      <c r="N16" s="260"/>
      <c r="O16" s="260"/>
      <c r="P16" s="260"/>
      <c r="Q16" s="260"/>
      <c r="R16" s="418"/>
      <c r="S16" s="230"/>
      <c r="AC16" s="1426" t="s">
        <v>314</v>
      </c>
      <c r="AD16" s="1426"/>
      <c r="AE16" s="361">
        <f>SUMPRODUCT(ROUND((F77:F91)*(I77:I91)/100,))</f>
        <v>0</v>
      </c>
      <c r="AF16" s="234">
        <f t="shared" si="0"/>
        <v>0</v>
      </c>
      <c r="AG16" s="351">
        <f>SUMPRODUCT(ROUND((H77:H91)*(I77:I91)/100,))</f>
        <v>0</v>
      </c>
    </row>
    <row r="17" spans="2:33" ht="30" hidden="1" customHeight="1" outlineLevel="1">
      <c r="B17" s="1429"/>
      <c r="C17" s="1472"/>
      <c r="D17" s="419"/>
      <c r="E17" s="420"/>
      <c r="F17" s="425"/>
      <c r="G17" s="349"/>
      <c r="H17" s="426"/>
      <c r="I17" s="1056"/>
      <c r="J17" s="260"/>
      <c r="K17" s="260"/>
      <c r="L17" s="260"/>
      <c r="M17" s="260"/>
      <c r="N17" s="260"/>
      <c r="O17" s="260"/>
      <c r="P17" s="260"/>
      <c r="Q17" s="260"/>
      <c r="R17" s="418"/>
      <c r="S17" s="230"/>
      <c r="AC17" s="1466"/>
      <c r="AD17" s="1466"/>
      <c r="AE17" s="406"/>
      <c r="AF17" s="427"/>
      <c r="AG17" s="407"/>
    </row>
    <row r="18" spans="2:33" ht="30" hidden="1" customHeight="1" outlineLevel="1">
      <c r="B18" s="1429"/>
      <c r="C18" s="1472"/>
      <c r="D18" s="419"/>
      <c r="E18" s="420"/>
      <c r="F18" s="425"/>
      <c r="G18" s="349"/>
      <c r="H18" s="426"/>
      <c r="I18" s="1056"/>
      <c r="J18" s="260"/>
      <c r="K18" s="260"/>
      <c r="L18" s="260"/>
      <c r="M18" s="260"/>
      <c r="N18" s="260"/>
      <c r="O18" s="260"/>
      <c r="P18" s="260"/>
      <c r="Q18" s="260"/>
      <c r="R18" s="418"/>
      <c r="S18" s="230"/>
      <c r="AC18" s="1466"/>
      <c r="AD18" s="1466"/>
      <c r="AE18" s="406"/>
      <c r="AF18" s="427"/>
      <c r="AG18" s="407"/>
    </row>
    <row r="19" spans="2:33" ht="30" hidden="1" customHeight="1" outlineLevel="1">
      <c r="B19" s="1429"/>
      <c r="C19" s="1472"/>
      <c r="D19" s="419"/>
      <c r="E19" s="420"/>
      <c r="F19" s="423"/>
      <c r="G19" s="349"/>
      <c r="H19" s="424"/>
      <c r="I19" s="1055"/>
      <c r="J19" s="260"/>
      <c r="K19" s="260"/>
      <c r="L19" s="260"/>
      <c r="M19" s="260"/>
      <c r="N19" s="260"/>
      <c r="O19" s="260"/>
      <c r="P19" s="260"/>
      <c r="Q19" s="260"/>
      <c r="R19" s="418"/>
      <c r="S19" s="230"/>
      <c r="AC19" s="1466"/>
      <c r="AD19" s="1466"/>
      <c r="AE19" s="406"/>
      <c r="AF19" s="427"/>
      <c r="AG19" s="407"/>
    </row>
    <row r="20" spans="2:33" ht="30" hidden="1" customHeight="1" outlineLevel="1">
      <c r="B20" s="1429"/>
      <c r="C20" s="1472"/>
      <c r="D20" s="419"/>
      <c r="E20" s="420"/>
      <c r="F20" s="425"/>
      <c r="G20" s="349"/>
      <c r="H20" s="426"/>
      <c r="I20" s="1056"/>
      <c r="J20" s="260"/>
      <c r="K20" s="260"/>
      <c r="L20" s="260"/>
      <c r="M20" s="260"/>
      <c r="N20" s="260"/>
      <c r="O20" s="260"/>
      <c r="P20" s="260"/>
      <c r="Q20" s="260"/>
      <c r="R20" s="418"/>
      <c r="S20" s="230"/>
      <c r="AC20" s="1466"/>
      <c r="AD20" s="1466"/>
      <c r="AE20" s="406"/>
      <c r="AF20" s="427"/>
      <c r="AG20" s="407"/>
    </row>
    <row r="21" spans="2:33" ht="30" hidden="1" customHeight="1" outlineLevel="1">
      <c r="B21" s="1429"/>
      <c r="C21" s="1472"/>
      <c r="D21" s="419"/>
      <c r="E21" s="420"/>
      <c r="F21" s="423"/>
      <c r="G21" s="349"/>
      <c r="H21" s="424"/>
      <c r="I21" s="1055"/>
      <c r="J21" s="260"/>
      <c r="K21" s="260"/>
      <c r="L21" s="260"/>
      <c r="M21" s="260"/>
      <c r="N21" s="260"/>
      <c r="O21" s="260"/>
      <c r="P21" s="260"/>
      <c r="Q21" s="260"/>
      <c r="R21" s="418"/>
      <c r="S21" s="230"/>
      <c r="AC21" s="1466"/>
      <c r="AD21" s="1466"/>
      <c r="AE21" s="406"/>
      <c r="AF21" s="427"/>
      <c r="AG21" s="407"/>
    </row>
    <row r="22" spans="2:33" ht="30" hidden="1" customHeight="1" outlineLevel="1">
      <c r="B22" s="1429"/>
      <c r="C22" s="1472"/>
      <c r="D22" s="419"/>
      <c r="E22" s="420"/>
      <c r="F22" s="425"/>
      <c r="G22" s="349"/>
      <c r="H22" s="426"/>
      <c r="I22" s="1056"/>
      <c r="J22" s="260"/>
      <c r="K22" s="260"/>
      <c r="L22" s="260"/>
      <c r="M22" s="260"/>
      <c r="N22" s="260"/>
      <c r="O22" s="260"/>
      <c r="P22" s="260"/>
      <c r="Q22" s="260"/>
      <c r="R22" s="418"/>
      <c r="S22" s="230"/>
      <c r="AC22" s="1466"/>
      <c r="AD22" s="1466"/>
      <c r="AE22" s="406"/>
      <c r="AF22" s="427"/>
      <c r="AG22" s="407"/>
    </row>
    <row r="23" spans="2:33" ht="30" hidden="1" customHeight="1" outlineLevel="1">
      <c r="B23" s="1429"/>
      <c r="C23" s="1472"/>
      <c r="D23" s="419"/>
      <c r="E23" s="420"/>
      <c r="F23" s="423"/>
      <c r="G23" s="349"/>
      <c r="H23" s="424"/>
      <c r="I23" s="1055"/>
      <c r="J23" s="260"/>
      <c r="K23" s="260"/>
      <c r="L23" s="260"/>
      <c r="M23" s="260"/>
      <c r="N23" s="260"/>
      <c r="O23" s="260"/>
      <c r="P23" s="260"/>
      <c r="Q23" s="260"/>
      <c r="R23" s="418"/>
      <c r="S23" s="230"/>
      <c r="AC23" s="1466"/>
      <c r="AD23" s="1466"/>
      <c r="AE23" s="406"/>
      <c r="AF23" s="427"/>
      <c r="AG23" s="407"/>
    </row>
    <row r="24" spans="2:33" ht="30" hidden="1" customHeight="1" outlineLevel="1">
      <c r="B24" s="1429"/>
      <c r="C24" s="1472"/>
      <c r="D24" s="419"/>
      <c r="E24" s="420"/>
      <c r="F24" s="425"/>
      <c r="G24" s="349"/>
      <c r="H24" s="426"/>
      <c r="I24" s="1056"/>
      <c r="J24" s="260"/>
      <c r="K24" s="260"/>
      <c r="L24" s="260"/>
      <c r="M24" s="260"/>
      <c r="N24" s="260"/>
      <c r="O24" s="260"/>
      <c r="P24" s="260"/>
      <c r="Q24" s="260"/>
      <c r="R24" s="418"/>
      <c r="S24" s="230"/>
      <c r="AC24" s="1466"/>
      <c r="AD24" s="1466"/>
      <c r="AE24" s="406"/>
      <c r="AF24" s="427"/>
      <c r="AG24" s="407"/>
    </row>
    <row r="25" spans="2:33" ht="30" hidden="1" customHeight="1" outlineLevel="1">
      <c r="B25" s="1429"/>
      <c r="C25" s="1472"/>
      <c r="D25" s="419"/>
      <c r="E25" s="420"/>
      <c r="F25" s="423"/>
      <c r="G25" s="349"/>
      <c r="H25" s="424"/>
      <c r="I25" s="1055"/>
      <c r="J25" s="260"/>
      <c r="K25" s="260"/>
      <c r="L25" s="260"/>
      <c r="M25" s="260"/>
      <c r="N25" s="260"/>
      <c r="O25" s="260"/>
      <c r="P25" s="260"/>
      <c r="Q25" s="260"/>
      <c r="R25" s="418"/>
      <c r="S25" s="230"/>
      <c r="AF25" s="428"/>
    </row>
    <row r="26" spans="2:33" ht="30" hidden="1" customHeight="1" outlineLevel="1">
      <c r="B26" s="1429"/>
      <c r="C26" s="1472"/>
      <c r="D26" s="419"/>
      <c r="E26" s="420"/>
      <c r="F26" s="425"/>
      <c r="G26" s="349"/>
      <c r="H26" s="426"/>
      <c r="I26" s="1056"/>
      <c r="J26" s="260"/>
      <c r="K26" s="260"/>
      <c r="L26" s="260"/>
      <c r="M26" s="260"/>
      <c r="N26" s="260"/>
      <c r="O26" s="260"/>
      <c r="P26" s="260"/>
      <c r="Q26" s="260"/>
      <c r="R26" s="418"/>
      <c r="S26" s="230"/>
      <c r="AF26" s="428"/>
    </row>
    <row r="27" spans="2:33" ht="30" hidden="1" customHeight="1" outlineLevel="1">
      <c r="B27" s="1429"/>
      <c r="C27" s="1472"/>
      <c r="D27" s="419"/>
      <c r="E27" s="420"/>
      <c r="F27" s="423"/>
      <c r="G27" s="349"/>
      <c r="H27" s="424"/>
      <c r="I27" s="1055"/>
      <c r="J27" s="260"/>
      <c r="K27" s="260"/>
      <c r="L27" s="260"/>
      <c r="M27" s="260"/>
      <c r="N27" s="260"/>
      <c r="O27" s="260"/>
      <c r="P27" s="260"/>
      <c r="Q27" s="260"/>
      <c r="R27" s="418"/>
      <c r="S27" s="230"/>
      <c r="AF27" s="428"/>
    </row>
    <row r="28" spans="2:33" ht="30" customHeight="1">
      <c r="B28" s="1429"/>
      <c r="C28" s="1472"/>
      <c r="D28" s="1467" t="s">
        <v>315</v>
      </c>
      <c r="E28" s="1468"/>
      <c r="F28" s="1469"/>
      <c r="G28" s="1470"/>
      <c r="H28" s="1470"/>
      <c r="I28" s="1471"/>
      <c r="J28" s="260"/>
      <c r="K28" s="260"/>
      <c r="L28" s="260"/>
      <c r="M28" s="260"/>
      <c r="N28" s="260"/>
      <c r="O28" s="260"/>
      <c r="P28" s="260"/>
      <c r="Q28" s="260"/>
      <c r="R28" s="418"/>
      <c r="S28" s="230"/>
      <c r="AC28" s="1426" t="s">
        <v>316</v>
      </c>
      <c r="AD28" s="1426"/>
      <c r="AE28" s="361">
        <f>SUMPRODUCT(ROUND((F93:F107)*(I93:I107)/100,))</f>
        <v>0</v>
      </c>
      <c r="AF28" s="234">
        <f>IF(AND(AE28&gt;0,AG28&gt;0),ROUND(AG28/AE28,2),)</f>
        <v>0</v>
      </c>
      <c r="AG28" s="351">
        <f>SUMPRODUCT(ROUND((H93:H107)*(I93:I107)/100,))</f>
        <v>0</v>
      </c>
    </row>
    <row r="29" spans="2:33" ht="30" customHeight="1">
      <c r="B29" s="1429"/>
      <c r="C29" s="1472"/>
      <c r="D29" s="419"/>
      <c r="E29" s="420"/>
      <c r="F29" s="421"/>
      <c r="G29" s="349"/>
      <c r="H29" s="422"/>
      <c r="I29" s="1054"/>
      <c r="J29" s="260"/>
      <c r="K29" s="260"/>
      <c r="L29" s="260"/>
      <c r="M29" s="260"/>
      <c r="N29" s="260"/>
      <c r="O29" s="260"/>
      <c r="P29" s="260"/>
      <c r="Q29" s="260"/>
      <c r="R29" s="418"/>
      <c r="S29" s="230"/>
      <c r="AC29" s="1426" t="s">
        <v>317</v>
      </c>
      <c r="AD29" s="1426"/>
      <c r="AE29" s="417"/>
      <c r="AF29" s="417"/>
      <c r="AG29" s="351">
        <f>ROUND(H108*I108%,)</f>
        <v>0</v>
      </c>
    </row>
    <row r="30" spans="2:33" ht="30" customHeight="1">
      <c r="B30" s="1429"/>
      <c r="C30" s="1472"/>
      <c r="D30" s="419"/>
      <c r="E30" s="420"/>
      <c r="F30" s="423"/>
      <c r="G30" s="349"/>
      <c r="H30" s="424"/>
      <c r="I30" s="1055"/>
      <c r="J30" s="260"/>
      <c r="K30" s="260"/>
      <c r="L30" s="260"/>
      <c r="M30" s="260"/>
      <c r="N30" s="260"/>
      <c r="O30" s="260"/>
      <c r="P30" s="260"/>
      <c r="Q30" s="260"/>
      <c r="R30" s="418"/>
      <c r="S30" s="230"/>
      <c r="AC30" s="1426" t="s">
        <v>318</v>
      </c>
      <c r="AD30" s="1426"/>
      <c r="AE30" s="361">
        <f>ROUND(F109*I109%,)</f>
        <v>0</v>
      </c>
      <c r="AF30" s="234">
        <f>IF(AND(AE30&gt;0,AG30&gt;0),ROUND(AG30/AE30,2),)</f>
        <v>0</v>
      </c>
      <c r="AG30" s="351">
        <f>ROUND(H109*I109%,)</f>
        <v>0</v>
      </c>
    </row>
    <row r="31" spans="2:33" ht="30" customHeight="1">
      <c r="B31" s="1429"/>
      <c r="C31" s="1472"/>
      <c r="D31" s="419"/>
      <c r="E31" s="420"/>
      <c r="F31" s="425"/>
      <c r="G31" s="349"/>
      <c r="H31" s="426"/>
      <c r="I31" s="1056"/>
      <c r="J31" s="260"/>
      <c r="K31" s="260"/>
      <c r="L31" s="260"/>
      <c r="M31" s="260"/>
      <c r="N31" s="260"/>
      <c r="O31" s="260"/>
      <c r="P31" s="260"/>
      <c r="Q31" s="260"/>
      <c r="R31" s="418"/>
      <c r="S31" s="230"/>
      <c r="AC31" s="1426" t="s">
        <v>319</v>
      </c>
      <c r="AD31" s="1426"/>
      <c r="AE31" s="417"/>
      <c r="AF31" s="417"/>
      <c r="AG31" s="351">
        <f>ROUND(H110*I110%,)</f>
        <v>0</v>
      </c>
    </row>
    <row r="32" spans="2:33" ht="30" customHeight="1" collapsed="1">
      <c r="B32" s="1429"/>
      <c r="C32" s="1472"/>
      <c r="D32" s="419"/>
      <c r="E32" s="420"/>
      <c r="F32" s="425"/>
      <c r="G32" s="349"/>
      <c r="H32" s="426"/>
      <c r="I32" s="1055"/>
      <c r="J32" s="260"/>
      <c r="K32" s="260"/>
      <c r="L32" s="260"/>
      <c r="M32" s="260"/>
      <c r="N32" s="260"/>
      <c r="O32" s="260"/>
      <c r="P32" s="260"/>
      <c r="Q32" s="260"/>
      <c r="R32" s="418"/>
      <c r="S32" s="230"/>
      <c r="AC32" s="1466"/>
      <c r="AD32" s="1466"/>
      <c r="AE32" s="406"/>
      <c r="AF32" s="429"/>
      <c r="AG32" s="407"/>
    </row>
    <row r="33" spans="1:33" ht="30" hidden="1" customHeight="1" outlineLevel="1">
      <c r="B33" s="1429"/>
      <c r="C33" s="1472"/>
      <c r="D33" s="419"/>
      <c r="E33" s="420"/>
      <c r="F33" s="423"/>
      <c r="G33" s="349"/>
      <c r="H33" s="424"/>
      <c r="I33" s="1056"/>
      <c r="J33" s="260"/>
      <c r="K33" s="260"/>
      <c r="L33" s="260"/>
      <c r="M33" s="260"/>
      <c r="N33" s="260"/>
      <c r="O33" s="260"/>
      <c r="P33" s="260"/>
      <c r="Q33" s="260"/>
      <c r="R33" s="418"/>
      <c r="S33" s="230"/>
      <c r="AC33" s="1466"/>
      <c r="AD33" s="1466"/>
      <c r="AE33" s="406"/>
      <c r="AF33" s="429"/>
      <c r="AG33" s="407"/>
    </row>
    <row r="34" spans="1:33" ht="30" hidden="1" customHeight="1" outlineLevel="1">
      <c r="B34" s="1429"/>
      <c r="C34" s="1472"/>
      <c r="D34" s="419"/>
      <c r="E34" s="420"/>
      <c r="F34" s="425"/>
      <c r="G34" s="349"/>
      <c r="H34" s="426"/>
      <c r="I34" s="1056"/>
      <c r="J34" s="260"/>
      <c r="K34" s="260"/>
      <c r="L34" s="260"/>
      <c r="M34" s="260"/>
      <c r="N34" s="260"/>
      <c r="O34" s="260"/>
      <c r="P34" s="260"/>
      <c r="Q34" s="260"/>
      <c r="R34" s="418"/>
      <c r="S34" s="230"/>
      <c r="AC34" s="1466"/>
      <c r="AD34" s="1466"/>
      <c r="AE34" s="406"/>
      <c r="AF34" s="429"/>
      <c r="AG34" s="407"/>
    </row>
    <row r="35" spans="1:33" ht="30" hidden="1" customHeight="1" outlineLevel="1">
      <c r="B35" s="1429"/>
      <c r="C35" s="1472"/>
      <c r="D35" s="419"/>
      <c r="E35" s="420"/>
      <c r="F35" s="423"/>
      <c r="G35" s="349"/>
      <c r="H35" s="424"/>
      <c r="I35" s="1055"/>
      <c r="J35" s="260"/>
      <c r="K35" s="260"/>
      <c r="L35" s="260"/>
      <c r="M35" s="260"/>
      <c r="N35" s="260"/>
      <c r="O35" s="260"/>
      <c r="P35" s="260"/>
      <c r="Q35" s="260"/>
      <c r="R35" s="418"/>
      <c r="S35" s="230"/>
      <c r="AC35" s="1466"/>
      <c r="AD35" s="1466"/>
      <c r="AE35" s="406"/>
      <c r="AF35" s="429"/>
      <c r="AG35" s="407"/>
    </row>
    <row r="36" spans="1:33" ht="30" hidden="1" customHeight="1" outlineLevel="1">
      <c r="B36" s="1429"/>
      <c r="C36" s="1472"/>
      <c r="D36" s="419"/>
      <c r="E36" s="420"/>
      <c r="F36" s="425"/>
      <c r="G36" s="349"/>
      <c r="H36" s="426"/>
      <c r="I36" s="1056"/>
      <c r="J36" s="260"/>
      <c r="K36" s="260"/>
      <c r="L36" s="260"/>
      <c r="M36" s="260"/>
      <c r="N36" s="260"/>
      <c r="O36" s="260"/>
      <c r="P36" s="260"/>
      <c r="Q36" s="260"/>
      <c r="R36" s="418"/>
      <c r="S36" s="230"/>
      <c r="AC36" s="1466"/>
      <c r="AD36" s="1466"/>
      <c r="AE36" s="406"/>
      <c r="AF36" s="429"/>
      <c r="AG36" s="407"/>
    </row>
    <row r="37" spans="1:33" ht="30" hidden="1" customHeight="1" outlineLevel="1">
      <c r="B37" s="1429"/>
      <c r="C37" s="1472"/>
      <c r="D37" s="419"/>
      <c r="E37" s="420"/>
      <c r="F37" s="423"/>
      <c r="G37" s="349"/>
      <c r="H37" s="424"/>
      <c r="I37" s="1055"/>
      <c r="J37" s="260"/>
      <c r="K37" s="260"/>
      <c r="L37" s="260"/>
      <c r="M37" s="260"/>
      <c r="N37" s="260"/>
      <c r="O37" s="260"/>
      <c r="P37" s="260"/>
      <c r="Q37" s="260"/>
      <c r="R37" s="418"/>
      <c r="S37" s="230"/>
      <c r="AC37" s="1466"/>
      <c r="AD37" s="1466"/>
      <c r="AE37" s="406"/>
      <c r="AF37" s="429"/>
      <c r="AG37" s="407"/>
    </row>
    <row r="38" spans="1:33" ht="30" hidden="1" customHeight="1" outlineLevel="1">
      <c r="B38" s="1429"/>
      <c r="C38" s="1472"/>
      <c r="D38" s="419"/>
      <c r="E38" s="420"/>
      <c r="F38" s="425"/>
      <c r="G38" s="349"/>
      <c r="H38" s="426"/>
      <c r="I38" s="1056"/>
      <c r="J38" s="260"/>
      <c r="K38" s="260"/>
      <c r="L38" s="260"/>
      <c r="M38" s="260"/>
      <c r="N38" s="260"/>
      <c r="O38" s="260"/>
      <c r="P38" s="260"/>
      <c r="Q38" s="260"/>
      <c r="R38" s="418"/>
      <c r="S38" s="230"/>
      <c r="AC38" s="1466"/>
      <c r="AD38" s="1466"/>
      <c r="AE38" s="406"/>
      <c r="AF38" s="429"/>
      <c r="AG38" s="407"/>
    </row>
    <row r="39" spans="1:33" ht="30" hidden="1" customHeight="1" outlineLevel="1">
      <c r="B39" s="1429"/>
      <c r="C39" s="1472"/>
      <c r="D39" s="419"/>
      <c r="E39" s="420"/>
      <c r="F39" s="423"/>
      <c r="G39" s="349"/>
      <c r="H39" s="424"/>
      <c r="I39" s="1055"/>
      <c r="J39" s="260"/>
      <c r="K39" s="260"/>
      <c r="L39" s="260"/>
      <c r="M39" s="260"/>
      <c r="N39" s="260"/>
      <c r="O39" s="260"/>
      <c r="P39" s="260"/>
      <c r="Q39" s="260"/>
      <c r="R39" s="418"/>
      <c r="S39" s="230"/>
      <c r="AC39" s="1466"/>
      <c r="AD39" s="1466"/>
      <c r="AE39" s="406"/>
      <c r="AF39" s="429"/>
      <c r="AG39" s="407"/>
    </row>
    <row r="40" spans="1:33" ht="30" hidden="1" customHeight="1" outlineLevel="1">
      <c r="B40" s="1429"/>
      <c r="C40" s="1472"/>
      <c r="D40" s="419"/>
      <c r="E40" s="420"/>
      <c r="F40" s="425"/>
      <c r="G40" s="349"/>
      <c r="H40" s="426"/>
      <c r="I40" s="1056"/>
      <c r="J40" s="260"/>
      <c r="K40" s="260"/>
      <c r="L40" s="260"/>
      <c r="M40" s="260"/>
      <c r="N40" s="260"/>
      <c r="O40" s="260"/>
      <c r="P40" s="260"/>
      <c r="Q40" s="260"/>
      <c r="R40" s="418"/>
      <c r="S40" s="230"/>
      <c r="AC40" s="1466"/>
      <c r="AD40" s="1466"/>
      <c r="AE40" s="406"/>
      <c r="AF40" s="429"/>
      <c r="AG40" s="407"/>
    </row>
    <row r="41" spans="1:33" ht="30" hidden="1" customHeight="1" outlineLevel="1">
      <c r="B41" s="1429"/>
      <c r="C41" s="1472"/>
      <c r="D41" s="419"/>
      <c r="E41" s="420"/>
      <c r="F41" s="423"/>
      <c r="G41" s="349"/>
      <c r="H41" s="424"/>
      <c r="I41" s="1055"/>
      <c r="J41" s="260"/>
      <c r="K41" s="260"/>
      <c r="L41" s="260"/>
      <c r="M41" s="260"/>
      <c r="N41" s="260"/>
      <c r="O41" s="260"/>
      <c r="P41" s="260"/>
      <c r="Q41" s="260"/>
      <c r="R41" s="418"/>
      <c r="S41" s="230"/>
    </row>
    <row r="42" spans="1:33" ht="30" hidden="1" customHeight="1" outlineLevel="1">
      <c r="B42" s="1429"/>
      <c r="C42" s="1472"/>
      <c r="D42" s="419"/>
      <c r="E42" s="420"/>
      <c r="F42" s="425"/>
      <c r="G42" s="349"/>
      <c r="H42" s="426"/>
      <c r="I42" s="1056"/>
      <c r="J42" s="260"/>
      <c r="K42" s="260"/>
      <c r="L42" s="260"/>
      <c r="M42" s="260"/>
      <c r="N42" s="260"/>
      <c r="O42" s="260"/>
      <c r="P42" s="260"/>
      <c r="Q42" s="260"/>
      <c r="R42" s="418"/>
      <c r="S42" s="230"/>
    </row>
    <row r="43" spans="1:33" ht="30" hidden="1" customHeight="1" outlineLevel="1">
      <c r="B43" s="1429"/>
      <c r="C43" s="1472"/>
      <c r="D43" s="419"/>
      <c r="E43" s="420"/>
      <c r="F43" s="423"/>
      <c r="G43" s="349"/>
      <c r="H43" s="424"/>
      <c r="I43" s="1055"/>
      <c r="J43" s="260"/>
      <c r="K43" s="260"/>
      <c r="L43" s="260"/>
      <c r="M43" s="260"/>
      <c r="N43" s="260"/>
      <c r="O43" s="260"/>
      <c r="P43" s="260"/>
      <c r="Q43" s="260"/>
      <c r="R43" s="418"/>
      <c r="S43" s="230"/>
    </row>
    <row r="44" spans="1:33" ht="30" customHeight="1">
      <c r="B44" s="1429"/>
      <c r="C44" s="1472"/>
      <c r="D44" s="1467" t="s">
        <v>320</v>
      </c>
      <c r="E44" s="1468"/>
      <c r="F44" s="1469"/>
      <c r="G44" s="1470"/>
      <c r="H44" s="1470"/>
      <c r="I44" s="1471"/>
      <c r="J44" s="260"/>
      <c r="K44" s="260"/>
      <c r="L44" s="260"/>
      <c r="M44" s="260"/>
      <c r="N44" s="260"/>
      <c r="O44" s="260"/>
      <c r="P44" s="260"/>
      <c r="Q44" s="260"/>
      <c r="R44" s="418"/>
      <c r="S44" s="230"/>
    </row>
    <row r="45" spans="1:33" ht="30" customHeight="1">
      <c r="A45" s="430"/>
      <c r="B45" s="1429"/>
      <c r="C45" s="1472"/>
      <c r="D45" s="431"/>
      <c r="E45" s="420"/>
      <c r="F45" s="421"/>
      <c r="G45" s="349"/>
      <c r="H45" s="422"/>
      <c r="I45" s="1054"/>
      <c r="J45" s="432"/>
      <c r="K45" s="432"/>
      <c r="L45" s="432"/>
      <c r="M45" s="432"/>
      <c r="N45" s="432"/>
      <c r="O45" s="432"/>
      <c r="P45" s="432"/>
      <c r="Q45" s="432"/>
      <c r="R45" s="433"/>
      <c r="S45" s="230"/>
    </row>
    <row r="46" spans="1:33" ht="30" customHeight="1">
      <c r="A46" s="430"/>
      <c r="B46" s="1429"/>
      <c r="C46" s="1472"/>
      <c r="D46" s="431"/>
      <c r="E46" s="420"/>
      <c r="F46" s="423"/>
      <c r="G46" s="349"/>
      <c r="H46" s="424"/>
      <c r="I46" s="1055"/>
      <c r="J46" s="432"/>
      <c r="K46" s="432"/>
      <c r="L46" s="432"/>
      <c r="M46" s="432"/>
      <c r="N46" s="432"/>
      <c r="O46" s="432"/>
      <c r="P46" s="432"/>
      <c r="Q46" s="432"/>
      <c r="R46" s="433"/>
      <c r="S46" s="230"/>
    </row>
    <row r="47" spans="1:33" ht="30" customHeight="1">
      <c r="B47" s="1429"/>
      <c r="C47" s="1472"/>
      <c r="D47" s="419"/>
      <c r="E47" s="420"/>
      <c r="F47" s="423"/>
      <c r="G47" s="349"/>
      <c r="H47" s="424"/>
      <c r="I47" s="1056"/>
      <c r="J47" s="260"/>
      <c r="K47" s="260"/>
      <c r="L47" s="260"/>
      <c r="M47" s="260"/>
      <c r="N47" s="260"/>
      <c r="O47" s="260"/>
      <c r="P47" s="260"/>
      <c r="Q47" s="260"/>
      <c r="R47" s="418"/>
      <c r="S47" s="230"/>
      <c r="AC47" s="1466"/>
      <c r="AD47" s="1466"/>
      <c r="AE47" s="406"/>
      <c r="AF47" s="429"/>
      <c r="AG47" s="407"/>
    </row>
    <row r="48" spans="1:33" ht="30" customHeight="1" collapsed="1">
      <c r="B48" s="1429"/>
      <c r="C48" s="1472"/>
      <c r="D48" s="419"/>
      <c r="E48" s="420"/>
      <c r="F48" s="425"/>
      <c r="G48" s="349"/>
      <c r="H48" s="426"/>
      <c r="I48" s="1055"/>
      <c r="J48" s="260"/>
      <c r="K48" s="260"/>
      <c r="L48" s="260"/>
      <c r="M48" s="260"/>
      <c r="N48" s="260"/>
      <c r="O48" s="260"/>
      <c r="P48" s="260"/>
      <c r="Q48" s="260"/>
      <c r="R48" s="418"/>
      <c r="S48" s="230"/>
      <c r="AC48" s="1466"/>
      <c r="AD48" s="1466"/>
      <c r="AE48" s="406"/>
      <c r="AF48" s="429"/>
      <c r="AG48" s="407"/>
    </row>
    <row r="49" spans="1:60" ht="30" hidden="1" customHeight="1" outlineLevel="1">
      <c r="B49" s="1429"/>
      <c r="C49" s="1472"/>
      <c r="D49" s="419"/>
      <c r="E49" s="420"/>
      <c r="F49" s="423"/>
      <c r="G49" s="349"/>
      <c r="H49" s="424"/>
      <c r="I49" s="1056"/>
      <c r="J49" s="260"/>
      <c r="K49" s="260"/>
      <c r="L49" s="260"/>
      <c r="M49" s="260"/>
      <c r="N49" s="260"/>
      <c r="O49" s="260"/>
      <c r="P49" s="260"/>
      <c r="Q49" s="260"/>
      <c r="R49" s="418"/>
      <c r="S49" s="230"/>
      <c r="AC49" s="1466"/>
      <c r="AD49" s="1466"/>
      <c r="AE49" s="406"/>
      <c r="AF49" s="429"/>
      <c r="AG49" s="407"/>
    </row>
    <row r="50" spans="1:60" ht="30" hidden="1" customHeight="1" outlineLevel="1">
      <c r="B50" s="1429"/>
      <c r="C50" s="1472"/>
      <c r="D50" s="419"/>
      <c r="E50" s="420"/>
      <c r="F50" s="425"/>
      <c r="G50" s="349"/>
      <c r="H50" s="426"/>
      <c r="I50" s="1056"/>
      <c r="J50" s="260"/>
      <c r="K50" s="260"/>
      <c r="L50" s="260"/>
      <c r="M50" s="260"/>
      <c r="N50" s="260"/>
      <c r="O50" s="260"/>
      <c r="P50" s="260"/>
      <c r="Q50" s="260"/>
      <c r="R50" s="418"/>
      <c r="S50" s="230"/>
      <c r="AC50" s="1466"/>
      <c r="AD50" s="1466"/>
      <c r="AE50" s="406"/>
      <c r="AF50" s="429"/>
      <c r="AG50" s="407"/>
    </row>
    <row r="51" spans="1:60" ht="30" hidden="1" customHeight="1" outlineLevel="1">
      <c r="B51" s="1429"/>
      <c r="C51" s="1472"/>
      <c r="D51" s="419"/>
      <c r="E51" s="420"/>
      <c r="F51" s="423"/>
      <c r="G51" s="349"/>
      <c r="H51" s="424"/>
      <c r="I51" s="1055"/>
      <c r="J51" s="260"/>
      <c r="K51" s="260"/>
      <c r="L51" s="260"/>
      <c r="M51" s="260"/>
      <c r="N51" s="260"/>
      <c r="O51" s="260"/>
      <c r="P51" s="260"/>
      <c r="Q51" s="260"/>
      <c r="R51" s="418"/>
      <c r="S51" s="230"/>
      <c r="AC51" s="1466"/>
      <c r="AD51" s="1466"/>
      <c r="AE51" s="406"/>
      <c r="AF51" s="429"/>
      <c r="AG51" s="407"/>
    </row>
    <row r="52" spans="1:60" ht="30" hidden="1" customHeight="1" outlineLevel="1">
      <c r="B52" s="1429"/>
      <c r="C52" s="1472"/>
      <c r="D52" s="419"/>
      <c r="E52" s="420"/>
      <c r="F52" s="425"/>
      <c r="G52" s="349"/>
      <c r="H52" s="426"/>
      <c r="I52" s="1056"/>
      <c r="J52" s="260"/>
      <c r="K52" s="260"/>
      <c r="L52" s="260"/>
      <c r="M52" s="260"/>
      <c r="N52" s="260"/>
      <c r="O52" s="260"/>
      <c r="P52" s="260"/>
      <c r="Q52" s="260"/>
      <c r="R52" s="418"/>
      <c r="S52" s="230"/>
      <c r="AC52" s="1466"/>
      <c r="AD52" s="1466"/>
      <c r="AE52" s="406"/>
      <c r="AF52" s="429"/>
      <c r="AG52" s="407"/>
    </row>
    <row r="53" spans="1:60" ht="30" hidden="1" customHeight="1" outlineLevel="1">
      <c r="B53" s="1429"/>
      <c r="C53" s="1472"/>
      <c r="D53" s="419"/>
      <c r="E53" s="420"/>
      <c r="F53" s="423"/>
      <c r="G53" s="349"/>
      <c r="H53" s="424"/>
      <c r="I53" s="1055"/>
      <c r="J53" s="260"/>
      <c r="K53" s="260"/>
      <c r="L53" s="260"/>
      <c r="M53" s="260"/>
      <c r="N53" s="260"/>
      <c r="O53" s="260"/>
      <c r="P53" s="260"/>
      <c r="Q53" s="260"/>
      <c r="R53" s="418"/>
      <c r="S53" s="230"/>
      <c r="AC53" s="1466"/>
      <c r="AD53" s="1466"/>
      <c r="AE53" s="406"/>
      <c r="AF53" s="429"/>
      <c r="AG53" s="407"/>
    </row>
    <row r="54" spans="1:60" ht="30" hidden="1" customHeight="1" outlineLevel="1">
      <c r="B54" s="1429"/>
      <c r="C54" s="1472"/>
      <c r="D54" s="419"/>
      <c r="E54" s="420"/>
      <c r="F54" s="425"/>
      <c r="G54" s="349"/>
      <c r="H54" s="426"/>
      <c r="I54" s="1056"/>
      <c r="J54" s="260"/>
      <c r="K54" s="260"/>
      <c r="L54" s="260"/>
      <c r="M54" s="260"/>
      <c r="N54" s="260"/>
      <c r="O54" s="260"/>
      <c r="P54" s="260"/>
      <c r="Q54" s="260"/>
      <c r="R54" s="418"/>
      <c r="S54" s="230"/>
      <c r="AC54" s="1466"/>
      <c r="AD54" s="1466"/>
      <c r="AE54" s="406"/>
      <c r="AF54" s="429"/>
      <c r="AG54" s="407"/>
    </row>
    <row r="55" spans="1:60" ht="30" hidden="1" customHeight="1" outlineLevel="1">
      <c r="B55" s="1429"/>
      <c r="C55" s="1472"/>
      <c r="D55" s="419"/>
      <c r="E55" s="420"/>
      <c r="F55" s="423"/>
      <c r="G55" s="349"/>
      <c r="H55" s="424"/>
      <c r="I55" s="1055"/>
      <c r="J55" s="260"/>
      <c r="K55" s="260"/>
      <c r="L55" s="260"/>
      <c r="M55" s="260"/>
      <c r="N55" s="260"/>
      <c r="O55" s="260"/>
      <c r="P55" s="260"/>
      <c r="Q55" s="260"/>
      <c r="R55" s="418"/>
      <c r="S55" s="230"/>
    </row>
    <row r="56" spans="1:60" ht="30" hidden="1" customHeight="1" outlineLevel="1">
      <c r="B56" s="1429"/>
      <c r="C56" s="1472"/>
      <c r="D56" s="419"/>
      <c r="E56" s="420"/>
      <c r="F56" s="423"/>
      <c r="G56" s="349"/>
      <c r="H56" s="424"/>
      <c r="I56" s="1056"/>
      <c r="J56" s="260"/>
      <c r="K56" s="260"/>
      <c r="L56" s="260"/>
      <c r="M56" s="260"/>
      <c r="N56" s="260"/>
      <c r="O56" s="260"/>
      <c r="P56" s="260"/>
      <c r="Q56" s="260"/>
      <c r="R56" s="418"/>
      <c r="S56" s="230"/>
    </row>
    <row r="57" spans="1:60" ht="30" hidden="1" customHeight="1" outlineLevel="1">
      <c r="B57" s="1429"/>
      <c r="C57" s="1472"/>
      <c r="D57" s="419"/>
      <c r="E57" s="420"/>
      <c r="F57" s="425"/>
      <c r="G57" s="349"/>
      <c r="H57" s="426"/>
      <c r="I57" s="1055"/>
      <c r="J57" s="260"/>
      <c r="K57" s="260"/>
      <c r="L57" s="260"/>
      <c r="M57" s="260"/>
      <c r="N57" s="260"/>
      <c r="O57" s="260"/>
      <c r="P57" s="260"/>
      <c r="Q57" s="260"/>
      <c r="R57" s="418"/>
      <c r="S57" s="230"/>
    </row>
    <row r="58" spans="1:60" ht="30" hidden="1" customHeight="1" outlineLevel="1">
      <c r="B58" s="1429"/>
      <c r="C58" s="1472"/>
      <c r="D58" s="419"/>
      <c r="E58" s="420"/>
      <c r="F58" s="425"/>
      <c r="G58" s="349"/>
      <c r="H58" s="426"/>
      <c r="I58" s="1056"/>
      <c r="J58" s="260"/>
      <c r="K58" s="260"/>
      <c r="L58" s="260"/>
      <c r="M58" s="260"/>
      <c r="N58" s="260"/>
      <c r="O58" s="260"/>
      <c r="P58" s="260"/>
      <c r="Q58" s="260"/>
      <c r="R58" s="418"/>
      <c r="S58" s="230"/>
      <c r="BA58" s="184"/>
      <c r="BB58" s="184"/>
      <c r="BC58" s="184"/>
      <c r="BD58" s="184"/>
      <c r="BE58" s="184"/>
      <c r="BF58" s="184"/>
      <c r="BG58" s="184"/>
      <c r="BH58" s="184"/>
    </row>
    <row r="59" spans="1:60" s="430" customFormat="1" ht="30" hidden="1" customHeight="1" outlineLevel="1">
      <c r="A59" s="2"/>
      <c r="B59" s="1429"/>
      <c r="C59" s="1472"/>
      <c r="D59" s="419"/>
      <c r="E59" s="420"/>
      <c r="F59" s="423"/>
      <c r="G59" s="349"/>
      <c r="H59" s="424"/>
      <c r="I59" s="1055"/>
      <c r="J59" s="260"/>
      <c r="K59" s="260"/>
      <c r="L59" s="260"/>
      <c r="M59" s="260"/>
      <c r="N59" s="260"/>
      <c r="O59" s="260"/>
      <c r="P59" s="260"/>
      <c r="Q59" s="260"/>
      <c r="R59" s="418"/>
      <c r="S59" s="23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4"/>
      <c r="BB59" s="434"/>
      <c r="BC59" s="434"/>
      <c r="BD59" s="434"/>
      <c r="BE59" s="434"/>
      <c r="BF59" s="434"/>
      <c r="BG59" s="434"/>
      <c r="BH59" s="434"/>
    </row>
    <row r="60" spans="1:60" s="430" customFormat="1" ht="30" customHeight="1">
      <c r="A60" s="2"/>
      <c r="B60" s="1429"/>
      <c r="C60" s="1472"/>
      <c r="D60" s="1467" t="s">
        <v>321</v>
      </c>
      <c r="E60" s="1468"/>
      <c r="F60" s="1469"/>
      <c r="G60" s="1470"/>
      <c r="H60" s="1470"/>
      <c r="I60" s="1471"/>
      <c r="J60" s="260"/>
      <c r="K60" s="260"/>
      <c r="L60" s="260"/>
      <c r="M60" s="260"/>
      <c r="N60" s="260"/>
      <c r="O60" s="260"/>
      <c r="P60" s="260"/>
      <c r="Q60" s="260"/>
      <c r="R60" s="418"/>
      <c r="S60" s="23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4"/>
      <c r="BB60" s="434"/>
      <c r="BC60" s="434"/>
      <c r="BD60" s="434"/>
      <c r="BE60" s="434"/>
      <c r="BF60" s="434"/>
      <c r="BG60" s="434"/>
      <c r="BH60" s="434"/>
    </row>
    <row r="61" spans="1:60" ht="30" customHeight="1">
      <c r="B61" s="1429"/>
      <c r="C61" s="1472"/>
      <c r="D61" s="431"/>
      <c r="E61" s="420"/>
      <c r="F61" s="421"/>
      <c r="G61" s="349"/>
      <c r="H61" s="422"/>
      <c r="I61" s="1054"/>
      <c r="J61" s="260"/>
      <c r="K61" s="260"/>
      <c r="L61" s="260"/>
      <c r="M61" s="260"/>
      <c r="N61" s="260"/>
      <c r="O61" s="260"/>
      <c r="P61" s="260"/>
      <c r="Q61" s="260"/>
      <c r="R61" s="418"/>
      <c r="S61" s="230"/>
      <c r="BA61" s="184"/>
      <c r="BB61" s="184"/>
      <c r="BC61" s="184"/>
      <c r="BD61" s="184"/>
      <c r="BE61" s="184"/>
      <c r="BF61" s="184"/>
      <c r="BG61" s="184"/>
      <c r="BH61" s="184"/>
    </row>
    <row r="62" spans="1:60" ht="30" customHeight="1">
      <c r="A62" s="430"/>
      <c r="B62" s="1429"/>
      <c r="C62" s="1472"/>
      <c r="D62" s="431"/>
      <c r="E62" s="420"/>
      <c r="F62" s="423"/>
      <c r="G62" s="349"/>
      <c r="H62" s="424"/>
      <c r="I62" s="1055"/>
      <c r="J62" s="432"/>
      <c r="K62" s="432"/>
      <c r="L62" s="432"/>
      <c r="M62" s="432"/>
      <c r="N62" s="432"/>
      <c r="O62" s="432"/>
      <c r="P62" s="432"/>
      <c r="Q62" s="432"/>
      <c r="R62" s="433"/>
      <c r="S62" s="230"/>
    </row>
    <row r="63" spans="1:60" ht="30" customHeight="1">
      <c r="B63" s="1429"/>
      <c r="C63" s="1472"/>
      <c r="D63" s="419"/>
      <c r="E63" s="420"/>
      <c r="F63" s="423"/>
      <c r="G63" s="349"/>
      <c r="H63" s="424"/>
      <c r="I63" s="1056"/>
      <c r="J63" s="260"/>
      <c r="K63" s="260"/>
      <c r="L63" s="260"/>
      <c r="M63" s="260"/>
      <c r="N63" s="260"/>
      <c r="O63" s="260"/>
      <c r="P63" s="260"/>
      <c r="Q63" s="260"/>
      <c r="R63" s="418"/>
      <c r="S63" s="230"/>
      <c r="AC63" s="1466"/>
      <c r="AD63" s="1466"/>
      <c r="AE63" s="406"/>
      <c r="AF63" s="429"/>
      <c r="AG63" s="407"/>
    </row>
    <row r="64" spans="1:60" ht="30" customHeight="1" collapsed="1">
      <c r="B64" s="1429"/>
      <c r="C64" s="1472"/>
      <c r="D64" s="419"/>
      <c r="E64" s="420"/>
      <c r="F64" s="425"/>
      <c r="G64" s="349"/>
      <c r="H64" s="426"/>
      <c r="I64" s="1055"/>
      <c r="J64" s="260"/>
      <c r="K64" s="260"/>
      <c r="L64" s="260"/>
      <c r="M64" s="260"/>
      <c r="N64" s="260"/>
      <c r="O64" s="260"/>
      <c r="P64" s="260"/>
      <c r="Q64" s="260"/>
      <c r="R64" s="418"/>
      <c r="S64" s="230"/>
      <c r="AC64" s="1466"/>
      <c r="AD64" s="1466"/>
      <c r="AE64" s="406"/>
      <c r="AF64" s="429"/>
      <c r="AG64" s="407"/>
    </row>
    <row r="65" spans="1:60" ht="30" hidden="1" customHeight="1" outlineLevel="1">
      <c r="B65" s="1429"/>
      <c r="C65" s="1472"/>
      <c r="D65" s="419"/>
      <c r="E65" s="420"/>
      <c r="F65" s="423"/>
      <c r="G65" s="349"/>
      <c r="H65" s="424"/>
      <c r="I65" s="1056"/>
      <c r="J65" s="260"/>
      <c r="K65" s="260"/>
      <c r="L65" s="260"/>
      <c r="M65" s="260"/>
      <c r="N65" s="260"/>
      <c r="O65" s="260"/>
      <c r="P65" s="260"/>
      <c r="Q65" s="260"/>
      <c r="R65" s="418"/>
      <c r="S65" s="230"/>
      <c r="AC65" s="1466"/>
      <c r="AD65" s="1466"/>
      <c r="AE65" s="406"/>
      <c r="AF65" s="429"/>
      <c r="AG65" s="407"/>
    </row>
    <row r="66" spans="1:60" ht="30" hidden="1" customHeight="1" outlineLevel="1">
      <c r="B66" s="1429"/>
      <c r="C66" s="1472"/>
      <c r="D66" s="419"/>
      <c r="E66" s="420"/>
      <c r="F66" s="425"/>
      <c r="G66" s="349"/>
      <c r="H66" s="426"/>
      <c r="I66" s="1056"/>
      <c r="J66" s="260"/>
      <c r="K66" s="260"/>
      <c r="L66" s="260"/>
      <c r="M66" s="260"/>
      <c r="N66" s="260"/>
      <c r="O66" s="260"/>
      <c r="P66" s="260"/>
      <c r="Q66" s="260"/>
      <c r="R66" s="418"/>
      <c r="S66" s="230"/>
      <c r="AC66" s="1466"/>
      <c r="AD66" s="1466"/>
      <c r="AE66" s="406"/>
      <c r="AF66" s="429"/>
      <c r="AG66" s="407"/>
    </row>
    <row r="67" spans="1:60" ht="30" hidden="1" customHeight="1" outlineLevel="1">
      <c r="B67" s="1429"/>
      <c r="C67" s="1472"/>
      <c r="D67" s="419"/>
      <c r="E67" s="420"/>
      <c r="F67" s="423"/>
      <c r="G67" s="349"/>
      <c r="H67" s="424"/>
      <c r="I67" s="1055"/>
      <c r="J67" s="260"/>
      <c r="K67" s="260"/>
      <c r="L67" s="260"/>
      <c r="M67" s="260"/>
      <c r="N67" s="260"/>
      <c r="O67" s="260"/>
      <c r="P67" s="260"/>
      <c r="Q67" s="260"/>
      <c r="R67" s="418"/>
      <c r="S67" s="230"/>
      <c r="AC67" s="1466"/>
      <c r="AD67" s="1466"/>
      <c r="AE67" s="406"/>
      <c r="AF67" s="429"/>
      <c r="AG67" s="407"/>
    </row>
    <row r="68" spans="1:60" ht="30" hidden="1" customHeight="1" outlineLevel="1">
      <c r="B68" s="1429"/>
      <c r="C68" s="1472"/>
      <c r="D68" s="419"/>
      <c r="E68" s="420"/>
      <c r="F68" s="425"/>
      <c r="G68" s="349"/>
      <c r="H68" s="426"/>
      <c r="I68" s="1056"/>
      <c r="J68" s="260"/>
      <c r="K68" s="260"/>
      <c r="L68" s="260"/>
      <c r="M68" s="260"/>
      <c r="N68" s="260"/>
      <c r="O68" s="260"/>
      <c r="P68" s="260"/>
      <c r="Q68" s="260"/>
      <c r="R68" s="418"/>
      <c r="S68" s="230"/>
      <c r="AC68" s="1466"/>
      <c r="AD68" s="1466"/>
      <c r="AE68" s="406"/>
      <c r="AF68" s="429"/>
      <c r="AG68" s="407"/>
    </row>
    <row r="69" spans="1:60" ht="30" hidden="1" customHeight="1" outlineLevel="1">
      <c r="B69" s="1429"/>
      <c r="C69" s="1472"/>
      <c r="D69" s="419"/>
      <c r="E69" s="420"/>
      <c r="F69" s="423"/>
      <c r="G69" s="349"/>
      <c r="H69" s="424"/>
      <c r="I69" s="1055"/>
      <c r="J69" s="260"/>
      <c r="K69" s="260"/>
      <c r="L69" s="260"/>
      <c r="M69" s="260"/>
      <c r="N69" s="260"/>
      <c r="O69" s="260"/>
      <c r="P69" s="260"/>
      <c r="Q69" s="260"/>
      <c r="R69" s="418"/>
      <c r="S69" s="230"/>
      <c r="AC69" s="1466"/>
      <c r="AD69" s="1466"/>
      <c r="AE69" s="406"/>
      <c r="AF69" s="429"/>
      <c r="AG69" s="407"/>
    </row>
    <row r="70" spans="1:60" ht="30" hidden="1" customHeight="1" outlineLevel="1">
      <c r="B70" s="1429"/>
      <c r="C70" s="1472"/>
      <c r="D70" s="419"/>
      <c r="E70" s="420"/>
      <c r="F70" s="425"/>
      <c r="G70" s="349"/>
      <c r="H70" s="426"/>
      <c r="I70" s="1056"/>
      <c r="J70" s="260"/>
      <c r="K70" s="260"/>
      <c r="L70" s="260"/>
      <c r="M70" s="260"/>
      <c r="N70" s="260"/>
      <c r="O70" s="260"/>
      <c r="P70" s="260"/>
      <c r="Q70" s="260"/>
      <c r="R70" s="418"/>
      <c r="S70" s="230"/>
      <c r="AC70" s="1466"/>
      <c r="AD70" s="1466"/>
      <c r="AE70" s="406"/>
      <c r="AF70" s="429"/>
      <c r="AG70" s="407"/>
    </row>
    <row r="71" spans="1:60" ht="30" hidden="1" customHeight="1" outlineLevel="1">
      <c r="B71" s="1429"/>
      <c r="C71" s="1472"/>
      <c r="D71" s="419"/>
      <c r="E71" s="420"/>
      <c r="F71" s="423"/>
      <c r="G71" s="349"/>
      <c r="H71" s="424"/>
      <c r="I71" s="1055"/>
      <c r="J71" s="260"/>
      <c r="K71" s="260"/>
      <c r="L71" s="260"/>
      <c r="M71" s="260"/>
      <c r="N71" s="260"/>
      <c r="O71" s="260"/>
      <c r="P71" s="260"/>
      <c r="Q71" s="260"/>
      <c r="R71" s="418"/>
      <c r="S71" s="230"/>
    </row>
    <row r="72" spans="1:60" ht="30" hidden="1" customHeight="1" outlineLevel="1">
      <c r="B72" s="1429"/>
      <c r="C72" s="1472"/>
      <c r="D72" s="419"/>
      <c r="E72" s="420"/>
      <c r="F72" s="425"/>
      <c r="G72" s="349"/>
      <c r="H72" s="426"/>
      <c r="I72" s="1056"/>
      <c r="J72" s="260"/>
      <c r="K72" s="260"/>
      <c r="L72" s="260"/>
      <c r="M72" s="260"/>
      <c r="N72" s="260"/>
      <c r="O72" s="260"/>
      <c r="P72" s="260"/>
      <c r="Q72" s="260"/>
      <c r="R72" s="418"/>
      <c r="S72" s="230"/>
      <c r="AC72" s="1466"/>
      <c r="AD72" s="1466"/>
      <c r="AE72" s="406"/>
      <c r="AF72" s="429"/>
      <c r="AG72" s="407"/>
    </row>
    <row r="73" spans="1:60" ht="30" hidden="1" customHeight="1" outlineLevel="1">
      <c r="B73" s="1429"/>
      <c r="C73" s="1472"/>
      <c r="D73" s="431"/>
      <c r="E73" s="420"/>
      <c r="F73" s="423"/>
      <c r="G73" s="349"/>
      <c r="H73" s="424"/>
      <c r="I73" s="1055"/>
      <c r="J73" s="260"/>
      <c r="K73" s="260"/>
      <c r="L73" s="260"/>
      <c r="M73" s="260"/>
      <c r="N73" s="260"/>
      <c r="O73" s="260"/>
      <c r="P73" s="260"/>
      <c r="Q73" s="260"/>
      <c r="R73" s="418"/>
      <c r="S73" s="230"/>
      <c r="AC73" s="410"/>
      <c r="BA73" s="184"/>
      <c r="BB73" s="184"/>
      <c r="BC73" s="184"/>
      <c r="BD73" s="184"/>
      <c r="BE73" s="184"/>
      <c r="BF73" s="184"/>
      <c r="BG73" s="184"/>
      <c r="BH73" s="184"/>
    </row>
    <row r="74" spans="1:60" ht="30" hidden="1" customHeight="1" outlineLevel="1">
      <c r="B74" s="1429"/>
      <c r="C74" s="1472"/>
      <c r="D74" s="419"/>
      <c r="E74" s="420"/>
      <c r="F74" s="425"/>
      <c r="G74" s="349"/>
      <c r="H74" s="426"/>
      <c r="I74" s="1056"/>
      <c r="J74" s="260"/>
      <c r="K74" s="260"/>
      <c r="L74" s="260"/>
      <c r="M74" s="260"/>
      <c r="N74" s="260"/>
      <c r="O74" s="260"/>
      <c r="P74" s="260"/>
      <c r="Q74" s="260"/>
      <c r="R74" s="418"/>
      <c r="S74" s="230"/>
      <c r="AC74" s="410"/>
      <c r="BA74" s="184"/>
      <c r="BB74" s="184"/>
      <c r="BC74" s="184"/>
      <c r="BD74" s="184"/>
      <c r="BE74" s="184"/>
      <c r="BF74" s="184"/>
      <c r="BG74" s="184"/>
      <c r="BH74" s="184"/>
    </row>
    <row r="75" spans="1:60" ht="30" hidden="1" customHeight="1" outlineLevel="1">
      <c r="B75" s="1429"/>
      <c r="C75" s="1472"/>
      <c r="D75" s="419"/>
      <c r="E75" s="420"/>
      <c r="F75" s="423"/>
      <c r="G75" s="349"/>
      <c r="H75" s="424"/>
      <c r="I75" s="1055"/>
      <c r="J75" s="260"/>
      <c r="K75" s="260"/>
      <c r="L75" s="260"/>
      <c r="M75" s="260"/>
      <c r="N75" s="260"/>
      <c r="O75" s="260"/>
      <c r="P75" s="260"/>
      <c r="Q75" s="260"/>
      <c r="R75" s="418"/>
      <c r="S75" s="230"/>
      <c r="AC75" s="410"/>
      <c r="BA75" s="184"/>
      <c r="BB75" s="184"/>
      <c r="BC75" s="184"/>
      <c r="BD75" s="184"/>
      <c r="BE75" s="184"/>
      <c r="BF75" s="184"/>
      <c r="BG75" s="184"/>
      <c r="BH75" s="184"/>
    </row>
    <row r="76" spans="1:60" ht="30" customHeight="1">
      <c r="B76" s="1429"/>
      <c r="C76" s="1472"/>
      <c r="D76" s="1467" t="s">
        <v>322</v>
      </c>
      <c r="E76" s="1468"/>
      <c r="F76" s="1469"/>
      <c r="G76" s="1470"/>
      <c r="H76" s="1470"/>
      <c r="I76" s="1471"/>
      <c r="J76" s="1476" t="s">
        <v>323</v>
      </c>
      <c r="K76" s="1476"/>
      <c r="L76" s="1476"/>
      <c r="M76" s="1476"/>
      <c r="N76" s="1476"/>
      <c r="O76" s="1476"/>
      <c r="P76" s="1476"/>
      <c r="Q76" s="1476"/>
      <c r="R76" s="1477"/>
      <c r="S76" s="230"/>
      <c r="AC76" s="410"/>
      <c r="BA76" s="184"/>
      <c r="BB76" s="184"/>
      <c r="BC76" s="184"/>
      <c r="BD76" s="184"/>
      <c r="BE76" s="184"/>
      <c r="BF76" s="184"/>
      <c r="BG76" s="184"/>
      <c r="BH76" s="184"/>
    </row>
    <row r="77" spans="1:60" ht="30" customHeight="1">
      <c r="B77" s="1429"/>
      <c r="C77" s="1472"/>
      <c r="D77" s="431"/>
      <c r="E77" s="420"/>
      <c r="F77" s="421"/>
      <c r="G77" s="349"/>
      <c r="H77" s="422"/>
      <c r="I77" s="1054"/>
      <c r="J77" s="1476"/>
      <c r="K77" s="1476"/>
      <c r="L77" s="1476"/>
      <c r="M77" s="1476"/>
      <c r="N77" s="1476"/>
      <c r="O77" s="1476"/>
      <c r="P77" s="1476"/>
      <c r="Q77" s="1476"/>
      <c r="R77" s="1477"/>
      <c r="S77" s="230"/>
      <c r="AC77" s="410"/>
      <c r="BA77" s="184"/>
      <c r="BB77" s="184"/>
      <c r="BC77" s="184"/>
      <c r="BD77" s="184"/>
      <c r="BE77" s="184"/>
      <c r="BF77" s="184"/>
      <c r="BG77" s="184"/>
      <c r="BH77" s="184"/>
    </row>
    <row r="78" spans="1:60" ht="30" customHeight="1">
      <c r="B78" s="1429"/>
      <c r="C78" s="1472"/>
      <c r="D78" s="431"/>
      <c r="E78" s="420"/>
      <c r="F78" s="423"/>
      <c r="G78" s="349"/>
      <c r="H78" s="424"/>
      <c r="I78" s="1055"/>
      <c r="J78" s="1476"/>
      <c r="K78" s="1476"/>
      <c r="L78" s="1476"/>
      <c r="M78" s="1476"/>
      <c r="N78" s="1476"/>
      <c r="O78" s="1476"/>
      <c r="P78" s="1476"/>
      <c r="Q78" s="1476"/>
      <c r="R78" s="1477"/>
      <c r="S78" s="230"/>
      <c r="AC78" s="410"/>
      <c r="BA78" s="184"/>
      <c r="BB78" s="184"/>
      <c r="BC78" s="184"/>
      <c r="BD78" s="184"/>
      <c r="BE78" s="184"/>
      <c r="BF78" s="184"/>
      <c r="BG78" s="184"/>
      <c r="BH78" s="184"/>
    </row>
    <row r="79" spans="1:60" ht="30" customHeight="1">
      <c r="A79" s="430"/>
      <c r="B79" s="1429"/>
      <c r="C79" s="1472"/>
      <c r="D79" s="431"/>
      <c r="E79" s="420"/>
      <c r="F79" s="423"/>
      <c r="G79" s="349"/>
      <c r="H79" s="424"/>
      <c r="I79" s="1056"/>
      <c r="J79" s="1476"/>
      <c r="K79" s="1476"/>
      <c r="L79" s="1476"/>
      <c r="M79" s="1476"/>
      <c r="N79" s="1476"/>
      <c r="O79" s="1476"/>
      <c r="P79" s="1476"/>
      <c r="Q79" s="1476"/>
      <c r="R79" s="1477"/>
      <c r="S79" s="230"/>
    </row>
    <row r="80" spans="1:60" ht="30" customHeight="1" collapsed="1">
      <c r="B80" s="1429"/>
      <c r="C80" s="1472"/>
      <c r="D80" s="419"/>
      <c r="E80" s="420"/>
      <c r="F80" s="423"/>
      <c r="G80" s="349"/>
      <c r="H80" s="424"/>
      <c r="I80" s="1055"/>
      <c r="J80" s="1476"/>
      <c r="K80" s="1476"/>
      <c r="L80" s="1476"/>
      <c r="M80" s="1476"/>
      <c r="N80" s="1476"/>
      <c r="O80" s="1476"/>
      <c r="P80" s="1476"/>
      <c r="Q80" s="1476"/>
      <c r="R80" s="1477"/>
      <c r="S80" s="230"/>
      <c r="AC80" s="1466"/>
      <c r="AD80" s="1466"/>
      <c r="AE80" s="406"/>
      <c r="AF80" s="429"/>
      <c r="AG80" s="407"/>
    </row>
    <row r="81" spans="1:60" ht="30" hidden="1" customHeight="1" outlineLevel="1">
      <c r="B81" s="1429"/>
      <c r="C81" s="1472"/>
      <c r="D81" s="419"/>
      <c r="E81" s="420"/>
      <c r="F81" s="425"/>
      <c r="G81" s="349"/>
      <c r="H81" s="426"/>
      <c r="I81" s="1056"/>
      <c r="J81" s="1476"/>
      <c r="K81" s="1476"/>
      <c r="L81" s="1476"/>
      <c r="M81" s="1476"/>
      <c r="N81" s="1476"/>
      <c r="O81" s="1476"/>
      <c r="P81" s="1476"/>
      <c r="Q81" s="1476"/>
      <c r="R81" s="1477"/>
      <c r="S81" s="230"/>
      <c r="AC81" s="1466"/>
      <c r="AD81" s="1466"/>
      <c r="AE81" s="406"/>
      <c r="AF81" s="429"/>
      <c r="AG81" s="407"/>
    </row>
    <row r="82" spans="1:60" ht="30" hidden="1" customHeight="1" outlineLevel="1">
      <c r="B82" s="1429"/>
      <c r="C82" s="1472"/>
      <c r="D82" s="419"/>
      <c r="E82" s="420"/>
      <c r="F82" s="423"/>
      <c r="G82" s="349"/>
      <c r="H82" s="424"/>
      <c r="I82" s="1056"/>
      <c r="J82" s="1476"/>
      <c r="K82" s="1476"/>
      <c r="L82" s="1476"/>
      <c r="M82" s="1476"/>
      <c r="N82" s="1476"/>
      <c r="O82" s="1476"/>
      <c r="P82" s="1476"/>
      <c r="Q82" s="1476"/>
      <c r="R82" s="1477"/>
      <c r="S82" s="230"/>
      <c r="AC82" s="1466"/>
      <c r="AD82" s="1466"/>
      <c r="AE82" s="406"/>
      <c r="AF82" s="429"/>
      <c r="AG82" s="407"/>
    </row>
    <row r="83" spans="1:60" ht="30" hidden="1" customHeight="1" outlineLevel="1">
      <c r="B83" s="1429"/>
      <c r="C83" s="1472"/>
      <c r="D83" s="419"/>
      <c r="E83" s="420"/>
      <c r="F83" s="425"/>
      <c r="G83" s="349"/>
      <c r="H83" s="426"/>
      <c r="I83" s="1055"/>
      <c r="J83" s="1476"/>
      <c r="K83" s="1476"/>
      <c r="L83" s="1476"/>
      <c r="M83" s="1476"/>
      <c r="N83" s="1476"/>
      <c r="O83" s="1476"/>
      <c r="P83" s="1476"/>
      <c r="Q83" s="1476"/>
      <c r="R83" s="1477"/>
      <c r="S83" s="230"/>
      <c r="AC83" s="1466"/>
      <c r="AD83" s="1466"/>
      <c r="AE83" s="406"/>
      <c r="AF83" s="429"/>
      <c r="AG83" s="407"/>
    </row>
    <row r="84" spans="1:60" ht="30" hidden="1" customHeight="1" outlineLevel="1">
      <c r="B84" s="1429"/>
      <c r="C84" s="1472"/>
      <c r="D84" s="419"/>
      <c r="E84" s="420"/>
      <c r="F84" s="423"/>
      <c r="G84" s="349"/>
      <c r="H84" s="424"/>
      <c r="I84" s="1056"/>
      <c r="J84" s="1476"/>
      <c r="K84" s="1476"/>
      <c r="L84" s="1476"/>
      <c r="M84" s="1476"/>
      <c r="N84" s="1476"/>
      <c r="O84" s="1476"/>
      <c r="P84" s="1476"/>
      <c r="Q84" s="1476"/>
      <c r="R84" s="1477"/>
      <c r="S84" s="230"/>
      <c r="AC84" s="1466"/>
      <c r="AD84" s="1466"/>
      <c r="AE84" s="406"/>
      <c r="AF84" s="429"/>
      <c r="AG84" s="407"/>
    </row>
    <row r="85" spans="1:60" ht="30" hidden="1" customHeight="1" outlineLevel="1">
      <c r="B85" s="1429"/>
      <c r="C85" s="1472"/>
      <c r="D85" s="419"/>
      <c r="E85" s="420"/>
      <c r="F85" s="425"/>
      <c r="G85" s="349"/>
      <c r="H85" s="426"/>
      <c r="I85" s="1055"/>
      <c r="J85" s="1476"/>
      <c r="K85" s="1476"/>
      <c r="L85" s="1476"/>
      <c r="M85" s="1476"/>
      <c r="N85" s="1476"/>
      <c r="O85" s="1476"/>
      <c r="P85" s="1476"/>
      <c r="Q85" s="1476"/>
      <c r="R85" s="1477"/>
      <c r="S85" s="230"/>
      <c r="AC85" s="1466"/>
      <c r="AD85" s="1466"/>
      <c r="AE85" s="406"/>
      <c r="AF85" s="429"/>
      <c r="AG85" s="407"/>
    </row>
    <row r="86" spans="1:60" ht="30" hidden="1" customHeight="1" outlineLevel="1">
      <c r="B86" s="1429"/>
      <c r="C86" s="1472"/>
      <c r="D86" s="419"/>
      <c r="E86" s="420"/>
      <c r="F86" s="423"/>
      <c r="G86" s="349"/>
      <c r="H86" s="424"/>
      <c r="I86" s="1056"/>
      <c r="J86" s="1476"/>
      <c r="K86" s="1476"/>
      <c r="L86" s="1476"/>
      <c r="M86" s="1476"/>
      <c r="N86" s="1476"/>
      <c r="O86" s="1476"/>
      <c r="P86" s="1476"/>
      <c r="Q86" s="1476"/>
      <c r="R86" s="1477"/>
      <c r="S86" s="230"/>
      <c r="AC86" s="1466"/>
      <c r="AD86" s="1466"/>
      <c r="AE86" s="406"/>
      <c r="AF86" s="429"/>
      <c r="AG86" s="407"/>
    </row>
    <row r="87" spans="1:60" ht="30" hidden="1" customHeight="1" outlineLevel="1">
      <c r="B87" s="1429"/>
      <c r="C87" s="1472"/>
      <c r="D87" s="419"/>
      <c r="E87" s="420"/>
      <c r="F87" s="425"/>
      <c r="G87" s="349"/>
      <c r="H87" s="426"/>
      <c r="I87" s="1055"/>
      <c r="J87" s="1476"/>
      <c r="K87" s="1476"/>
      <c r="L87" s="1476"/>
      <c r="M87" s="1476"/>
      <c r="N87" s="1476"/>
      <c r="O87" s="1476"/>
      <c r="P87" s="1476"/>
      <c r="Q87" s="1476"/>
      <c r="R87" s="1477"/>
      <c r="S87" s="230"/>
      <c r="AC87" s="1466"/>
      <c r="AD87" s="1466"/>
      <c r="AE87" s="406"/>
      <c r="AF87" s="429"/>
      <c r="AG87" s="407"/>
    </row>
    <row r="88" spans="1:60" ht="30" hidden="1" customHeight="1" outlineLevel="1">
      <c r="B88" s="1429"/>
      <c r="C88" s="1472"/>
      <c r="D88" s="419"/>
      <c r="E88" s="420"/>
      <c r="F88" s="423"/>
      <c r="G88" s="349"/>
      <c r="H88" s="424"/>
      <c r="I88" s="1056"/>
      <c r="J88" s="1476"/>
      <c r="K88" s="1476"/>
      <c r="L88" s="1476"/>
      <c r="M88" s="1476"/>
      <c r="N88" s="1476"/>
      <c r="O88" s="1476"/>
      <c r="P88" s="1476"/>
      <c r="Q88" s="1476"/>
      <c r="R88" s="1477"/>
      <c r="S88" s="230"/>
    </row>
    <row r="89" spans="1:60" ht="30" hidden="1" customHeight="1" outlineLevel="1">
      <c r="B89" s="1429"/>
      <c r="C89" s="1472"/>
      <c r="D89" s="419"/>
      <c r="E89" s="420"/>
      <c r="F89" s="425"/>
      <c r="G89" s="349"/>
      <c r="H89" s="426"/>
      <c r="I89" s="1055"/>
      <c r="J89" s="1476"/>
      <c r="K89" s="1476"/>
      <c r="L89" s="1476"/>
      <c r="M89" s="1476"/>
      <c r="N89" s="1476"/>
      <c r="O89" s="1476"/>
      <c r="P89" s="1476"/>
      <c r="Q89" s="1476"/>
      <c r="R89" s="1477"/>
      <c r="S89" s="230"/>
      <c r="AC89" s="1466"/>
      <c r="AD89" s="1466"/>
      <c r="AE89" s="406"/>
      <c r="AF89" s="429"/>
      <c r="AG89" s="407"/>
    </row>
    <row r="90" spans="1:60" ht="30" hidden="1" customHeight="1" outlineLevel="1">
      <c r="B90" s="1429"/>
      <c r="C90" s="1472"/>
      <c r="D90" s="419"/>
      <c r="E90" s="420"/>
      <c r="F90" s="425"/>
      <c r="G90" s="349"/>
      <c r="H90" s="426"/>
      <c r="I90" s="1056"/>
      <c r="J90" s="1476"/>
      <c r="K90" s="1476"/>
      <c r="L90" s="1476"/>
      <c r="M90" s="1476"/>
      <c r="N90" s="1476"/>
      <c r="O90" s="1476"/>
      <c r="P90" s="1476"/>
      <c r="Q90" s="1476"/>
      <c r="R90" s="1477"/>
      <c r="S90" s="230"/>
      <c r="AC90" s="410"/>
      <c r="BA90" s="184"/>
      <c r="BB90" s="184"/>
      <c r="BC90" s="184"/>
      <c r="BD90" s="184"/>
      <c r="BE90" s="184"/>
      <c r="BF90" s="184"/>
      <c r="BG90" s="184"/>
      <c r="BH90" s="184"/>
    </row>
    <row r="91" spans="1:60" ht="30" hidden="1" customHeight="1" outlineLevel="1">
      <c r="B91" s="1429"/>
      <c r="C91" s="1472"/>
      <c r="D91" s="419"/>
      <c r="E91" s="420"/>
      <c r="F91" s="423"/>
      <c r="G91" s="349"/>
      <c r="H91" s="424"/>
      <c r="I91" s="1055"/>
      <c r="J91" s="1476"/>
      <c r="K91" s="1476"/>
      <c r="L91" s="1476"/>
      <c r="M91" s="1476"/>
      <c r="N91" s="1476"/>
      <c r="O91" s="1476"/>
      <c r="P91" s="1476"/>
      <c r="Q91" s="1476"/>
      <c r="R91" s="1477"/>
      <c r="S91" s="230"/>
      <c r="AC91" s="410"/>
      <c r="BA91" s="184"/>
      <c r="BB91" s="184"/>
      <c r="BC91" s="184"/>
      <c r="BD91" s="184"/>
      <c r="BE91" s="184"/>
      <c r="BF91" s="184"/>
      <c r="BG91" s="184"/>
      <c r="BH91" s="184"/>
    </row>
    <row r="92" spans="1:60" ht="30" customHeight="1">
      <c r="B92" s="1429"/>
      <c r="C92" s="1472"/>
      <c r="D92" s="1467" t="s">
        <v>324</v>
      </c>
      <c r="E92" s="1468"/>
      <c r="F92" s="1469"/>
      <c r="G92" s="1470"/>
      <c r="H92" s="1470"/>
      <c r="I92" s="1471"/>
      <c r="J92" s="260"/>
      <c r="K92" s="260"/>
      <c r="L92" s="260"/>
      <c r="M92" s="260"/>
      <c r="N92" s="260"/>
      <c r="O92" s="260"/>
      <c r="P92" s="260"/>
      <c r="Q92" s="260"/>
      <c r="R92" s="418"/>
      <c r="S92" s="230"/>
      <c r="AC92" s="410"/>
      <c r="BA92" s="184"/>
      <c r="BB92" s="184"/>
      <c r="BC92" s="184"/>
      <c r="BD92" s="184"/>
      <c r="BE92" s="184"/>
      <c r="BF92" s="184"/>
      <c r="BG92" s="184"/>
      <c r="BH92" s="184"/>
    </row>
    <row r="93" spans="1:60" ht="30" customHeight="1">
      <c r="B93" s="1429"/>
      <c r="C93" s="1472"/>
      <c r="D93" s="431"/>
      <c r="E93" s="420"/>
      <c r="F93" s="421"/>
      <c r="G93" s="349"/>
      <c r="H93" s="422"/>
      <c r="I93" s="1054"/>
      <c r="J93" s="260"/>
      <c r="K93" s="260"/>
      <c r="L93" s="260"/>
      <c r="M93" s="260"/>
      <c r="N93" s="260"/>
      <c r="O93" s="260"/>
      <c r="P93" s="260"/>
      <c r="Q93" s="260"/>
      <c r="R93" s="418"/>
      <c r="S93" s="230"/>
      <c r="AC93" s="410"/>
      <c r="BA93" s="184"/>
      <c r="BB93" s="184"/>
      <c r="BC93" s="184"/>
      <c r="BD93" s="184"/>
      <c r="BE93" s="184"/>
      <c r="BF93" s="184"/>
      <c r="BG93" s="184"/>
      <c r="BH93" s="184"/>
    </row>
    <row r="94" spans="1:60" ht="30" customHeight="1">
      <c r="A94" s="430"/>
      <c r="B94" s="1429"/>
      <c r="C94" s="1472"/>
      <c r="D94" s="431"/>
      <c r="E94" s="420"/>
      <c r="F94" s="423"/>
      <c r="G94" s="349"/>
      <c r="H94" s="424"/>
      <c r="I94" s="1055"/>
      <c r="J94" s="260"/>
      <c r="K94" s="260"/>
      <c r="L94" s="260"/>
      <c r="M94" s="260"/>
      <c r="N94" s="260"/>
      <c r="O94" s="260"/>
      <c r="P94" s="260"/>
      <c r="Q94" s="260"/>
      <c r="R94" s="418"/>
      <c r="S94" s="230"/>
    </row>
    <row r="95" spans="1:60" ht="30" customHeight="1">
      <c r="B95" s="1429"/>
      <c r="C95" s="1472"/>
      <c r="D95" s="419"/>
      <c r="E95" s="420"/>
      <c r="F95" s="423"/>
      <c r="G95" s="349"/>
      <c r="H95" s="424"/>
      <c r="I95" s="1056"/>
      <c r="J95" s="260"/>
      <c r="K95" s="260"/>
      <c r="L95" s="260"/>
      <c r="M95" s="260"/>
      <c r="N95" s="260"/>
      <c r="O95" s="260"/>
      <c r="P95" s="260"/>
      <c r="Q95" s="260"/>
      <c r="R95" s="418"/>
      <c r="S95" s="230"/>
      <c r="AC95" s="1466"/>
      <c r="AD95" s="1466"/>
      <c r="AE95" s="406"/>
      <c r="AF95" s="429"/>
      <c r="AG95" s="407"/>
    </row>
    <row r="96" spans="1:60" ht="30" customHeight="1" collapsed="1">
      <c r="B96" s="1429"/>
      <c r="C96" s="1472"/>
      <c r="D96" s="419"/>
      <c r="E96" s="420"/>
      <c r="F96" s="425"/>
      <c r="G96" s="349"/>
      <c r="H96" s="426"/>
      <c r="I96" s="1055"/>
      <c r="J96" s="260"/>
      <c r="K96" s="260"/>
      <c r="L96" s="260"/>
      <c r="M96" s="260"/>
      <c r="N96" s="260"/>
      <c r="O96" s="260"/>
      <c r="P96" s="260"/>
      <c r="Q96" s="260"/>
      <c r="R96" s="418"/>
      <c r="S96" s="230"/>
      <c r="AC96" s="1466"/>
      <c r="AD96" s="1466"/>
      <c r="AE96" s="406"/>
      <c r="AF96" s="429"/>
      <c r="AG96" s="407"/>
    </row>
    <row r="97" spans="2:60" ht="30" hidden="1" customHeight="1" outlineLevel="1">
      <c r="B97" s="1429"/>
      <c r="C97" s="1472"/>
      <c r="D97" s="419"/>
      <c r="E97" s="420"/>
      <c r="F97" s="423"/>
      <c r="G97" s="349"/>
      <c r="H97" s="424"/>
      <c r="I97" s="1056"/>
      <c r="J97" s="260"/>
      <c r="K97" s="260"/>
      <c r="L97" s="260"/>
      <c r="M97" s="260"/>
      <c r="N97" s="260"/>
      <c r="O97" s="260"/>
      <c r="P97" s="260"/>
      <c r="Q97" s="260"/>
      <c r="R97" s="418"/>
      <c r="S97" s="230"/>
      <c r="AC97" s="1466"/>
      <c r="AD97" s="1466"/>
      <c r="AE97" s="406"/>
      <c r="AF97" s="429"/>
      <c r="AG97" s="407"/>
    </row>
    <row r="98" spans="2:60" ht="30" hidden="1" customHeight="1" outlineLevel="1">
      <c r="B98" s="1429"/>
      <c r="C98" s="1472"/>
      <c r="D98" s="419"/>
      <c r="E98" s="420"/>
      <c r="F98" s="425"/>
      <c r="G98" s="349"/>
      <c r="H98" s="426"/>
      <c r="I98" s="1056"/>
      <c r="J98" s="260"/>
      <c r="K98" s="260"/>
      <c r="L98" s="260"/>
      <c r="M98" s="260"/>
      <c r="N98" s="260"/>
      <c r="O98" s="260"/>
      <c r="P98" s="260"/>
      <c r="Q98" s="260"/>
      <c r="R98" s="418"/>
      <c r="S98" s="230"/>
      <c r="AC98" s="1466"/>
      <c r="AD98" s="1466"/>
      <c r="AE98" s="406"/>
      <c r="AF98" s="429"/>
      <c r="AG98" s="407"/>
    </row>
    <row r="99" spans="2:60" ht="30" hidden="1" customHeight="1" outlineLevel="1">
      <c r="B99" s="1429"/>
      <c r="C99" s="1472"/>
      <c r="D99" s="419"/>
      <c r="E99" s="420"/>
      <c r="F99" s="423"/>
      <c r="G99" s="349"/>
      <c r="H99" s="424"/>
      <c r="I99" s="1055"/>
      <c r="J99" s="260"/>
      <c r="K99" s="260"/>
      <c r="L99" s="260"/>
      <c r="M99" s="260"/>
      <c r="N99" s="260"/>
      <c r="O99" s="260"/>
      <c r="P99" s="260"/>
      <c r="Q99" s="260"/>
      <c r="R99" s="418"/>
      <c r="S99" s="230"/>
      <c r="AC99" s="1466"/>
      <c r="AD99" s="1466"/>
      <c r="AE99" s="406"/>
      <c r="AF99" s="429"/>
      <c r="AG99" s="407"/>
    </row>
    <row r="100" spans="2:60" ht="30" hidden="1" customHeight="1" outlineLevel="1">
      <c r="B100" s="1429"/>
      <c r="C100" s="1472"/>
      <c r="D100" s="419"/>
      <c r="E100" s="420"/>
      <c r="F100" s="425"/>
      <c r="G100" s="349"/>
      <c r="H100" s="426"/>
      <c r="I100" s="1056"/>
      <c r="J100" s="260"/>
      <c r="K100" s="260"/>
      <c r="L100" s="260"/>
      <c r="M100" s="260"/>
      <c r="N100" s="260"/>
      <c r="O100" s="260"/>
      <c r="P100" s="260"/>
      <c r="Q100" s="260"/>
      <c r="R100" s="418"/>
      <c r="S100" s="230"/>
      <c r="AC100" s="1466"/>
      <c r="AD100" s="1466"/>
      <c r="AE100" s="406"/>
      <c r="AF100" s="429"/>
      <c r="AG100" s="407"/>
    </row>
    <row r="101" spans="2:60" ht="30" hidden="1" customHeight="1" outlineLevel="1">
      <c r="B101" s="1429"/>
      <c r="C101" s="1472"/>
      <c r="D101" s="419"/>
      <c r="E101" s="420"/>
      <c r="F101" s="423"/>
      <c r="G101" s="349"/>
      <c r="H101" s="424"/>
      <c r="I101" s="1055"/>
      <c r="J101" s="260"/>
      <c r="K101" s="260"/>
      <c r="L101" s="260"/>
      <c r="M101" s="260"/>
      <c r="N101" s="260"/>
      <c r="O101" s="260"/>
      <c r="P101" s="260"/>
      <c r="Q101" s="260"/>
      <c r="R101" s="418"/>
      <c r="S101" s="230"/>
      <c r="AC101" s="1466"/>
      <c r="AD101" s="1466"/>
      <c r="AE101" s="406"/>
      <c r="AF101" s="429"/>
      <c r="AG101" s="407"/>
    </row>
    <row r="102" spans="2:60" ht="30" hidden="1" customHeight="1" outlineLevel="1">
      <c r="B102" s="1429"/>
      <c r="C102" s="1472"/>
      <c r="D102" s="419"/>
      <c r="E102" s="420"/>
      <c r="F102" s="425"/>
      <c r="G102" s="349"/>
      <c r="H102" s="426"/>
      <c r="I102" s="1056"/>
      <c r="J102" s="260"/>
      <c r="K102" s="260"/>
      <c r="L102" s="260"/>
      <c r="M102" s="260"/>
      <c r="N102" s="260"/>
      <c r="O102" s="260"/>
      <c r="P102" s="260"/>
      <c r="Q102" s="260"/>
      <c r="R102" s="418"/>
      <c r="S102" s="230"/>
      <c r="AC102" s="1466"/>
      <c r="AD102" s="1466"/>
      <c r="AE102" s="406"/>
      <c r="AF102" s="429"/>
      <c r="AG102" s="407"/>
    </row>
    <row r="103" spans="2:60" ht="30" hidden="1" customHeight="1" outlineLevel="1">
      <c r="B103" s="1429"/>
      <c r="C103" s="1472"/>
      <c r="D103" s="419"/>
      <c r="E103" s="420"/>
      <c r="F103" s="423"/>
      <c r="G103" s="349"/>
      <c r="H103" s="424"/>
      <c r="I103" s="1055"/>
      <c r="J103" s="260"/>
      <c r="K103" s="260"/>
      <c r="L103" s="260"/>
      <c r="M103" s="260"/>
      <c r="N103" s="260"/>
      <c r="O103" s="260"/>
      <c r="P103" s="260"/>
      <c r="Q103" s="260"/>
      <c r="R103" s="418"/>
      <c r="S103" s="230"/>
    </row>
    <row r="104" spans="2:60" ht="30" hidden="1" customHeight="1" outlineLevel="1">
      <c r="B104" s="1429"/>
      <c r="C104" s="1472"/>
      <c r="D104" s="419"/>
      <c r="E104" s="420"/>
      <c r="F104" s="425"/>
      <c r="G104" s="349"/>
      <c r="H104" s="426"/>
      <c r="I104" s="1056"/>
      <c r="J104" s="260"/>
      <c r="K104" s="260"/>
      <c r="L104" s="260"/>
      <c r="M104" s="260"/>
      <c r="N104" s="260"/>
      <c r="O104" s="260"/>
      <c r="P104" s="260"/>
      <c r="Q104" s="260"/>
      <c r="R104" s="418"/>
      <c r="S104" s="230"/>
      <c r="AC104" s="1466"/>
      <c r="AD104" s="1466"/>
      <c r="AE104" s="406"/>
      <c r="AF104" s="429"/>
      <c r="AG104" s="407"/>
    </row>
    <row r="105" spans="2:60" ht="30" hidden="1" customHeight="1" outlineLevel="1">
      <c r="B105" s="1429"/>
      <c r="C105" s="1472"/>
      <c r="D105" s="431"/>
      <c r="E105" s="420"/>
      <c r="F105" s="423"/>
      <c r="G105" s="349"/>
      <c r="H105" s="424"/>
      <c r="I105" s="1055"/>
      <c r="J105" s="260"/>
      <c r="K105" s="260"/>
      <c r="L105" s="260"/>
      <c r="M105" s="260"/>
      <c r="N105" s="260"/>
      <c r="O105" s="260"/>
      <c r="P105" s="260"/>
      <c r="Q105" s="260"/>
      <c r="R105" s="418"/>
      <c r="S105" s="230"/>
      <c r="AC105" s="410"/>
      <c r="BA105" s="184"/>
      <c r="BB105" s="184"/>
      <c r="BC105" s="184"/>
      <c r="BD105" s="184"/>
      <c r="BE105" s="184"/>
      <c r="BF105" s="184"/>
      <c r="BG105" s="184"/>
      <c r="BH105" s="184"/>
    </row>
    <row r="106" spans="2:60" ht="30" hidden="1" customHeight="1" outlineLevel="1">
      <c r="B106" s="1429"/>
      <c r="C106" s="1472"/>
      <c r="D106" s="419"/>
      <c r="E106" s="420"/>
      <c r="F106" s="425"/>
      <c r="G106" s="349"/>
      <c r="H106" s="426"/>
      <c r="I106" s="1056"/>
      <c r="J106" s="260"/>
      <c r="K106" s="260"/>
      <c r="L106" s="260"/>
      <c r="M106" s="260"/>
      <c r="N106" s="260"/>
      <c r="O106" s="260"/>
      <c r="P106" s="260"/>
      <c r="Q106" s="260"/>
      <c r="R106" s="418"/>
      <c r="S106" s="230"/>
      <c r="AC106" s="410"/>
      <c r="BA106" s="184"/>
      <c r="BB106" s="184"/>
      <c r="BC106" s="184"/>
      <c r="BD106" s="184"/>
      <c r="BE106" s="184"/>
      <c r="BF106" s="184"/>
      <c r="BG106" s="184"/>
      <c r="BH106" s="184"/>
    </row>
    <row r="107" spans="2:60" ht="30" hidden="1" customHeight="1" outlineLevel="1">
      <c r="B107" s="1429"/>
      <c r="C107" s="1472"/>
      <c r="D107" s="419"/>
      <c r="E107" s="420"/>
      <c r="F107" s="423"/>
      <c r="G107" s="349"/>
      <c r="H107" s="424"/>
      <c r="I107" s="1055"/>
      <c r="J107" s="435"/>
      <c r="K107" s="436"/>
      <c r="L107" s="436"/>
      <c r="M107" s="436"/>
      <c r="N107" s="436"/>
      <c r="O107" s="436"/>
      <c r="P107" s="436"/>
      <c r="Q107" s="436"/>
      <c r="R107" s="437"/>
      <c r="S107" s="230"/>
      <c r="AC107" s="410"/>
      <c r="BA107" s="184"/>
      <c r="BB107" s="184"/>
      <c r="BC107" s="184"/>
      <c r="BD107" s="184"/>
      <c r="BE107" s="184"/>
      <c r="BF107" s="184"/>
      <c r="BG107" s="184"/>
      <c r="BH107" s="184"/>
    </row>
    <row r="108" spans="2:60" ht="30" customHeight="1">
      <c r="B108" s="1429"/>
      <c r="C108" s="1472"/>
      <c r="D108" s="1478" t="s">
        <v>317</v>
      </c>
      <c r="E108" s="1479"/>
      <c r="F108" s="423"/>
      <c r="G108" s="349"/>
      <c r="H108" s="424"/>
      <c r="I108" s="1055"/>
      <c r="J108" s="1480"/>
      <c r="K108" s="1482" t="s">
        <v>325</v>
      </c>
      <c r="L108" s="1483"/>
      <c r="M108" s="1483"/>
      <c r="N108" s="1483"/>
      <c r="O108" s="1483"/>
      <c r="P108" s="1483"/>
      <c r="Q108" s="1483"/>
      <c r="R108" s="1484"/>
      <c r="S108" s="230"/>
      <c r="AC108" s="410"/>
      <c r="BA108" s="184"/>
      <c r="BB108" s="184"/>
      <c r="BC108" s="184"/>
      <c r="BD108" s="184"/>
      <c r="BE108" s="184"/>
      <c r="BF108" s="184"/>
      <c r="BG108" s="184"/>
      <c r="BH108" s="184"/>
    </row>
    <row r="109" spans="2:60" ht="30" customHeight="1">
      <c r="B109" s="1429"/>
      <c r="C109" s="1472"/>
      <c r="D109" s="1478" t="s">
        <v>326</v>
      </c>
      <c r="E109" s="1479"/>
      <c r="F109" s="423"/>
      <c r="G109" s="349"/>
      <c r="H109" s="424"/>
      <c r="I109" s="1055"/>
      <c r="J109" s="1481"/>
      <c r="K109" s="1485"/>
      <c r="L109" s="1485"/>
      <c r="M109" s="1485"/>
      <c r="N109" s="1485"/>
      <c r="O109" s="1485"/>
      <c r="P109" s="1485"/>
      <c r="Q109" s="1485"/>
      <c r="R109" s="1486"/>
      <c r="S109" s="230"/>
      <c r="AC109" s="410"/>
      <c r="BA109" s="184"/>
      <c r="BB109" s="184"/>
      <c r="BC109" s="184"/>
      <c r="BD109" s="184"/>
      <c r="BE109" s="184"/>
      <c r="BF109" s="184"/>
      <c r="BG109" s="184"/>
      <c r="BH109" s="184"/>
    </row>
    <row r="110" spans="2:60" ht="30" customHeight="1" thickBot="1">
      <c r="B110" s="1443"/>
      <c r="C110" s="1473"/>
      <c r="D110" s="1489" t="s">
        <v>227</v>
      </c>
      <c r="E110" s="1490"/>
      <c r="F110" s="438"/>
      <c r="G110" s="439" t="s">
        <v>273</v>
      </c>
      <c r="H110" s="440"/>
      <c r="I110" s="1057"/>
      <c r="J110" s="441"/>
      <c r="K110" s="1487"/>
      <c r="L110" s="1487"/>
      <c r="M110" s="1487"/>
      <c r="N110" s="1487"/>
      <c r="O110" s="1487"/>
      <c r="P110" s="1487"/>
      <c r="Q110" s="1487"/>
      <c r="R110" s="1488"/>
      <c r="S110" s="230"/>
      <c r="AC110" s="410"/>
      <c r="BA110" s="184"/>
      <c r="BB110" s="184"/>
      <c r="BC110" s="184"/>
      <c r="BD110" s="184"/>
      <c r="BE110" s="184"/>
      <c r="BF110" s="184"/>
      <c r="BG110" s="184"/>
      <c r="BH110" s="184"/>
    </row>
    <row r="111" spans="2:60" ht="18" customHeight="1">
      <c r="R111" s="260"/>
      <c r="S111" s="409"/>
      <c r="AC111" s="410"/>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260"/>
      <c r="S112" s="409"/>
      <c r="AC112" s="410"/>
    </row>
    <row r="113" spans="1:34" ht="18" customHeight="1">
      <c r="B113" s="58" t="s">
        <v>327</v>
      </c>
      <c r="C113" s="58"/>
      <c r="D113" s="58"/>
      <c r="E113" s="58"/>
      <c r="F113" s="58"/>
      <c r="G113" s="58"/>
      <c r="H113" s="58"/>
      <c r="I113" s="30"/>
      <c r="J113" s="30"/>
      <c r="K113" s="30"/>
      <c r="L113" s="30"/>
      <c r="M113" s="30"/>
      <c r="N113" s="20"/>
      <c r="O113" s="30"/>
      <c r="P113" s="30"/>
      <c r="Q113" s="30"/>
      <c r="R113" s="260"/>
      <c r="S113" s="409"/>
      <c r="AC113" s="410"/>
    </row>
    <row r="114" spans="1:34" ht="18" customHeight="1">
      <c r="B114" s="58" t="s">
        <v>328</v>
      </c>
      <c r="C114" s="58"/>
      <c r="D114" s="58"/>
      <c r="E114" s="58"/>
      <c r="F114" s="58"/>
      <c r="G114" s="58"/>
      <c r="H114" s="58"/>
      <c r="I114" s="30"/>
      <c r="J114" s="30"/>
      <c r="K114" s="30"/>
      <c r="L114" s="30"/>
      <c r="M114" s="30"/>
      <c r="N114" s="20"/>
      <c r="O114" s="30"/>
      <c r="P114" s="30"/>
      <c r="Q114" s="30"/>
      <c r="S114" s="409"/>
      <c r="AC114" s="410"/>
    </row>
    <row r="115" spans="1:34" ht="18" customHeight="1" thickBot="1">
      <c r="A115" s="58"/>
      <c r="B115" s="58"/>
      <c r="C115" s="58"/>
      <c r="D115" s="58"/>
      <c r="E115" s="58"/>
      <c r="F115" s="58"/>
      <c r="G115" s="58"/>
      <c r="H115" s="58"/>
      <c r="I115" s="30"/>
      <c r="J115" s="30"/>
      <c r="K115" s="30"/>
      <c r="L115" s="30"/>
      <c r="M115" s="30"/>
      <c r="N115" s="20"/>
      <c r="O115" s="30"/>
      <c r="P115" s="30"/>
      <c r="Q115" s="30"/>
      <c r="S115" s="409"/>
      <c r="AC115" s="151"/>
    </row>
    <row r="116" spans="1:34" ht="18" customHeight="1">
      <c r="B116" s="1452" t="s">
        <v>298</v>
      </c>
      <c r="C116" s="1453"/>
      <c r="D116" s="1453"/>
      <c r="E116" s="1454"/>
      <c r="F116" s="1212" t="s">
        <v>299</v>
      </c>
      <c r="G116" s="342"/>
      <c r="H116" s="1500" t="s">
        <v>301</v>
      </c>
      <c r="I116" s="129"/>
      <c r="N116" s="34"/>
      <c r="Q116" s="30"/>
      <c r="AC116" s="147" t="s">
        <v>329</v>
      </c>
      <c r="AD116" s="338"/>
      <c r="AE116" s="338"/>
      <c r="AF116" s="338"/>
      <c r="AG116" s="145"/>
    </row>
    <row r="117" spans="1:34" ht="18" customHeight="1">
      <c r="B117" s="1242"/>
      <c r="C117" s="1243"/>
      <c r="D117" s="1243"/>
      <c r="E117" s="1244"/>
      <c r="F117" s="1215"/>
      <c r="G117" s="1414" t="s">
        <v>132</v>
      </c>
      <c r="H117" s="1501"/>
      <c r="I117" s="129"/>
      <c r="N117" s="34"/>
      <c r="Q117" s="30"/>
      <c r="AC117" s="1342" t="s">
        <v>303</v>
      </c>
      <c r="AD117" s="1342"/>
      <c r="AE117" s="1399" t="s">
        <v>304</v>
      </c>
      <c r="AF117" s="1401" t="s">
        <v>330</v>
      </c>
      <c r="AG117" s="1399" t="s">
        <v>217</v>
      </c>
    </row>
    <row r="118" spans="1:34" ht="14.25" customHeight="1" thickBot="1">
      <c r="B118" s="1455"/>
      <c r="C118" s="1456"/>
      <c r="D118" s="1456"/>
      <c r="E118" s="1457"/>
      <c r="F118" s="1215"/>
      <c r="G118" s="1415"/>
      <c r="H118" s="1502"/>
      <c r="I118" s="129"/>
      <c r="N118" s="34"/>
      <c r="AC118" s="1342"/>
      <c r="AD118" s="1342"/>
      <c r="AE118" s="1400"/>
      <c r="AF118" s="1402"/>
      <c r="AG118" s="1400"/>
    </row>
    <row r="119" spans="1:34" ht="30" customHeight="1" thickTop="1">
      <c r="B119" s="1491" t="s">
        <v>279</v>
      </c>
      <c r="C119" s="1492"/>
      <c r="D119" s="1493" t="s">
        <v>331</v>
      </c>
      <c r="E119" s="1494"/>
      <c r="F119" s="443"/>
      <c r="G119" s="444" t="s">
        <v>172</v>
      </c>
      <c r="H119" s="1058"/>
      <c r="I119" s="184"/>
      <c r="J119" s="184"/>
      <c r="N119" s="34"/>
      <c r="AC119" s="1495" t="s">
        <v>279</v>
      </c>
      <c r="AD119" s="445" t="s">
        <v>331</v>
      </c>
      <c r="AE119" s="446">
        <f>ROUND(F119*H119%,)</f>
        <v>0</v>
      </c>
      <c r="AF119" s="447"/>
      <c r="AG119" s="351">
        <f>ROUND(AE119*$AF119,)</f>
        <v>0</v>
      </c>
    </row>
    <row r="120" spans="1:34" ht="30" customHeight="1">
      <c r="B120" s="1429"/>
      <c r="C120" s="1472"/>
      <c r="D120" s="1496" t="s">
        <v>332</v>
      </c>
      <c r="E120" s="1497"/>
      <c r="F120" s="448"/>
      <c r="G120" s="449" t="s">
        <v>333</v>
      </c>
      <c r="H120" s="1059"/>
      <c r="I120" s="184"/>
      <c r="J120" s="184"/>
      <c r="N120" s="34"/>
      <c r="AC120" s="1495"/>
      <c r="AD120" s="445" t="s">
        <v>332</v>
      </c>
      <c r="AE120" s="446">
        <f t="shared" ref="AE120:AE122" si="1">ROUND(F120*H120%,)</f>
        <v>0</v>
      </c>
      <c r="AF120" s="373"/>
      <c r="AG120" s="351">
        <f t="shared" ref="AG120:AG122" si="2">ROUND(AE120*$AF120,)</f>
        <v>0</v>
      </c>
    </row>
    <row r="121" spans="1:34" ht="30" customHeight="1">
      <c r="B121" s="1429"/>
      <c r="C121" s="1472"/>
      <c r="D121" s="1496" t="s">
        <v>334</v>
      </c>
      <c r="E121" s="1497"/>
      <c r="F121" s="448"/>
      <c r="G121" s="449" t="s">
        <v>335</v>
      </c>
      <c r="H121" s="1059"/>
      <c r="I121" s="184"/>
      <c r="J121" s="184"/>
      <c r="N121" s="34"/>
      <c r="AC121" s="1495"/>
      <c r="AD121" s="445" t="s">
        <v>334</v>
      </c>
      <c r="AE121" s="446">
        <f t="shared" si="1"/>
        <v>0</v>
      </c>
      <c r="AF121" s="373"/>
      <c r="AG121" s="351">
        <f t="shared" si="2"/>
        <v>0</v>
      </c>
    </row>
    <row r="122" spans="1:34" ht="30" customHeight="1" thickBot="1">
      <c r="B122" s="1443"/>
      <c r="C122" s="1473"/>
      <c r="D122" s="1498" t="s">
        <v>227</v>
      </c>
      <c r="E122" s="1499"/>
      <c r="F122" s="450"/>
      <c r="G122" s="451" t="s">
        <v>335</v>
      </c>
      <c r="H122" s="1060"/>
      <c r="I122" s="184"/>
      <c r="J122" s="184"/>
      <c r="N122" s="34"/>
      <c r="S122" s="184"/>
      <c r="AC122" s="1495"/>
      <c r="AD122" s="445" t="s">
        <v>227</v>
      </c>
      <c r="AE122" s="446">
        <f t="shared" si="1"/>
        <v>0</v>
      </c>
      <c r="AF122" s="452"/>
      <c r="AG122" s="453">
        <f t="shared" si="2"/>
        <v>0</v>
      </c>
    </row>
    <row r="123" spans="1:34" ht="30" customHeight="1">
      <c r="B123" s="1476" t="s">
        <v>336</v>
      </c>
      <c r="C123" s="1476"/>
      <c r="D123" s="1476"/>
      <c r="E123" s="1476"/>
      <c r="F123" s="1476"/>
      <c r="G123" s="1476"/>
      <c r="H123" s="1476"/>
      <c r="I123" s="184"/>
      <c r="J123" s="184"/>
      <c r="N123" s="34"/>
      <c r="AC123" s="1400" t="s">
        <v>337</v>
      </c>
      <c r="AD123" s="1400"/>
      <c r="AE123" s="454"/>
      <c r="AF123" s="454"/>
      <c r="AG123" s="398">
        <f>SUM(AG119:AG122)</f>
        <v>0</v>
      </c>
      <c r="AH123" s="178"/>
    </row>
    <row r="124" spans="1:34" ht="22.5" customHeight="1">
      <c r="B124" s="1476"/>
      <c r="C124" s="1476"/>
      <c r="D124" s="1476"/>
      <c r="E124" s="1476"/>
      <c r="F124" s="1476"/>
      <c r="G124" s="1476"/>
      <c r="H124" s="1476"/>
      <c r="I124" s="184"/>
      <c r="J124" s="184"/>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08" r:id="rId4" name="Label1">
          <controlPr defaultSize="0" print="0" autoLine="0" r:id="rId5">
            <anchor moveWithCells="1">
              <from>
                <xdr:col>4</xdr:col>
                <xdr:colOff>1381125</xdr:colOff>
                <xdr:row>0</xdr:row>
                <xdr:rowOff>57150</xdr:rowOff>
              </from>
              <to>
                <xdr:col>5</xdr:col>
                <xdr:colOff>266700</xdr:colOff>
                <xdr:row>2</xdr:row>
                <xdr:rowOff>0</xdr:rowOff>
              </to>
            </anchor>
          </controlPr>
        </control>
      </mc:Choice>
      <mc:Fallback>
        <control shapeId="8208" r:id="rId4" name="Label1"/>
      </mc:Fallback>
    </mc:AlternateContent>
    <mc:AlternateContent xmlns:mc="http://schemas.openxmlformats.org/markup-compatibility/2006">
      <mc:Choice Requires="x14">
        <control shapeId="8209" r:id="rId6" name="Label2">
          <controlPr defaultSize="0" print="0" autoLine="0" r:id="rId7">
            <anchor moveWithCells="1">
              <from>
                <xdr:col>4</xdr:col>
                <xdr:colOff>1409700</xdr:colOff>
                <xdr:row>0</xdr:row>
                <xdr:rowOff>257175</xdr:rowOff>
              </from>
              <to>
                <xdr:col>5</xdr:col>
                <xdr:colOff>257175</xdr:colOff>
                <xdr:row>1</xdr:row>
                <xdr:rowOff>47625</xdr:rowOff>
              </to>
            </anchor>
          </controlPr>
        </control>
      </mc:Choice>
      <mc:Fallback>
        <control shapeId="8209" r:id="rId6" name="Label2"/>
      </mc:Fallback>
    </mc:AlternateContent>
    <mc:AlternateContent xmlns:mc="http://schemas.openxmlformats.org/markup-compatibility/2006">
      <mc:Choice Requires="x14">
        <control shapeId="8210" r:id="rId8" name="Label3">
          <controlPr defaultSize="0" print="0" autoLine="0" r:id="rId9">
            <anchor moveWithCells="1">
              <from>
                <xdr:col>5</xdr:col>
                <xdr:colOff>247650</xdr:colOff>
                <xdr:row>0</xdr:row>
                <xdr:rowOff>57150</xdr:rowOff>
              </from>
              <to>
                <xdr:col>5</xdr:col>
                <xdr:colOff>857250</xdr:colOff>
                <xdr:row>1</xdr:row>
                <xdr:rowOff>19050</xdr:rowOff>
              </to>
            </anchor>
          </controlPr>
        </control>
      </mc:Choice>
      <mc:Fallback>
        <control shapeId="8210" r:id="rId8" name="Label3"/>
      </mc:Fallback>
    </mc:AlternateContent>
    <mc:AlternateContent xmlns:mc="http://schemas.openxmlformats.org/markup-compatibility/2006">
      <mc:Choice Requires="x14">
        <control shapeId="8211" r:id="rId10" name="txt_chisso">
          <controlPr locked="0" defaultSize="0" print="0" autoLine="0" r:id="rId11">
            <anchor moveWithCells="1">
              <from>
                <xdr:col>5</xdr:col>
                <xdr:colOff>247650</xdr:colOff>
                <xdr:row>1</xdr:row>
                <xdr:rowOff>19050</xdr:rowOff>
              </from>
              <to>
                <xdr:col>5</xdr:col>
                <xdr:colOff>857250</xdr:colOff>
                <xdr:row>2</xdr:row>
                <xdr:rowOff>0</xdr:rowOff>
              </to>
            </anchor>
          </controlPr>
        </control>
      </mc:Choice>
      <mc:Fallback>
        <control shapeId="8211" r:id="rId10" name="txt_chisso"/>
      </mc:Fallback>
    </mc:AlternateContent>
    <mc:AlternateContent xmlns:mc="http://schemas.openxmlformats.org/markup-compatibility/2006">
      <mc:Choice Requires="x14">
        <control shapeId="8212" r:id="rId12" name="btnKoushin1">
          <controlPr defaultSize="0" print="0" autoLine="0" r:id="rId13">
            <anchor moveWithCells="1">
              <from>
                <xdr:col>7</xdr:col>
                <xdr:colOff>962025</xdr:colOff>
                <xdr:row>2</xdr:row>
                <xdr:rowOff>0</xdr:rowOff>
              </from>
              <to>
                <xdr:col>8</xdr:col>
                <xdr:colOff>466725</xdr:colOff>
                <xdr:row>4</xdr:row>
                <xdr:rowOff>57150</xdr:rowOff>
              </to>
            </anchor>
          </controlPr>
        </control>
      </mc:Choice>
      <mc:Fallback>
        <control shapeId="8212" r:id="rId12" name="btnKoushin1"/>
      </mc:Fallback>
    </mc:AlternateContent>
    <mc:AlternateContent xmlns:mc="http://schemas.openxmlformats.org/markup-compatibility/2006">
      <mc:Choice Requires="x14">
        <control shapeId="8213" r:id="rId14" name="Label4">
          <controlPr defaultSize="0" print="0" autoLine="0" r:id="rId15">
            <anchor moveWithCells="1">
              <from>
                <xdr:col>5</xdr:col>
                <xdr:colOff>847725</xdr:colOff>
                <xdr:row>0</xdr:row>
                <xdr:rowOff>57150</xdr:rowOff>
              </from>
              <to>
                <xdr:col>5</xdr:col>
                <xdr:colOff>1457325</xdr:colOff>
                <xdr:row>1</xdr:row>
                <xdr:rowOff>19050</xdr:rowOff>
              </to>
            </anchor>
          </controlPr>
        </control>
      </mc:Choice>
      <mc:Fallback>
        <control shapeId="8213" r:id="rId14" name="Label4"/>
      </mc:Fallback>
    </mc:AlternateContent>
    <mc:AlternateContent xmlns:mc="http://schemas.openxmlformats.org/markup-compatibility/2006">
      <mc:Choice Requires="x14">
        <control shapeId="8214" r:id="rId16" name="txt_rinsan">
          <controlPr locked="0" defaultSize="0" print="0" autoLine="0" r:id="rId17">
            <anchor moveWithCells="1">
              <from>
                <xdr:col>5</xdr:col>
                <xdr:colOff>847725</xdr:colOff>
                <xdr:row>1</xdr:row>
                <xdr:rowOff>19050</xdr:rowOff>
              </from>
              <to>
                <xdr:col>5</xdr:col>
                <xdr:colOff>1457325</xdr:colOff>
                <xdr:row>2</xdr:row>
                <xdr:rowOff>0</xdr:rowOff>
              </to>
            </anchor>
          </controlPr>
        </control>
      </mc:Choice>
      <mc:Fallback>
        <control shapeId="8214" r:id="rId16" name="txt_rinsan"/>
      </mc:Fallback>
    </mc:AlternateContent>
    <mc:AlternateContent xmlns:mc="http://schemas.openxmlformats.org/markup-compatibility/2006">
      <mc:Choice Requires="x14">
        <control shapeId="8215" r:id="rId18" name="Label5">
          <controlPr defaultSize="0" print="0" autoLine="0" r:id="rId19">
            <anchor moveWithCells="1">
              <from>
                <xdr:col>5</xdr:col>
                <xdr:colOff>1447800</xdr:colOff>
                <xdr:row>0</xdr:row>
                <xdr:rowOff>57150</xdr:rowOff>
              </from>
              <to>
                <xdr:col>7</xdr:col>
                <xdr:colOff>180975</xdr:colOff>
                <xdr:row>1</xdr:row>
                <xdr:rowOff>19050</xdr:rowOff>
              </to>
            </anchor>
          </controlPr>
        </control>
      </mc:Choice>
      <mc:Fallback>
        <control shapeId="8215" r:id="rId18" name="Label5"/>
      </mc:Fallback>
    </mc:AlternateContent>
    <mc:AlternateContent xmlns:mc="http://schemas.openxmlformats.org/markup-compatibility/2006">
      <mc:Choice Requires="x14">
        <control shapeId="8216" r:id="rId20" name="txt_kari">
          <controlPr locked="0" defaultSize="0" print="0" autoLine="0" r:id="rId21">
            <anchor moveWithCells="1">
              <from>
                <xdr:col>5</xdr:col>
                <xdr:colOff>1447800</xdr:colOff>
                <xdr:row>1</xdr:row>
                <xdr:rowOff>19050</xdr:rowOff>
              </from>
              <to>
                <xdr:col>7</xdr:col>
                <xdr:colOff>180975</xdr:colOff>
                <xdr:row>2</xdr:row>
                <xdr:rowOff>0</xdr:rowOff>
              </to>
            </anchor>
          </controlPr>
        </control>
      </mc:Choice>
      <mc:Fallback>
        <control shapeId="8216" r:id="rId20" name="txt_kari"/>
      </mc:Fallback>
    </mc:AlternateContent>
    <mc:AlternateContent xmlns:mc="http://schemas.openxmlformats.org/markup-compatibility/2006">
      <mc:Choice Requires="x14">
        <control shapeId="8217" r:id="rId22" name="Label6">
          <controlPr defaultSize="0" print="0" autoLine="0" r:id="rId23">
            <anchor moveWithCells="1">
              <from>
                <xdr:col>7</xdr:col>
                <xdr:colOff>171450</xdr:colOff>
                <xdr:row>0</xdr:row>
                <xdr:rowOff>57150</xdr:rowOff>
              </from>
              <to>
                <xdr:col>7</xdr:col>
                <xdr:colOff>781050</xdr:colOff>
                <xdr:row>1</xdr:row>
                <xdr:rowOff>19050</xdr:rowOff>
              </to>
            </anchor>
          </controlPr>
        </control>
      </mc:Choice>
      <mc:Fallback>
        <control shapeId="8217" r:id="rId22" name="Label6"/>
      </mc:Fallback>
    </mc:AlternateContent>
    <mc:AlternateContent xmlns:mc="http://schemas.openxmlformats.org/markup-compatibility/2006">
      <mc:Choice Requires="x14">
        <control shapeId="8218" r:id="rId24" name="txt_keisan">
          <controlPr locked="0" defaultSize="0" print="0" autoLine="0" r:id="rId25">
            <anchor moveWithCells="1">
              <from>
                <xdr:col>7</xdr:col>
                <xdr:colOff>171450</xdr:colOff>
                <xdr:row>1</xdr:row>
                <xdr:rowOff>19050</xdr:rowOff>
              </from>
              <to>
                <xdr:col>7</xdr:col>
                <xdr:colOff>781050</xdr:colOff>
                <xdr:row>2</xdr:row>
                <xdr:rowOff>0</xdr:rowOff>
              </to>
            </anchor>
          </controlPr>
        </control>
      </mc:Choice>
      <mc:Fallback>
        <control shapeId="8218" r:id="rId24" name="txt_keisan"/>
      </mc:Fallback>
    </mc:AlternateContent>
    <mc:AlternateContent xmlns:mc="http://schemas.openxmlformats.org/markup-compatibility/2006">
      <mc:Choice Requires="x14">
        <control shapeId="8219" r:id="rId26" name="Label7">
          <controlPr defaultSize="0" print="0" autoLine="0" r:id="rId27">
            <anchor moveWithCells="1">
              <from>
                <xdr:col>7</xdr:col>
                <xdr:colOff>771525</xdr:colOff>
                <xdr:row>0</xdr:row>
                <xdr:rowOff>57150</xdr:rowOff>
              </from>
              <to>
                <xdr:col>7</xdr:col>
                <xdr:colOff>1381125</xdr:colOff>
                <xdr:row>1</xdr:row>
                <xdr:rowOff>19050</xdr:rowOff>
              </to>
            </anchor>
          </controlPr>
        </control>
      </mc:Choice>
      <mc:Fallback>
        <control shapeId="8219" r:id="rId26" name="Label7"/>
      </mc:Fallback>
    </mc:AlternateContent>
    <mc:AlternateContent xmlns:mc="http://schemas.openxmlformats.org/markup-compatibility/2006">
      <mc:Choice Requires="x14">
        <control shapeId="8220" r:id="rId28" name="txt_tansan">
          <controlPr locked="0" defaultSize="0" print="0" autoLine="0" r:id="rId29">
            <anchor moveWithCells="1">
              <from>
                <xdr:col>7</xdr:col>
                <xdr:colOff>771525</xdr:colOff>
                <xdr:row>1</xdr:row>
                <xdr:rowOff>19050</xdr:rowOff>
              </from>
              <to>
                <xdr:col>7</xdr:col>
                <xdr:colOff>1381125</xdr:colOff>
                <xdr:row>2</xdr:row>
                <xdr:rowOff>0</xdr:rowOff>
              </to>
            </anchor>
          </controlPr>
        </control>
      </mc:Choice>
      <mc:Fallback>
        <control shapeId="8220" r:id="rId28" name="txt_tansan"/>
      </mc:Fallback>
    </mc:AlternateContent>
    <mc:AlternateContent xmlns:mc="http://schemas.openxmlformats.org/markup-compatibility/2006">
      <mc:Choice Requires="x14">
        <control shapeId="8221" r:id="rId30" name="Label8">
          <controlPr defaultSize="0" print="0" autoLine="0" r:id="rId31">
            <anchor moveWithCells="1">
              <from>
                <xdr:col>7</xdr:col>
                <xdr:colOff>1371600</xdr:colOff>
                <xdr:row>0</xdr:row>
                <xdr:rowOff>57150</xdr:rowOff>
              </from>
              <to>
                <xdr:col>8</xdr:col>
                <xdr:colOff>457200</xdr:colOff>
                <xdr:row>1</xdr:row>
                <xdr:rowOff>19050</xdr:rowOff>
              </to>
            </anchor>
          </controlPr>
        </control>
      </mc:Choice>
      <mc:Fallback>
        <control shapeId="8221" r:id="rId30" name="Label8"/>
      </mc:Fallback>
    </mc:AlternateContent>
    <mc:AlternateContent xmlns:mc="http://schemas.openxmlformats.org/markup-compatibility/2006">
      <mc:Choice Requires="x14">
        <control shapeId="8222" r:id="rId32" name="txt_fukugou">
          <controlPr locked="0" defaultSize="0" print="0" autoLine="0" r:id="rId33">
            <anchor moveWithCells="1">
              <from>
                <xdr:col>7</xdr:col>
                <xdr:colOff>1371600</xdr:colOff>
                <xdr:row>1</xdr:row>
                <xdr:rowOff>19050</xdr:rowOff>
              </from>
              <to>
                <xdr:col>8</xdr:col>
                <xdr:colOff>457200</xdr:colOff>
                <xdr:row>2</xdr:row>
                <xdr:rowOff>0</xdr:rowOff>
              </to>
            </anchor>
          </controlPr>
        </control>
      </mc:Choice>
      <mc:Fallback>
        <control shapeId="8222"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4"/>
      <c r="I1" s="184"/>
      <c r="J1" s="184"/>
      <c r="K1" s="184"/>
      <c r="L1" s="184"/>
      <c r="M1" s="184"/>
      <c r="N1" s="184"/>
    </row>
    <row r="2" spans="2:27" ht="18" customHeight="1"/>
    <row r="3" spans="2:27" ht="18" customHeight="1"/>
    <row r="4" spans="2:27" ht="18" customHeight="1">
      <c r="C4" s="48"/>
      <c r="D4" s="48"/>
      <c r="E4" s="48"/>
      <c r="F4" s="48"/>
      <c r="G4" s="48"/>
    </row>
    <row r="5" spans="2:27" ht="18" customHeight="1">
      <c r="B5" s="108" t="s">
        <v>338</v>
      </c>
      <c r="C5" s="455"/>
      <c r="D5" s="455"/>
      <c r="E5" s="455"/>
      <c r="F5" s="455"/>
      <c r="G5" s="455"/>
      <c r="H5" s="455"/>
      <c r="I5" s="455"/>
      <c r="J5" s="455"/>
      <c r="K5" s="455"/>
      <c r="L5" s="455"/>
      <c r="M5" s="455"/>
      <c r="N5" s="455"/>
      <c r="O5" s="455"/>
      <c r="P5" s="455"/>
      <c r="Q5" s="455"/>
      <c r="R5" s="20"/>
      <c r="S5" s="30"/>
      <c r="W5" s="108" t="s">
        <v>338</v>
      </c>
    </row>
    <row r="6" spans="2:27" ht="18" customHeight="1">
      <c r="B6" s="1503" t="s">
        <v>339</v>
      </c>
      <c r="C6" s="1503"/>
      <c r="D6" s="1503"/>
      <c r="E6" s="1503"/>
      <c r="F6" s="1503"/>
      <c r="G6" s="1503"/>
      <c r="H6" s="1503"/>
      <c r="I6" s="1503"/>
      <c r="J6" s="1503"/>
      <c r="K6" s="1503"/>
      <c r="L6" s="1503"/>
      <c r="M6" s="1503"/>
      <c r="N6" s="1503"/>
      <c r="O6" s="1503"/>
      <c r="P6" s="1503"/>
      <c r="Q6" s="1503"/>
      <c r="R6" s="1503"/>
      <c r="S6" s="30"/>
    </row>
    <row r="7" spans="2:27" ht="18" customHeight="1">
      <c r="B7" s="1503"/>
      <c r="C7" s="1503"/>
      <c r="D7" s="1503"/>
      <c r="E7" s="1503"/>
      <c r="F7" s="1503"/>
      <c r="G7" s="1503"/>
      <c r="H7" s="1503"/>
      <c r="I7" s="1503"/>
      <c r="J7" s="1503"/>
      <c r="K7" s="1503"/>
      <c r="L7" s="1503"/>
      <c r="M7" s="1503"/>
      <c r="N7" s="1503"/>
      <c r="O7" s="1503"/>
      <c r="P7" s="1503"/>
      <c r="Q7" s="1503"/>
      <c r="R7" s="1503"/>
      <c r="S7" s="30"/>
    </row>
    <row r="8" spans="2:27" ht="18" customHeight="1" thickBot="1">
      <c r="B8" s="1503"/>
      <c r="C8" s="1503"/>
      <c r="D8" s="1503"/>
      <c r="E8" s="1503"/>
      <c r="F8" s="1503"/>
      <c r="G8" s="1503"/>
      <c r="H8" s="1503"/>
      <c r="I8" s="1503"/>
      <c r="J8" s="1503"/>
      <c r="K8" s="1503"/>
      <c r="L8" s="1503"/>
      <c r="M8" s="1503"/>
      <c r="N8" s="1503"/>
      <c r="O8" s="1503"/>
      <c r="P8" s="1503"/>
      <c r="Q8" s="1503"/>
      <c r="R8" s="1503"/>
      <c r="S8" s="30"/>
    </row>
    <row r="9" spans="2:27" ht="18" customHeight="1">
      <c r="B9" s="456"/>
      <c r="C9" s="1212" t="s">
        <v>298</v>
      </c>
      <c r="D9" s="1213"/>
      <c r="E9" s="1213"/>
      <c r="F9" s="1146" t="s">
        <v>340</v>
      </c>
      <c r="G9" s="1460" t="s">
        <v>341</v>
      </c>
      <c r="H9" s="1463" t="s">
        <v>342</v>
      </c>
      <c r="I9" s="1213"/>
      <c r="J9" s="1213"/>
      <c r="K9" s="1213"/>
      <c r="L9" s="1213"/>
      <c r="M9" s="1213"/>
      <c r="N9" s="1213"/>
      <c r="O9" s="1213"/>
      <c r="P9" s="1213"/>
      <c r="Q9" s="1410"/>
      <c r="R9" s="20"/>
      <c r="S9" s="30"/>
      <c r="X9" s="1511" t="s">
        <v>298</v>
      </c>
      <c r="Y9" s="1342" t="s">
        <v>343</v>
      </c>
    </row>
    <row r="10" spans="2:27" ht="18" customHeight="1" thickBot="1">
      <c r="B10" s="341"/>
      <c r="C10" s="1218"/>
      <c r="D10" s="1219"/>
      <c r="E10" s="1219"/>
      <c r="F10" s="1504"/>
      <c r="G10" s="1505"/>
      <c r="H10" s="1465"/>
      <c r="I10" s="1219"/>
      <c r="J10" s="1219"/>
      <c r="K10" s="1219"/>
      <c r="L10" s="1219"/>
      <c r="M10" s="1219"/>
      <c r="N10" s="1219"/>
      <c r="O10" s="1219"/>
      <c r="P10" s="1219"/>
      <c r="Q10" s="1248"/>
      <c r="R10" s="457"/>
      <c r="S10" s="430"/>
      <c r="T10" s="430"/>
      <c r="X10" s="1511"/>
      <c r="Y10" s="1342"/>
    </row>
    <row r="11" spans="2:27" ht="30" customHeight="1" thickTop="1" thickBot="1">
      <c r="B11" s="341"/>
      <c r="C11" s="1450" t="s">
        <v>306</v>
      </c>
      <c r="D11" s="1451"/>
      <c r="E11" s="1451"/>
      <c r="F11" s="458"/>
      <c r="G11" s="1053"/>
      <c r="H11" s="459"/>
      <c r="I11" s="342"/>
      <c r="J11" s="342"/>
      <c r="K11" s="342"/>
      <c r="L11" s="342"/>
      <c r="M11" s="342"/>
      <c r="N11" s="342"/>
      <c r="O11" s="342"/>
      <c r="P11" s="342"/>
      <c r="Q11" s="460"/>
      <c r="R11" s="457"/>
      <c r="S11" s="430"/>
      <c r="T11" s="430"/>
      <c r="X11" s="221" t="s">
        <v>344</v>
      </c>
      <c r="Y11" s="461">
        <f>IF(F11&gt;0,ROUND(F11*G11%,),SUM(Y12:Y16))</f>
        <v>0</v>
      </c>
    </row>
    <row r="12" spans="2:27" ht="30" customHeight="1" thickTop="1">
      <c r="B12" s="341"/>
      <c r="C12" s="462"/>
      <c r="D12" s="1467" t="s">
        <v>345</v>
      </c>
      <c r="E12" s="1468"/>
      <c r="F12" s="1506"/>
      <c r="G12" s="1507"/>
      <c r="H12" s="260"/>
      <c r="I12" s="260"/>
      <c r="J12" s="260"/>
      <c r="K12" s="260"/>
      <c r="L12" s="260"/>
      <c r="M12" s="260"/>
      <c r="N12" s="260"/>
      <c r="O12" s="260"/>
      <c r="P12" s="260"/>
      <c r="Q12" s="418"/>
      <c r="R12" s="230"/>
      <c r="S12" s="184"/>
      <c r="T12" s="184"/>
      <c r="U12" s="184"/>
      <c r="V12" s="184"/>
      <c r="W12" s="184"/>
      <c r="X12" s="221" t="s">
        <v>346</v>
      </c>
      <c r="Y12" s="463">
        <f>SUMPRODUCT(ROUND((F13:F27)*(G13:G27)/100,))</f>
        <v>0</v>
      </c>
      <c r="Z12" s="184"/>
      <c r="AA12" s="184"/>
    </row>
    <row r="13" spans="2:27" s="430" customFormat="1" ht="30" customHeight="1">
      <c r="B13" s="2"/>
      <c r="C13" s="464"/>
      <c r="D13" s="375"/>
      <c r="E13" s="420"/>
      <c r="F13" s="352"/>
      <c r="G13" s="1056"/>
      <c r="H13" s="465"/>
      <c r="I13" s="260"/>
      <c r="J13" s="260"/>
      <c r="K13" s="260"/>
      <c r="L13" s="260"/>
      <c r="M13" s="260"/>
      <c r="N13" s="260"/>
      <c r="O13" s="260"/>
      <c r="P13" s="260"/>
      <c r="Q13" s="418"/>
      <c r="R13" s="230"/>
      <c r="S13" s="184"/>
      <c r="T13" s="184"/>
      <c r="U13" s="434"/>
      <c r="V13" s="434"/>
      <c r="W13" s="434"/>
      <c r="X13" s="221" t="s">
        <v>347</v>
      </c>
      <c r="Y13" s="463">
        <f>SUMPRODUCT(ROUND((F29:F43)*(G29:G43)/100,))</f>
        <v>0</v>
      </c>
      <c r="Z13" s="434"/>
      <c r="AA13" s="434"/>
    </row>
    <row r="14" spans="2:27" s="430" customFormat="1" ht="30" customHeight="1">
      <c r="B14" s="2"/>
      <c r="C14" s="464"/>
      <c r="D14" s="375"/>
      <c r="E14" s="420"/>
      <c r="F14" s="352"/>
      <c r="G14" s="1061"/>
      <c r="H14" s="465"/>
      <c r="I14" s="260"/>
      <c r="J14" s="260"/>
      <c r="K14" s="260"/>
      <c r="L14" s="260"/>
      <c r="M14" s="260"/>
      <c r="N14" s="260"/>
      <c r="O14" s="260"/>
      <c r="P14" s="260"/>
      <c r="Q14" s="418"/>
      <c r="R14" s="230"/>
      <c r="S14" s="184"/>
      <c r="T14" s="184"/>
      <c r="U14" s="434"/>
      <c r="V14" s="434"/>
      <c r="W14" s="434"/>
      <c r="X14" s="221" t="s">
        <v>348</v>
      </c>
      <c r="Y14" s="463">
        <f>SUMPRODUCT(ROUND((F45:F59)*(G45:G59)/100,))</f>
        <v>0</v>
      </c>
      <c r="Z14" s="434"/>
      <c r="AA14" s="434"/>
    </row>
    <row r="15" spans="2:27" ht="30" customHeight="1">
      <c r="C15" s="464"/>
      <c r="D15" s="375"/>
      <c r="E15" s="420"/>
      <c r="F15" s="466"/>
      <c r="G15" s="1062"/>
      <c r="H15" s="465"/>
      <c r="I15" s="260"/>
      <c r="J15" s="260"/>
      <c r="K15" s="260"/>
      <c r="L15" s="260"/>
      <c r="M15" s="260"/>
      <c r="N15" s="260"/>
      <c r="O15" s="260"/>
      <c r="P15" s="260"/>
      <c r="Q15" s="418"/>
      <c r="R15" s="230"/>
      <c r="S15" s="184"/>
      <c r="T15" s="184"/>
      <c r="U15" s="184"/>
      <c r="V15" s="184"/>
      <c r="W15" s="184"/>
      <c r="X15" s="221" t="s">
        <v>349</v>
      </c>
      <c r="Y15" s="463">
        <f>SUMPRODUCT(ROUND((F61:F75)*(G61:G75)/100,))</f>
        <v>0</v>
      </c>
      <c r="Z15" s="184"/>
      <c r="AA15" s="184"/>
    </row>
    <row r="16" spans="2:27" ht="30" customHeight="1" collapsed="1">
      <c r="C16" s="464"/>
      <c r="D16" s="375"/>
      <c r="E16" s="420"/>
      <c r="F16" s="466"/>
      <c r="G16" s="1062"/>
      <c r="H16" s="465"/>
      <c r="I16" s="260"/>
      <c r="J16" s="260"/>
      <c r="K16" s="260"/>
      <c r="L16" s="260"/>
      <c r="M16" s="260"/>
      <c r="N16" s="260"/>
      <c r="O16" s="260"/>
      <c r="P16" s="260"/>
      <c r="Q16" s="418"/>
      <c r="R16" s="230"/>
      <c r="S16" s="184"/>
      <c r="T16" s="184"/>
      <c r="U16" s="184"/>
      <c r="V16" s="184"/>
      <c r="W16" s="184"/>
      <c r="X16" s="221" t="s">
        <v>227</v>
      </c>
      <c r="Y16" s="463">
        <f>ROUND((F76*G76)/100,)</f>
        <v>0</v>
      </c>
      <c r="Z16" s="184"/>
      <c r="AA16" s="184"/>
    </row>
    <row r="17" spans="3:27" ht="30" hidden="1" customHeight="1" outlineLevel="1">
      <c r="C17" s="464"/>
      <c r="D17" s="375"/>
      <c r="E17" s="420"/>
      <c r="F17" s="466"/>
      <c r="G17" s="1062"/>
      <c r="H17" s="465"/>
      <c r="I17" s="260"/>
      <c r="J17" s="260"/>
      <c r="K17" s="260"/>
      <c r="L17" s="260"/>
      <c r="M17" s="260"/>
      <c r="N17" s="260"/>
      <c r="O17" s="260"/>
      <c r="P17" s="260"/>
      <c r="Q17" s="418"/>
      <c r="R17" s="230"/>
      <c r="S17" s="184"/>
      <c r="T17" s="184"/>
      <c r="U17" s="184"/>
      <c r="V17" s="184"/>
      <c r="W17" s="184"/>
      <c r="X17" s="239"/>
      <c r="Y17" s="467"/>
      <c r="Z17" s="184"/>
      <c r="AA17" s="184"/>
    </row>
    <row r="18" spans="3:27" ht="30" hidden="1" customHeight="1" outlineLevel="1">
      <c r="C18" s="464"/>
      <c r="D18" s="468"/>
      <c r="E18" s="420"/>
      <c r="F18" s="466"/>
      <c r="G18" s="1062"/>
      <c r="H18" s="465"/>
      <c r="I18" s="260"/>
      <c r="J18" s="260"/>
      <c r="K18" s="260"/>
      <c r="L18" s="260"/>
      <c r="M18" s="260"/>
      <c r="N18" s="260"/>
      <c r="O18" s="260"/>
      <c r="P18" s="260"/>
      <c r="Q18" s="418"/>
      <c r="R18" s="230"/>
      <c r="S18" s="184"/>
      <c r="T18" s="184"/>
      <c r="U18" s="184"/>
      <c r="V18" s="184"/>
      <c r="W18" s="184"/>
      <c r="X18" s="244"/>
      <c r="Y18" s="469"/>
      <c r="Z18" s="184"/>
      <c r="AA18" s="184"/>
    </row>
    <row r="19" spans="3:27" ht="30" hidden="1" customHeight="1" outlineLevel="1">
      <c r="C19" s="464"/>
      <c r="D19" s="468"/>
      <c r="E19" s="420"/>
      <c r="F19" s="466"/>
      <c r="G19" s="1062"/>
      <c r="H19" s="465"/>
      <c r="I19" s="260"/>
      <c r="J19" s="260"/>
      <c r="K19" s="260"/>
      <c r="L19" s="260"/>
      <c r="M19" s="260"/>
      <c r="N19" s="260"/>
      <c r="O19" s="260"/>
      <c r="P19" s="260"/>
      <c r="Q19" s="418"/>
      <c r="R19" s="230"/>
      <c r="S19" s="184"/>
      <c r="T19" s="184"/>
      <c r="U19" s="184"/>
      <c r="V19" s="184"/>
      <c r="W19" s="184"/>
      <c r="X19" s="244"/>
      <c r="Y19" s="469"/>
      <c r="Z19" s="184"/>
      <c r="AA19" s="184"/>
    </row>
    <row r="20" spans="3:27" ht="30" hidden="1" customHeight="1" outlineLevel="1">
      <c r="C20" s="464"/>
      <c r="D20" s="468"/>
      <c r="E20" s="420"/>
      <c r="F20" s="466"/>
      <c r="G20" s="1062"/>
      <c r="H20" s="465"/>
      <c r="I20" s="260"/>
      <c r="J20" s="260"/>
      <c r="K20" s="260"/>
      <c r="L20" s="260"/>
      <c r="M20" s="260"/>
      <c r="N20" s="260"/>
      <c r="O20" s="260"/>
      <c r="P20" s="260"/>
      <c r="Q20" s="418"/>
      <c r="R20" s="230"/>
      <c r="S20" s="184"/>
      <c r="T20" s="184"/>
      <c r="U20" s="184"/>
      <c r="V20" s="184"/>
      <c r="W20" s="184"/>
      <c r="X20" s="244"/>
      <c r="Y20" s="469"/>
      <c r="Z20" s="184"/>
      <c r="AA20" s="184"/>
    </row>
    <row r="21" spans="3:27" ht="30" hidden="1" customHeight="1" outlineLevel="1">
      <c r="C21" s="464"/>
      <c r="D21" s="468"/>
      <c r="E21" s="420"/>
      <c r="F21" s="466"/>
      <c r="G21" s="1062"/>
      <c r="H21" s="465"/>
      <c r="I21" s="260"/>
      <c r="J21" s="260"/>
      <c r="K21" s="260"/>
      <c r="L21" s="260"/>
      <c r="M21" s="260"/>
      <c r="N21" s="260"/>
      <c r="O21" s="260"/>
      <c r="P21" s="260"/>
      <c r="Q21" s="418"/>
      <c r="R21" s="230"/>
      <c r="S21" s="184"/>
      <c r="T21" s="184"/>
      <c r="U21" s="184"/>
      <c r="V21" s="184"/>
      <c r="W21" s="184"/>
      <c r="X21" s="244"/>
      <c r="Y21" s="469"/>
      <c r="Z21" s="184"/>
      <c r="AA21" s="184"/>
    </row>
    <row r="22" spans="3:27" ht="30" hidden="1" customHeight="1" outlineLevel="1">
      <c r="C22" s="464"/>
      <c r="D22" s="468"/>
      <c r="E22" s="420"/>
      <c r="F22" s="466"/>
      <c r="G22" s="1062"/>
      <c r="H22" s="465"/>
      <c r="I22" s="260"/>
      <c r="J22" s="260"/>
      <c r="K22" s="260"/>
      <c r="L22" s="260"/>
      <c r="M22" s="260"/>
      <c r="N22" s="260"/>
      <c r="O22" s="260"/>
      <c r="P22" s="260"/>
      <c r="Q22" s="418"/>
      <c r="R22" s="230"/>
      <c r="S22" s="184"/>
      <c r="T22" s="184"/>
      <c r="U22" s="184"/>
      <c r="V22" s="184"/>
      <c r="W22" s="184"/>
      <c r="X22" s="244"/>
      <c r="Y22" s="469"/>
      <c r="Z22" s="184"/>
      <c r="AA22" s="184"/>
    </row>
    <row r="23" spans="3:27" ht="30" hidden="1" customHeight="1" outlineLevel="1">
      <c r="C23" s="464"/>
      <c r="D23" s="468"/>
      <c r="E23" s="420"/>
      <c r="F23" s="466"/>
      <c r="G23" s="1062"/>
      <c r="H23" s="465"/>
      <c r="I23" s="260"/>
      <c r="J23" s="260"/>
      <c r="K23" s="260"/>
      <c r="L23" s="260"/>
      <c r="M23" s="260"/>
      <c r="N23" s="260"/>
      <c r="O23" s="260"/>
      <c r="P23" s="260"/>
      <c r="Q23" s="418"/>
      <c r="R23" s="230"/>
      <c r="S23" s="184"/>
      <c r="T23" s="184"/>
      <c r="U23" s="184"/>
      <c r="V23" s="184"/>
      <c r="W23" s="184"/>
      <c r="X23" s="244"/>
      <c r="Y23" s="469"/>
      <c r="Z23" s="184"/>
      <c r="AA23" s="184"/>
    </row>
    <row r="24" spans="3:27" ht="30" hidden="1" customHeight="1" outlineLevel="1">
      <c r="C24" s="464"/>
      <c r="D24" s="468"/>
      <c r="E24" s="420"/>
      <c r="F24" s="466"/>
      <c r="G24" s="1062"/>
      <c r="H24" s="465"/>
      <c r="I24" s="260"/>
      <c r="J24" s="260"/>
      <c r="K24" s="260"/>
      <c r="L24" s="260"/>
      <c r="M24" s="260"/>
      <c r="N24" s="260"/>
      <c r="O24" s="260"/>
      <c r="P24" s="260"/>
      <c r="Q24" s="418"/>
      <c r="R24" s="230"/>
      <c r="S24" s="184"/>
      <c r="T24" s="184"/>
      <c r="U24" s="184"/>
      <c r="V24" s="184"/>
      <c r="W24" s="184"/>
      <c r="X24" s="244"/>
      <c r="Y24" s="469"/>
      <c r="Z24" s="184"/>
      <c r="AA24" s="184"/>
    </row>
    <row r="25" spans="3:27" ht="30" hidden="1" customHeight="1" outlineLevel="1">
      <c r="C25" s="464"/>
      <c r="D25" s="468"/>
      <c r="E25" s="420"/>
      <c r="F25" s="466"/>
      <c r="G25" s="1062"/>
      <c r="H25" s="465"/>
      <c r="I25" s="260"/>
      <c r="J25" s="260"/>
      <c r="K25" s="260"/>
      <c r="L25" s="260"/>
      <c r="M25" s="260"/>
      <c r="N25" s="260"/>
      <c r="O25" s="260"/>
      <c r="P25" s="260"/>
      <c r="Q25" s="418"/>
      <c r="R25" s="230"/>
      <c r="S25" s="184"/>
      <c r="T25" s="184"/>
      <c r="U25" s="184"/>
      <c r="V25" s="184"/>
      <c r="W25" s="184"/>
      <c r="X25" s="244"/>
      <c r="Y25" s="469"/>
      <c r="Z25" s="184"/>
      <c r="AA25" s="184"/>
    </row>
    <row r="26" spans="3:27" ht="30" hidden="1" customHeight="1" outlineLevel="1">
      <c r="C26" s="464"/>
      <c r="D26" s="468"/>
      <c r="E26" s="420"/>
      <c r="F26" s="466"/>
      <c r="G26" s="1062"/>
      <c r="H26" s="465"/>
      <c r="I26" s="260"/>
      <c r="J26" s="260"/>
      <c r="K26" s="260"/>
      <c r="L26" s="260"/>
      <c r="M26" s="260"/>
      <c r="N26" s="260"/>
      <c r="O26" s="260"/>
      <c r="P26" s="260"/>
      <c r="Q26" s="418"/>
      <c r="R26" s="230"/>
      <c r="S26" s="184"/>
      <c r="T26" s="184"/>
      <c r="U26" s="184"/>
      <c r="V26" s="184"/>
      <c r="W26" s="184"/>
      <c r="X26" s="244"/>
      <c r="Y26" s="469"/>
      <c r="Z26" s="184"/>
      <c r="AA26" s="184"/>
    </row>
    <row r="27" spans="3:27" ht="30" hidden="1" customHeight="1" outlineLevel="1">
      <c r="C27" s="464"/>
      <c r="D27" s="468"/>
      <c r="E27" s="420"/>
      <c r="F27" s="470"/>
      <c r="G27" s="1055"/>
      <c r="H27" s="465"/>
      <c r="I27" s="260"/>
      <c r="J27" s="260"/>
      <c r="K27" s="260"/>
      <c r="L27" s="260"/>
      <c r="M27" s="260"/>
      <c r="N27" s="260"/>
      <c r="O27" s="260"/>
      <c r="P27" s="260"/>
      <c r="Q27" s="418"/>
      <c r="R27" s="230"/>
      <c r="S27" s="184"/>
      <c r="T27" s="184"/>
      <c r="U27" s="184"/>
      <c r="V27" s="184"/>
      <c r="W27" s="184"/>
      <c r="X27" s="244"/>
      <c r="Y27" s="469"/>
      <c r="Z27" s="184"/>
      <c r="AA27" s="184"/>
    </row>
    <row r="28" spans="3:27" ht="30" customHeight="1">
      <c r="C28" s="462"/>
      <c r="D28" s="1467" t="s">
        <v>350</v>
      </c>
      <c r="E28" s="1508"/>
      <c r="F28" s="1509"/>
      <c r="G28" s="1510"/>
      <c r="H28" s="260"/>
      <c r="I28" s="260"/>
      <c r="J28" s="260"/>
      <c r="K28" s="260"/>
      <c r="L28" s="260"/>
      <c r="M28" s="260"/>
      <c r="N28" s="260"/>
      <c r="O28" s="260"/>
      <c r="P28" s="260"/>
      <c r="Q28" s="418"/>
      <c r="R28" s="230"/>
      <c r="S28" s="184"/>
      <c r="T28" s="184"/>
      <c r="U28" s="184"/>
      <c r="V28" s="184"/>
      <c r="W28" s="184"/>
      <c r="Z28" s="184"/>
      <c r="AA28" s="184"/>
    </row>
    <row r="29" spans="3:27" ht="30" customHeight="1">
      <c r="C29" s="464"/>
      <c r="D29" s="375"/>
      <c r="E29" s="420"/>
      <c r="F29" s="352"/>
      <c r="G29" s="1056"/>
      <c r="H29" s="465"/>
      <c r="I29" s="260"/>
      <c r="J29" s="260"/>
      <c r="K29" s="260"/>
      <c r="L29" s="260"/>
      <c r="M29" s="260"/>
      <c r="N29" s="260"/>
      <c r="O29" s="260"/>
      <c r="P29" s="260"/>
      <c r="Q29" s="418"/>
      <c r="R29" s="230"/>
      <c r="S29" s="184"/>
      <c r="T29" s="184"/>
      <c r="U29" s="184"/>
      <c r="V29" s="184"/>
      <c r="W29" s="184"/>
      <c r="Z29" s="184"/>
      <c r="AA29" s="184"/>
    </row>
    <row r="30" spans="3:27" ht="30" customHeight="1">
      <c r="C30" s="464"/>
      <c r="D30" s="375"/>
      <c r="E30" s="420"/>
      <c r="F30" s="352"/>
      <c r="G30" s="1061"/>
      <c r="H30" s="465"/>
      <c r="I30" s="260"/>
      <c r="J30" s="260"/>
      <c r="K30" s="260"/>
      <c r="L30" s="260"/>
      <c r="M30" s="260"/>
      <c r="N30" s="260"/>
      <c r="O30" s="260"/>
      <c r="P30" s="260"/>
      <c r="Q30" s="418"/>
      <c r="R30" s="230"/>
      <c r="S30" s="184"/>
      <c r="T30" s="184"/>
      <c r="U30" s="184"/>
      <c r="V30" s="184"/>
      <c r="W30" s="184"/>
      <c r="X30" s="184"/>
      <c r="Y30" s="184"/>
      <c r="Z30" s="184"/>
      <c r="AA30" s="184"/>
    </row>
    <row r="31" spans="3:27" ht="30" customHeight="1">
      <c r="C31" s="464"/>
      <c r="D31" s="468"/>
      <c r="E31" s="420"/>
      <c r="F31" s="466"/>
      <c r="G31" s="1062"/>
      <c r="H31" s="465"/>
      <c r="I31" s="260"/>
      <c r="J31" s="260"/>
      <c r="K31" s="260"/>
      <c r="L31" s="260"/>
      <c r="M31" s="260"/>
      <c r="N31" s="260"/>
      <c r="O31" s="260"/>
      <c r="P31" s="260"/>
      <c r="Q31" s="418"/>
      <c r="R31" s="230"/>
      <c r="S31" s="184"/>
      <c r="T31" s="184"/>
      <c r="U31" s="184"/>
      <c r="V31" s="184"/>
      <c r="W31" s="184"/>
      <c r="X31" s="244"/>
      <c r="Y31" s="469"/>
      <c r="Z31" s="184"/>
      <c r="AA31" s="184"/>
    </row>
    <row r="32" spans="3:27" ht="30" customHeight="1" collapsed="1">
      <c r="C32" s="464"/>
      <c r="D32" s="468"/>
      <c r="E32" s="420"/>
      <c r="F32" s="466"/>
      <c r="G32" s="1062"/>
      <c r="H32" s="465"/>
      <c r="I32" s="260"/>
      <c r="J32" s="260"/>
      <c r="K32" s="260"/>
      <c r="L32" s="260"/>
      <c r="M32" s="260"/>
      <c r="N32" s="260"/>
      <c r="O32" s="260"/>
      <c r="P32" s="260"/>
      <c r="Q32" s="418"/>
      <c r="R32" s="230"/>
      <c r="S32" s="184"/>
      <c r="T32" s="184"/>
      <c r="U32" s="184"/>
      <c r="V32" s="184"/>
      <c r="W32" s="184"/>
      <c r="X32" s="244"/>
      <c r="Y32" s="469"/>
      <c r="Z32" s="184"/>
      <c r="AA32" s="184"/>
    </row>
    <row r="33" spans="3:27" ht="30" hidden="1" customHeight="1" outlineLevel="1">
      <c r="C33" s="464"/>
      <c r="D33" s="468"/>
      <c r="E33" s="420"/>
      <c r="F33" s="466"/>
      <c r="G33" s="1062"/>
      <c r="H33" s="465"/>
      <c r="I33" s="260"/>
      <c r="J33" s="260"/>
      <c r="K33" s="260"/>
      <c r="L33" s="260"/>
      <c r="M33" s="260"/>
      <c r="N33" s="260"/>
      <c r="O33" s="260"/>
      <c r="P33" s="260"/>
      <c r="Q33" s="418"/>
      <c r="R33" s="230"/>
      <c r="S33" s="184"/>
      <c r="T33" s="184"/>
      <c r="U33" s="184"/>
      <c r="V33" s="184"/>
      <c r="W33" s="184"/>
      <c r="X33" s="244"/>
      <c r="Y33" s="469"/>
      <c r="Z33" s="184"/>
      <c r="AA33" s="184"/>
    </row>
    <row r="34" spans="3:27" ht="30" hidden="1" customHeight="1" outlineLevel="1">
      <c r="C34" s="464"/>
      <c r="D34" s="468"/>
      <c r="E34" s="420"/>
      <c r="F34" s="466"/>
      <c r="G34" s="1062"/>
      <c r="H34" s="465"/>
      <c r="I34" s="260"/>
      <c r="J34" s="260"/>
      <c r="K34" s="260"/>
      <c r="L34" s="260"/>
      <c r="M34" s="260"/>
      <c r="N34" s="260"/>
      <c r="O34" s="260"/>
      <c r="P34" s="260"/>
      <c r="Q34" s="418"/>
      <c r="R34" s="230"/>
      <c r="S34" s="184"/>
      <c r="T34" s="184"/>
      <c r="U34" s="184"/>
      <c r="V34" s="184"/>
      <c r="W34" s="184"/>
      <c r="X34" s="244"/>
      <c r="Y34" s="469"/>
      <c r="Z34" s="184"/>
      <c r="AA34" s="184"/>
    </row>
    <row r="35" spans="3:27" ht="30" hidden="1" customHeight="1" outlineLevel="1">
      <c r="C35" s="464"/>
      <c r="D35" s="468"/>
      <c r="E35" s="420"/>
      <c r="F35" s="466"/>
      <c r="G35" s="1062"/>
      <c r="H35" s="465"/>
      <c r="I35" s="260"/>
      <c r="J35" s="260"/>
      <c r="K35" s="260"/>
      <c r="L35" s="260"/>
      <c r="M35" s="260"/>
      <c r="N35" s="260"/>
      <c r="O35" s="260"/>
      <c r="P35" s="260"/>
      <c r="Q35" s="418"/>
      <c r="R35" s="230"/>
      <c r="S35" s="184"/>
      <c r="T35" s="184"/>
      <c r="U35" s="184"/>
      <c r="V35" s="184"/>
      <c r="W35" s="184"/>
      <c r="X35" s="244"/>
      <c r="Y35" s="469"/>
      <c r="Z35" s="184"/>
      <c r="AA35" s="184"/>
    </row>
    <row r="36" spans="3:27" ht="30" hidden="1" customHeight="1" outlineLevel="1">
      <c r="C36" s="464"/>
      <c r="D36" s="468"/>
      <c r="E36" s="420"/>
      <c r="F36" s="466"/>
      <c r="G36" s="1062"/>
      <c r="H36" s="465"/>
      <c r="I36" s="260"/>
      <c r="J36" s="260"/>
      <c r="K36" s="260"/>
      <c r="L36" s="260"/>
      <c r="M36" s="260"/>
      <c r="N36" s="260"/>
      <c r="O36" s="260"/>
      <c r="P36" s="260"/>
      <c r="Q36" s="418"/>
      <c r="R36" s="230"/>
      <c r="S36" s="184"/>
      <c r="T36" s="184"/>
      <c r="U36" s="184"/>
      <c r="V36" s="184"/>
      <c r="W36" s="184"/>
      <c r="X36" s="244"/>
      <c r="Y36" s="469"/>
      <c r="Z36" s="184"/>
      <c r="AA36" s="184"/>
    </row>
    <row r="37" spans="3:27" ht="30" hidden="1" customHeight="1" outlineLevel="1">
      <c r="C37" s="464"/>
      <c r="D37" s="468"/>
      <c r="E37" s="420"/>
      <c r="F37" s="466"/>
      <c r="G37" s="1062"/>
      <c r="H37" s="465"/>
      <c r="I37" s="260"/>
      <c r="J37" s="260"/>
      <c r="K37" s="260"/>
      <c r="L37" s="260"/>
      <c r="M37" s="260"/>
      <c r="N37" s="260"/>
      <c r="O37" s="260"/>
      <c r="P37" s="260"/>
      <c r="Q37" s="418"/>
      <c r="R37" s="230"/>
      <c r="S37" s="184"/>
      <c r="T37" s="184"/>
      <c r="U37" s="184"/>
      <c r="V37" s="184"/>
      <c r="W37" s="184"/>
      <c r="X37" s="244"/>
      <c r="Y37" s="469"/>
      <c r="Z37" s="184"/>
      <c r="AA37" s="184"/>
    </row>
    <row r="38" spans="3:27" ht="30" hidden="1" customHeight="1" outlineLevel="1">
      <c r="C38" s="464"/>
      <c r="D38" s="468"/>
      <c r="E38" s="420"/>
      <c r="F38" s="466"/>
      <c r="G38" s="1062"/>
      <c r="H38" s="465"/>
      <c r="I38" s="260"/>
      <c r="J38" s="260"/>
      <c r="K38" s="260"/>
      <c r="L38" s="260"/>
      <c r="M38" s="260"/>
      <c r="N38" s="260"/>
      <c r="O38" s="260"/>
      <c r="P38" s="260"/>
      <c r="Q38" s="418"/>
      <c r="R38" s="230"/>
      <c r="S38" s="184"/>
      <c r="T38" s="184"/>
      <c r="U38" s="184"/>
      <c r="V38" s="184"/>
      <c r="W38" s="184"/>
      <c r="X38" s="244"/>
      <c r="Y38" s="469"/>
      <c r="Z38" s="184"/>
      <c r="AA38" s="184"/>
    </row>
    <row r="39" spans="3:27" ht="30" hidden="1" customHeight="1" outlineLevel="1">
      <c r="C39" s="464"/>
      <c r="D39" s="468"/>
      <c r="E39" s="420"/>
      <c r="F39" s="466"/>
      <c r="G39" s="1062"/>
      <c r="H39" s="465"/>
      <c r="I39" s="260"/>
      <c r="J39" s="260"/>
      <c r="K39" s="260"/>
      <c r="L39" s="260"/>
      <c r="M39" s="260"/>
      <c r="N39" s="260"/>
      <c r="O39" s="260"/>
      <c r="P39" s="260"/>
      <c r="Q39" s="418"/>
      <c r="R39" s="230"/>
      <c r="S39" s="184"/>
      <c r="T39" s="184"/>
      <c r="U39" s="184"/>
      <c r="V39" s="184"/>
      <c r="W39" s="184"/>
      <c r="X39" s="244"/>
      <c r="Y39" s="469"/>
      <c r="Z39" s="184"/>
      <c r="AA39" s="184"/>
    </row>
    <row r="40" spans="3:27" ht="30" hidden="1" customHeight="1" outlineLevel="1">
      <c r="C40" s="464"/>
      <c r="D40" s="468"/>
      <c r="E40" s="420"/>
      <c r="F40" s="466"/>
      <c r="G40" s="1062"/>
      <c r="H40" s="465"/>
      <c r="I40" s="260"/>
      <c r="J40" s="260"/>
      <c r="K40" s="260"/>
      <c r="L40" s="260"/>
      <c r="M40" s="260"/>
      <c r="N40" s="260"/>
      <c r="O40" s="260"/>
      <c r="P40" s="260"/>
      <c r="Q40" s="418"/>
      <c r="R40" s="230"/>
      <c r="S40" s="184"/>
      <c r="T40" s="184"/>
      <c r="U40" s="184"/>
      <c r="V40" s="184"/>
      <c r="W40" s="184"/>
      <c r="X40" s="244"/>
      <c r="Y40" s="469"/>
      <c r="Z40" s="184"/>
      <c r="AA40" s="184"/>
    </row>
    <row r="41" spans="3:27" ht="30" hidden="1" customHeight="1" outlineLevel="1">
      <c r="C41" s="464"/>
      <c r="D41" s="375"/>
      <c r="E41" s="420"/>
      <c r="F41" s="352"/>
      <c r="G41" s="1062"/>
      <c r="H41" s="465"/>
      <c r="I41" s="260"/>
      <c r="J41" s="260"/>
      <c r="K41" s="260"/>
      <c r="L41" s="260"/>
      <c r="M41" s="260"/>
      <c r="N41" s="260"/>
      <c r="O41" s="260"/>
      <c r="P41" s="260"/>
      <c r="Q41" s="418"/>
      <c r="R41" s="230"/>
      <c r="S41" s="184"/>
      <c r="T41" s="184"/>
      <c r="U41" s="184"/>
      <c r="V41" s="184"/>
      <c r="W41" s="184"/>
      <c r="X41" s="184"/>
      <c r="Y41" s="184"/>
      <c r="Z41" s="184"/>
      <c r="AA41" s="184"/>
    </row>
    <row r="42" spans="3:27" ht="30" hidden="1" customHeight="1" outlineLevel="1">
      <c r="C42" s="464"/>
      <c r="D42" s="375"/>
      <c r="E42" s="420"/>
      <c r="F42" s="466"/>
      <c r="G42" s="1062"/>
      <c r="H42" s="465"/>
      <c r="I42" s="260"/>
      <c r="J42" s="260"/>
      <c r="K42" s="260"/>
      <c r="L42" s="260"/>
      <c r="M42" s="260"/>
      <c r="N42" s="260"/>
      <c r="O42" s="260"/>
      <c r="P42" s="260"/>
      <c r="Q42" s="418"/>
      <c r="R42" s="230"/>
      <c r="S42" s="184"/>
      <c r="T42" s="184"/>
      <c r="U42" s="184"/>
      <c r="V42" s="184"/>
      <c r="W42" s="184"/>
      <c r="X42" s="184"/>
      <c r="Y42" s="184"/>
      <c r="Z42" s="184"/>
      <c r="AA42" s="184"/>
    </row>
    <row r="43" spans="3:27" ht="30" hidden="1" customHeight="1" outlineLevel="1">
      <c r="C43" s="464"/>
      <c r="D43" s="375"/>
      <c r="E43" s="420"/>
      <c r="F43" s="348"/>
      <c r="G43" s="1055"/>
      <c r="H43" s="465"/>
      <c r="I43" s="260"/>
      <c r="J43" s="260"/>
      <c r="K43" s="260"/>
      <c r="L43" s="260"/>
      <c r="M43" s="260"/>
      <c r="N43" s="260"/>
      <c r="O43" s="260"/>
      <c r="P43" s="260"/>
      <c r="Q43" s="418"/>
      <c r="R43" s="230"/>
      <c r="S43" s="184"/>
      <c r="T43" s="184"/>
      <c r="U43" s="184"/>
      <c r="V43" s="184"/>
      <c r="W43" s="184"/>
      <c r="X43" s="184"/>
      <c r="Y43" s="184"/>
      <c r="Z43" s="184"/>
      <c r="AA43" s="184"/>
    </row>
    <row r="44" spans="3:27" ht="30" customHeight="1">
      <c r="C44" s="462"/>
      <c r="D44" s="1467" t="s">
        <v>351</v>
      </c>
      <c r="E44" s="1508"/>
      <c r="F44" s="1509"/>
      <c r="G44" s="1510"/>
      <c r="H44" s="260"/>
      <c r="I44" s="260"/>
      <c r="J44" s="260"/>
      <c r="K44" s="260"/>
      <c r="L44" s="260"/>
      <c r="M44" s="260"/>
      <c r="N44" s="260"/>
      <c r="O44" s="260"/>
      <c r="P44" s="260"/>
      <c r="Q44" s="418"/>
      <c r="R44" s="230"/>
      <c r="S44" s="184"/>
      <c r="T44" s="184"/>
      <c r="U44" s="184"/>
      <c r="V44" s="184"/>
      <c r="W44" s="184"/>
      <c r="X44" s="184"/>
      <c r="Y44" s="184"/>
      <c r="Z44" s="184"/>
      <c r="AA44" s="184"/>
    </row>
    <row r="45" spans="3:27" ht="30" customHeight="1">
      <c r="C45" s="464"/>
      <c r="D45" s="375"/>
      <c r="E45" s="420"/>
      <c r="F45" s="352"/>
      <c r="G45" s="1056"/>
      <c r="H45" s="465"/>
      <c r="I45" s="260"/>
      <c r="J45" s="260"/>
      <c r="K45" s="260"/>
      <c r="L45" s="260"/>
      <c r="M45" s="260"/>
      <c r="N45" s="260"/>
      <c r="O45" s="260"/>
      <c r="P45" s="260"/>
      <c r="Q45" s="418"/>
      <c r="R45" s="230"/>
      <c r="S45" s="184"/>
      <c r="T45" s="184"/>
      <c r="U45" s="184"/>
      <c r="V45" s="184"/>
      <c r="W45" s="184"/>
      <c r="X45" s="184"/>
      <c r="Y45" s="184"/>
      <c r="Z45" s="184"/>
      <c r="AA45" s="184"/>
    </row>
    <row r="46" spans="3:27" ht="30" customHeight="1">
      <c r="C46" s="464"/>
      <c r="D46" s="375"/>
      <c r="E46" s="420"/>
      <c r="F46" s="352"/>
      <c r="G46" s="1061"/>
      <c r="H46" s="465"/>
      <c r="I46" s="260"/>
      <c r="J46" s="260"/>
      <c r="K46" s="260"/>
      <c r="L46" s="260"/>
      <c r="M46" s="260"/>
      <c r="N46" s="260"/>
      <c r="O46" s="260"/>
      <c r="P46" s="260"/>
      <c r="Q46" s="418"/>
      <c r="R46" s="230"/>
      <c r="S46" s="184"/>
      <c r="T46" s="184"/>
      <c r="U46" s="184"/>
      <c r="V46" s="184"/>
      <c r="W46" s="184"/>
      <c r="X46" s="184"/>
      <c r="Y46" s="184"/>
      <c r="Z46" s="184"/>
      <c r="AA46" s="184"/>
    </row>
    <row r="47" spans="3:27" ht="30" customHeight="1">
      <c r="C47" s="464"/>
      <c r="D47" s="375"/>
      <c r="E47" s="420"/>
      <c r="F47" s="352"/>
      <c r="G47" s="1062"/>
      <c r="H47" s="465"/>
      <c r="I47" s="260"/>
      <c r="J47" s="260"/>
      <c r="K47" s="260"/>
      <c r="L47" s="260"/>
      <c r="M47" s="260"/>
      <c r="N47" s="260"/>
      <c r="O47" s="260"/>
      <c r="P47" s="260"/>
      <c r="Q47" s="418"/>
      <c r="R47" s="230"/>
      <c r="S47" s="184"/>
      <c r="T47" s="184"/>
      <c r="U47" s="184"/>
      <c r="V47" s="184"/>
      <c r="W47" s="184"/>
      <c r="X47" s="184"/>
      <c r="Y47" s="184"/>
      <c r="Z47" s="184"/>
      <c r="AA47" s="184"/>
    </row>
    <row r="48" spans="3:27" ht="30" customHeight="1" collapsed="1">
      <c r="C48" s="464"/>
      <c r="D48" s="468"/>
      <c r="E48" s="420"/>
      <c r="F48" s="466"/>
      <c r="G48" s="1062"/>
      <c r="H48" s="465"/>
      <c r="I48" s="260"/>
      <c r="J48" s="260"/>
      <c r="K48" s="260"/>
      <c r="L48" s="260"/>
      <c r="M48" s="260"/>
      <c r="N48" s="260"/>
      <c r="O48" s="260"/>
      <c r="P48" s="260"/>
      <c r="Q48" s="418"/>
      <c r="R48" s="230"/>
      <c r="S48" s="184"/>
      <c r="T48" s="184"/>
      <c r="U48" s="184"/>
      <c r="V48" s="184"/>
      <c r="W48" s="184"/>
      <c r="X48" s="244"/>
      <c r="Y48" s="469"/>
      <c r="Z48" s="184"/>
      <c r="AA48" s="184"/>
    </row>
    <row r="49" spans="3:27" ht="30" hidden="1" customHeight="1" outlineLevel="1">
      <c r="C49" s="464"/>
      <c r="D49" s="468"/>
      <c r="E49" s="420"/>
      <c r="F49" s="466"/>
      <c r="G49" s="1062"/>
      <c r="H49" s="465"/>
      <c r="I49" s="260"/>
      <c r="J49" s="260"/>
      <c r="K49" s="260"/>
      <c r="L49" s="260"/>
      <c r="M49" s="260"/>
      <c r="N49" s="260"/>
      <c r="O49" s="260"/>
      <c r="P49" s="260"/>
      <c r="Q49" s="418"/>
      <c r="R49" s="230"/>
      <c r="S49" s="184"/>
      <c r="T49" s="184"/>
      <c r="U49" s="184"/>
      <c r="V49" s="184"/>
      <c r="W49" s="184"/>
      <c r="X49" s="244"/>
      <c r="Y49" s="469"/>
      <c r="Z49" s="184"/>
      <c r="AA49" s="184"/>
    </row>
    <row r="50" spans="3:27" ht="30" hidden="1" customHeight="1" outlineLevel="1">
      <c r="C50" s="464"/>
      <c r="D50" s="468"/>
      <c r="E50" s="420"/>
      <c r="F50" s="466"/>
      <c r="G50" s="1062"/>
      <c r="H50" s="465"/>
      <c r="I50" s="260"/>
      <c r="J50" s="260"/>
      <c r="K50" s="260"/>
      <c r="L50" s="260"/>
      <c r="M50" s="260"/>
      <c r="N50" s="260"/>
      <c r="O50" s="260"/>
      <c r="P50" s="260"/>
      <c r="Q50" s="418"/>
      <c r="R50" s="230"/>
      <c r="S50" s="184"/>
      <c r="T50" s="184"/>
      <c r="U50" s="184"/>
      <c r="V50" s="184"/>
      <c r="W50" s="184"/>
      <c r="X50" s="244"/>
      <c r="Y50" s="469"/>
      <c r="Z50" s="184"/>
      <c r="AA50" s="184"/>
    </row>
    <row r="51" spans="3:27" ht="30" hidden="1" customHeight="1" outlineLevel="1">
      <c r="C51" s="464"/>
      <c r="D51" s="468"/>
      <c r="E51" s="420"/>
      <c r="F51" s="466"/>
      <c r="G51" s="1062"/>
      <c r="H51" s="465"/>
      <c r="I51" s="260"/>
      <c r="J51" s="260"/>
      <c r="K51" s="260"/>
      <c r="L51" s="260"/>
      <c r="M51" s="260"/>
      <c r="N51" s="260"/>
      <c r="O51" s="260"/>
      <c r="P51" s="260"/>
      <c r="Q51" s="418"/>
      <c r="R51" s="230"/>
      <c r="S51" s="184"/>
      <c r="T51" s="184"/>
      <c r="U51" s="184"/>
      <c r="V51" s="184"/>
      <c r="W51" s="184"/>
      <c r="X51" s="244"/>
      <c r="Y51" s="469"/>
      <c r="Z51" s="184"/>
      <c r="AA51" s="184"/>
    </row>
    <row r="52" spans="3:27" ht="30" hidden="1" customHeight="1" outlineLevel="1">
      <c r="C52" s="464"/>
      <c r="D52" s="468"/>
      <c r="E52" s="420"/>
      <c r="F52" s="466"/>
      <c r="G52" s="1062"/>
      <c r="H52" s="465"/>
      <c r="I52" s="260"/>
      <c r="J52" s="260"/>
      <c r="K52" s="260"/>
      <c r="L52" s="260"/>
      <c r="M52" s="260"/>
      <c r="N52" s="260"/>
      <c r="O52" s="260"/>
      <c r="P52" s="260"/>
      <c r="Q52" s="418"/>
      <c r="R52" s="230"/>
      <c r="S52" s="184"/>
      <c r="T52" s="184"/>
      <c r="U52" s="184"/>
      <c r="V52" s="184"/>
      <c r="W52" s="184"/>
      <c r="X52" s="244"/>
      <c r="Y52" s="469"/>
      <c r="Z52" s="184"/>
      <c r="AA52" s="184"/>
    </row>
    <row r="53" spans="3:27" ht="30" hidden="1" customHeight="1" outlineLevel="1">
      <c r="C53" s="464"/>
      <c r="D53" s="468"/>
      <c r="E53" s="420"/>
      <c r="F53" s="466"/>
      <c r="G53" s="1062"/>
      <c r="H53" s="465"/>
      <c r="I53" s="260"/>
      <c r="J53" s="260"/>
      <c r="K53" s="260"/>
      <c r="L53" s="260"/>
      <c r="M53" s="260"/>
      <c r="N53" s="260"/>
      <c r="O53" s="260"/>
      <c r="P53" s="260"/>
      <c r="Q53" s="418"/>
      <c r="R53" s="230"/>
      <c r="S53" s="184"/>
      <c r="T53" s="184"/>
      <c r="U53" s="184"/>
      <c r="V53" s="184"/>
      <c r="W53" s="184"/>
      <c r="X53" s="244"/>
      <c r="Y53" s="469"/>
      <c r="Z53" s="184"/>
      <c r="AA53" s="184"/>
    </row>
    <row r="54" spans="3:27" ht="30" hidden="1" customHeight="1" outlineLevel="1">
      <c r="C54" s="464"/>
      <c r="D54" s="468"/>
      <c r="E54" s="420"/>
      <c r="F54" s="466"/>
      <c r="G54" s="1062"/>
      <c r="H54" s="465"/>
      <c r="I54" s="260"/>
      <c r="J54" s="260"/>
      <c r="K54" s="260"/>
      <c r="L54" s="260"/>
      <c r="M54" s="260"/>
      <c r="N54" s="260"/>
      <c r="O54" s="260"/>
      <c r="P54" s="260"/>
      <c r="Q54" s="418"/>
      <c r="R54" s="230"/>
      <c r="S54" s="184"/>
      <c r="T54" s="184"/>
      <c r="U54" s="184"/>
      <c r="V54" s="184"/>
      <c r="W54" s="184"/>
      <c r="X54" s="244"/>
      <c r="Y54" s="469"/>
      <c r="Z54" s="184"/>
      <c r="AA54" s="184"/>
    </row>
    <row r="55" spans="3:27" ht="30" hidden="1" customHeight="1" outlineLevel="1">
      <c r="C55" s="464"/>
      <c r="D55" s="468"/>
      <c r="E55" s="420"/>
      <c r="F55" s="466"/>
      <c r="G55" s="1062"/>
      <c r="H55" s="465"/>
      <c r="I55" s="260"/>
      <c r="J55" s="260"/>
      <c r="K55" s="260"/>
      <c r="L55" s="260"/>
      <c r="M55" s="260"/>
      <c r="N55" s="260"/>
      <c r="O55" s="260"/>
      <c r="P55" s="260"/>
      <c r="Q55" s="418"/>
      <c r="R55" s="230"/>
      <c r="S55" s="184"/>
      <c r="T55" s="184"/>
      <c r="U55" s="184"/>
      <c r="V55" s="184"/>
      <c r="W55" s="184"/>
      <c r="X55" s="244"/>
      <c r="Y55" s="469"/>
      <c r="Z55" s="184"/>
      <c r="AA55" s="184"/>
    </row>
    <row r="56" spans="3:27" ht="30" hidden="1" customHeight="1" outlineLevel="1">
      <c r="C56" s="464"/>
      <c r="D56" s="468"/>
      <c r="E56" s="420"/>
      <c r="F56" s="466"/>
      <c r="G56" s="1062"/>
      <c r="H56" s="465"/>
      <c r="I56" s="260"/>
      <c r="J56" s="260"/>
      <c r="K56" s="260"/>
      <c r="L56" s="260"/>
      <c r="M56" s="260"/>
      <c r="N56" s="260"/>
      <c r="O56" s="260"/>
      <c r="P56" s="260"/>
      <c r="Q56" s="418"/>
      <c r="R56" s="230"/>
      <c r="S56" s="184"/>
      <c r="T56" s="184"/>
      <c r="U56" s="184"/>
      <c r="V56" s="184"/>
      <c r="W56" s="184"/>
      <c r="X56" s="244"/>
      <c r="Y56" s="469"/>
      <c r="Z56" s="184"/>
      <c r="AA56" s="184"/>
    </row>
    <row r="57" spans="3:27" ht="30" hidden="1" customHeight="1" outlineLevel="1">
      <c r="C57" s="464"/>
      <c r="D57" s="468"/>
      <c r="E57" s="420"/>
      <c r="F57" s="466"/>
      <c r="G57" s="1062"/>
      <c r="H57" s="465"/>
      <c r="I57" s="260"/>
      <c r="J57" s="260"/>
      <c r="K57" s="260"/>
      <c r="L57" s="260"/>
      <c r="M57" s="260"/>
      <c r="N57" s="260"/>
      <c r="O57" s="260"/>
      <c r="P57" s="260"/>
      <c r="Q57" s="418"/>
      <c r="R57" s="230"/>
      <c r="S57" s="184"/>
      <c r="T57" s="184"/>
      <c r="U57" s="184"/>
      <c r="V57" s="184"/>
      <c r="W57" s="184"/>
      <c r="X57" s="244"/>
      <c r="Y57" s="469"/>
      <c r="Z57" s="184"/>
      <c r="AA57" s="184"/>
    </row>
    <row r="58" spans="3:27" ht="30" hidden="1" customHeight="1" outlineLevel="1">
      <c r="C58" s="464"/>
      <c r="D58" s="375"/>
      <c r="E58" s="420"/>
      <c r="F58" s="466"/>
      <c r="G58" s="1062"/>
      <c r="H58" s="465"/>
      <c r="I58" s="260"/>
      <c r="J58" s="260"/>
      <c r="K58" s="260"/>
      <c r="L58" s="260"/>
      <c r="M58" s="260"/>
      <c r="N58" s="260"/>
      <c r="O58" s="260"/>
      <c r="P58" s="260"/>
      <c r="Q58" s="418"/>
      <c r="R58" s="230"/>
      <c r="S58" s="184"/>
      <c r="T58" s="184"/>
      <c r="U58" s="184"/>
      <c r="V58" s="184"/>
      <c r="W58" s="184"/>
      <c r="X58" s="184"/>
      <c r="Y58" s="184"/>
      <c r="Z58" s="184"/>
      <c r="AA58" s="184"/>
    </row>
    <row r="59" spans="3:27" ht="30" hidden="1" customHeight="1" outlineLevel="1">
      <c r="C59" s="464"/>
      <c r="D59" s="375"/>
      <c r="E59" s="420"/>
      <c r="F59" s="348"/>
      <c r="G59" s="1055"/>
      <c r="H59" s="465"/>
      <c r="I59" s="260"/>
      <c r="J59" s="260"/>
      <c r="K59" s="260"/>
      <c r="L59" s="260"/>
      <c r="M59" s="260"/>
      <c r="N59" s="260"/>
      <c r="O59" s="260"/>
      <c r="P59" s="260"/>
      <c r="Q59" s="418"/>
      <c r="R59" s="230"/>
      <c r="S59" s="184"/>
      <c r="T59" s="184"/>
      <c r="U59" s="184"/>
      <c r="V59" s="184"/>
      <c r="W59" s="184"/>
      <c r="X59" s="184"/>
      <c r="Y59" s="184"/>
      <c r="Z59" s="184"/>
      <c r="AA59" s="184"/>
    </row>
    <row r="60" spans="3:27" ht="30" customHeight="1">
      <c r="C60" s="462"/>
      <c r="D60" s="1467" t="s">
        <v>352</v>
      </c>
      <c r="E60" s="1508"/>
      <c r="F60" s="1509"/>
      <c r="G60" s="1510"/>
      <c r="H60" s="260"/>
      <c r="I60" s="260"/>
      <c r="J60" s="260"/>
      <c r="K60" s="260"/>
      <c r="L60" s="260"/>
      <c r="M60" s="260"/>
      <c r="N60" s="260"/>
      <c r="O60" s="260"/>
      <c r="P60" s="260"/>
      <c r="Q60" s="418"/>
      <c r="R60" s="230"/>
      <c r="S60" s="184"/>
      <c r="T60" s="184"/>
      <c r="U60" s="184"/>
      <c r="V60" s="184"/>
      <c r="W60" s="184"/>
      <c r="X60" s="184"/>
      <c r="Y60" s="184"/>
      <c r="Z60" s="184"/>
      <c r="AA60" s="184"/>
    </row>
    <row r="61" spans="3:27" ht="30" customHeight="1">
      <c r="C61" s="464"/>
      <c r="D61" s="375"/>
      <c r="E61" s="420"/>
      <c r="F61" s="352"/>
      <c r="G61" s="1056"/>
      <c r="H61" s="465"/>
      <c r="I61" s="260"/>
      <c r="J61" s="260"/>
      <c r="K61" s="260"/>
      <c r="L61" s="260"/>
      <c r="M61" s="260"/>
      <c r="N61" s="260"/>
      <c r="O61" s="260"/>
      <c r="P61" s="260"/>
      <c r="Q61" s="418"/>
      <c r="R61" s="230"/>
      <c r="S61" s="184"/>
      <c r="T61" s="184"/>
      <c r="U61" s="184"/>
      <c r="V61" s="184"/>
      <c r="W61" s="184"/>
      <c r="X61" s="184"/>
      <c r="Y61" s="184"/>
      <c r="Z61" s="184"/>
      <c r="AA61" s="184"/>
    </row>
    <row r="62" spans="3:27" ht="30" customHeight="1">
      <c r="C62" s="464"/>
      <c r="D62" s="375"/>
      <c r="E62" s="420"/>
      <c r="F62" s="352"/>
      <c r="G62" s="1061"/>
      <c r="H62" s="1515"/>
      <c r="I62" s="1517" t="s">
        <v>353</v>
      </c>
      <c r="J62" s="1518"/>
      <c r="K62" s="1518"/>
      <c r="L62" s="1518"/>
      <c r="M62" s="1518"/>
      <c r="N62" s="1518"/>
      <c r="O62" s="1518"/>
      <c r="P62" s="1518"/>
      <c r="Q62" s="1519"/>
      <c r="R62" s="230"/>
      <c r="S62" s="184"/>
      <c r="T62" s="184"/>
      <c r="U62" s="184"/>
      <c r="V62" s="184"/>
      <c r="W62" s="184"/>
      <c r="X62" s="184"/>
      <c r="Y62" s="184"/>
      <c r="Z62" s="184"/>
      <c r="AA62" s="184"/>
    </row>
    <row r="63" spans="3:27" ht="30" customHeight="1">
      <c r="C63" s="464"/>
      <c r="D63" s="468"/>
      <c r="E63" s="420"/>
      <c r="F63" s="466"/>
      <c r="G63" s="1062"/>
      <c r="H63" s="1516"/>
      <c r="I63" s="1520"/>
      <c r="J63" s="1520"/>
      <c r="K63" s="1520"/>
      <c r="L63" s="1520"/>
      <c r="M63" s="1520"/>
      <c r="N63" s="1520"/>
      <c r="O63" s="1520"/>
      <c r="P63" s="1520"/>
      <c r="Q63" s="1521"/>
      <c r="R63" s="230"/>
      <c r="S63" s="184"/>
      <c r="T63" s="184"/>
      <c r="U63" s="184"/>
      <c r="V63" s="184"/>
      <c r="W63" s="184"/>
      <c r="X63" s="244"/>
      <c r="Y63" s="469"/>
      <c r="Z63" s="184"/>
      <c r="AA63" s="184"/>
    </row>
    <row r="64" spans="3:27" ht="30" customHeight="1" collapsed="1">
      <c r="C64" s="464"/>
      <c r="D64" s="468"/>
      <c r="E64" s="420"/>
      <c r="F64" s="466"/>
      <c r="G64" s="1062"/>
      <c r="H64" s="1516"/>
      <c r="I64" s="1520"/>
      <c r="J64" s="1520"/>
      <c r="K64" s="1520"/>
      <c r="L64" s="1520"/>
      <c r="M64" s="1520"/>
      <c r="N64" s="1520"/>
      <c r="O64" s="1520"/>
      <c r="P64" s="1520"/>
      <c r="Q64" s="1521"/>
      <c r="R64" s="230"/>
      <c r="S64" s="184"/>
      <c r="T64" s="184"/>
      <c r="U64" s="184"/>
      <c r="V64" s="184"/>
      <c r="W64" s="184"/>
      <c r="X64" s="244"/>
      <c r="Y64" s="469"/>
      <c r="Z64" s="184"/>
      <c r="AA64" s="184"/>
    </row>
    <row r="65" spans="3:27" ht="30" hidden="1" customHeight="1" outlineLevel="1">
      <c r="C65" s="464"/>
      <c r="D65" s="468"/>
      <c r="E65" s="420"/>
      <c r="F65" s="466"/>
      <c r="G65" s="1062"/>
      <c r="H65" s="1516"/>
      <c r="I65" s="260"/>
      <c r="J65" s="260"/>
      <c r="K65" s="260"/>
      <c r="L65" s="260"/>
      <c r="M65" s="260"/>
      <c r="N65" s="260"/>
      <c r="O65" s="260"/>
      <c r="P65" s="260"/>
      <c r="Q65" s="418"/>
      <c r="R65" s="230"/>
      <c r="S65" s="184"/>
      <c r="T65" s="184"/>
      <c r="U65" s="184"/>
      <c r="V65" s="184"/>
      <c r="W65" s="184"/>
      <c r="X65" s="244"/>
      <c r="Y65" s="469"/>
      <c r="Z65" s="184"/>
      <c r="AA65" s="184"/>
    </row>
    <row r="66" spans="3:27" ht="30" hidden="1" customHeight="1" outlineLevel="1">
      <c r="C66" s="464"/>
      <c r="D66" s="468"/>
      <c r="E66" s="420"/>
      <c r="F66" s="466"/>
      <c r="G66" s="1062"/>
      <c r="H66" s="1516"/>
      <c r="I66" s="260"/>
      <c r="J66" s="260"/>
      <c r="K66" s="260"/>
      <c r="L66" s="260"/>
      <c r="M66" s="260"/>
      <c r="N66" s="260"/>
      <c r="O66" s="260"/>
      <c r="P66" s="260"/>
      <c r="Q66" s="418"/>
      <c r="R66" s="230"/>
      <c r="S66" s="184"/>
      <c r="T66" s="184"/>
      <c r="U66" s="184"/>
      <c r="V66" s="184"/>
      <c r="W66" s="184"/>
      <c r="X66" s="244"/>
      <c r="Y66" s="469"/>
      <c r="Z66" s="184"/>
      <c r="AA66" s="184"/>
    </row>
    <row r="67" spans="3:27" ht="30" hidden="1" customHeight="1" outlineLevel="1">
      <c r="C67" s="464"/>
      <c r="D67" s="468"/>
      <c r="E67" s="420"/>
      <c r="F67" s="466"/>
      <c r="G67" s="1062"/>
      <c r="H67" s="1516"/>
      <c r="I67" s="260"/>
      <c r="J67" s="260"/>
      <c r="K67" s="260"/>
      <c r="L67" s="260"/>
      <c r="M67" s="260"/>
      <c r="N67" s="260"/>
      <c r="O67" s="260"/>
      <c r="P67" s="260"/>
      <c r="Q67" s="418"/>
      <c r="R67" s="230"/>
      <c r="S67" s="184"/>
      <c r="T67" s="184"/>
      <c r="U67" s="184"/>
      <c r="V67" s="184"/>
      <c r="W67" s="184"/>
      <c r="X67" s="244"/>
      <c r="Y67" s="469"/>
      <c r="Z67" s="184"/>
      <c r="AA67" s="184"/>
    </row>
    <row r="68" spans="3:27" ht="30" hidden="1" customHeight="1" outlineLevel="1">
      <c r="C68" s="464"/>
      <c r="D68" s="468"/>
      <c r="E68" s="420"/>
      <c r="F68" s="466"/>
      <c r="G68" s="1062"/>
      <c r="H68" s="1516"/>
      <c r="I68" s="260"/>
      <c r="J68" s="260"/>
      <c r="K68" s="260"/>
      <c r="L68" s="260"/>
      <c r="M68" s="260"/>
      <c r="N68" s="260"/>
      <c r="O68" s="260"/>
      <c r="P68" s="260"/>
      <c r="Q68" s="418"/>
      <c r="R68" s="230"/>
      <c r="S68" s="184"/>
      <c r="T68" s="184"/>
      <c r="U68" s="184"/>
      <c r="V68" s="184"/>
      <c r="W68" s="184"/>
      <c r="X68" s="244"/>
      <c r="Y68" s="469"/>
      <c r="Z68" s="184"/>
      <c r="AA68" s="184"/>
    </row>
    <row r="69" spans="3:27" ht="30" hidden="1" customHeight="1" outlineLevel="1">
      <c r="C69" s="464"/>
      <c r="D69" s="468"/>
      <c r="E69" s="420"/>
      <c r="F69" s="466"/>
      <c r="G69" s="1062"/>
      <c r="H69" s="1516"/>
      <c r="I69" s="260"/>
      <c r="J69" s="260"/>
      <c r="K69" s="260"/>
      <c r="L69" s="260"/>
      <c r="M69" s="260"/>
      <c r="N69" s="260"/>
      <c r="O69" s="260"/>
      <c r="P69" s="260"/>
      <c r="Q69" s="418"/>
      <c r="R69" s="230"/>
      <c r="S69" s="184"/>
      <c r="T69" s="184"/>
      <c r="U69" s="184"/>
      <c r="V69" s="184"/>
      <c r="W69" s="184"/>
      <c r="X69" s="244"/>
      <c r="Y69" s="469"/>
      <c r="Z69" s="184"/>
      <c r="AA69" s="184"/>
    </row>
    <row r="70" spans="3:27" ht="30" hidden="1" customHeight="1" outlineLevel="1">
      <c r="C70" s="464"/>
      <c r="D70" s="468"/>
      <c r="E70" s="420"/>
      <c r="F70" s="466"/>
      <c r="G70" s="1062"/>
      <c r="H70" s="1516"/>
      <c r="I70" s="260"/>
      <c r="J70" s="260"/>
      <c r="K70" s="260"/>
      <c r="L70" s="260"/>
      <c r="M70" s="260"/>
      <c r="N70" s="260"/>
      <c r="O70" s="260"/>
      <c r="P70" s="260"/>
      <c r="Q70" s="418"/>
      <c r="R70" s="230"/>
      <c r="S70" s="184"/>
      <c r="T70" s="184"/>
      <c r="U70" s="184"/>
      <c r="V70" s="184"/>
      <c r="W70" s="184"/>
      <c r="X70" s="244"/>
      <c r="Y70" s="469"/>
      <c r="Z70" s="184"/>
      <c r="AA70" s="184"/>
    </row>
    <row r="71" spans="3:27" ht="30" hidden="1" customHeight="1" outlineLevel="1">
      <c r="C71" s="464"/>
      <c r="D71" s="468"/>
      <c r="E71" s="420"/>
      <c r="F71" s="466"/>
      <c r="G71" s="1062"/>
      <c r="H71" s="1516"/>
      <c r="I71" s="260"/>
      <c r="J71" s="260"/>
      <c r="K71" s="260"/>
      <c r="L71" s="260"/>
      <c r="M71" s="260"/>
      <c r="N71" s="260"/>
      <c r="O71" s="260"/>
      <c r="P71" s="260"/>
      <c r="Q71" s="418"/>
      <c r="R71" s="230"/>
      <c r="S71" s="184"/>
      <c r="T71" s="184"/>
      <c r="U71" s="184"/>
      <c r="V71" s="184"/>
      <c r="W71" s="184"/>
      <c r="X71" s="244"/>
      <c r="Y71" s="469"/>
      <c r="Z71" s="184"/>
      <c r="AA71" s="184"/>
    </row>
    <row r="72" spans="3:27" ht="30" hidden="1" customHeight="1" outlineLevel="1">
      <c r="C72" s="464"/>
      <c r="D72" s="468"/>
      <c r="E72" s="420"/>
      <c r="F72" s="466"/>
      <c r="G72" s="1062"/>
      <c r="H72" s="1516"/>
      <c r="I72" s="260"/>
      <c r="J72" s="260"/>
      <c r="K72" s="260"/>
      <c r="L72" s="260"/>
      <c r="M72" s="260"/>
      <c r="N72" s="260"/>
      <c r="O72" s="260"/>
      <c r="P72" s="260"/>
      <c r="Q72" s="418"/>
      <c r="R72" s="230"/>
      <c r="S72" s="184"/>
      <c r="T72" s="184"/>
      <c r="U72" s="184"/>
      <c r="V72" s="184"/>
      <c r="W72" s="184"/>
      <c r="X72" s="244"/>
      <c r="Y72" s="469"/>
      <c r="Z72" s="184"/>
      <c r="AA72" s="184"/>
    </row>
    <row r="73" spans="3:27" ht="30" hidden="1" customHeight="1" outlineLevel="1">
      <c r="C73" s="464"/>
      <c r="D73" s="375"/>
      <c r="E73" s="420"/>
      <c r="F73" s="352"/>
      <c r="G73" s="1062"/>
      <c r="H73" s="1516"/>
      <c r="I73" s="471"/>
      <c r="J73" s="472"/>
      <c r="K73" s="472"/>
      <c r="L73" s="472"/>
      <c r="M73" s="472"/>
      <c r="N73" s="472"/>
      <c r="O73" s="472"/>
      <c r="P73" s="472"/>
      <c r="Q73" s="473"/>
      <c r="R73" s="230"/>
      <c r="S73" s="184"/>
      <c r="T73" s="184"/>
      <c r="U73" s="184"/>
      <c r="V73" s="184"/>
      <c r="W73" s="184"/>
      <c r="X73" s="184"/>
      <c r="Y73" s="184"/>
      <c r="Z73" s="184"/>
      <c r="AA73" s="184"/>
    </row>
    <row r="74" spans="3:27" ht="30" hidden="1" customHeight="1" outlineLevel="1">
      <c r="C74" s="464"/>
      <c r="D74" s="375"/>
      <c r="E74" s="420"/>
      <c r="F74" s="466"/>
      <c r="G74" s="1062"/>
      <c r="H74" s="1516"/>
      <c r="I74" s="472"/>
      <c r="J74" s="472"/>
      <c r="K74" s="472"/>
      <c r="L74" s="472"/>
      <c r="M74" s="472"/>
      <c r="N74" s="472"/>
      <c r="O74" s="472"/>
      <c r="P74" s="472"/>
      <c r="Q74" s="473"/>
      <c r="R74" s="230"/>
      <c r="S74" s="184"/>
      <c r="T74" s="184"/>
      <c r="U74" s="184"/>
      <c r="V74" s="184"/>
      <c r="W74" s="184"/>
      <c r="X74" s="184"/>
      <c r="Y74" s="184"/>
      <c r="Z74" s="184"/>
      <c r="AA74" s="184"/>
    </row>
    <row r="75" spans="3:27" ht="30" hidden="1" customHeight="1" outlineLevel="1">
      <c r="C75" s="464"/>
      <c r="D75" s="375"/>
      <c r="E75" s="420"/>
      <c r="F75" s="348"/>
      <c r="G75" s="1055"/>
      <c r="H75" s="1516"/>
      <c r="I75" s="472"/>
      <c r="J75" s="472"/>
      <c r="K75" s="472"/>
      <c r="L75" s="472"/>
      <c r="M75" s="472"/>
      <c r="N75" s="472"/>
      <c r="O75" s="472"/>
      <c r="P75" s="472"/>
      <c r="Q75" s="473"/>
      <c r="R75" s="230"/>
      <c r="S75" s="184"/>
      <c r="T75" s="184"/>
      <c r="U75" s="184"/>
      <c r="V75" s="184"/>
      <c r="W75" s="184"/>
      <c r="X75" s="184"/>
      <c r="Y75" s="184"/>
      <c r="Z75" s="184"/>
      <c r="AA75" s="184"/>
    </row>
    <row r="76" spans="3:27" ht="30" customHeight="1" thickBot="1">
      <c r="C76" s="474"/>
      <c r="D76" s="1512" t="s">
        <v>227</v>
      </c>
      <c r="E76" s="1512"/>
      <c r="F76" s="475"/>
      <c r="G76" s="1057"/>
      <c r="H76" s="476"/>
      <c r="I76" s="477"/>
      <c r="J76" s="477"/>
      <c r="K76" s="477"/>
      <c r="L76" s="477"/>
      <c r="M76" s="477"/>
      <c r="N76" s="477"/>
      <c r="O76" s="477"/>
      <c r="P76" s="477"/>
      <c r="Q76" s="478"/>
      <c r="R76" s="230"/>
      <c r="S76" s="184"/>
      <c r="T76" s="184"/>
      <c r="U76" s="184"/>
      <c r="V76" s="184"/>
      <c r="W76" s="184"/>
      <c r="X76" s="184"/>
      <c r="Y76" s="184"/>
      <c r="Z76" s="184"/>
      <c r="AA76" s="184"/>
    </row>
    <row r="77" spans="3:27" ht="18" customHeight="1">
      <c r="C77" s="1513" t="s">
        <v>354</v>
      </c>
      <c r="D77" s="1513"/>
      <c r="E77" s="1513"/>
      <c r="F77" s="1513"/>
      <c r="G77" s="1513"/>
      <c r="H77" s="1513"/>
      <c r="I77" s="1513"/>
      <c r="J77" s="1513"/>
      <c r="K77" s="1513"/>
      <c r="L77" s="1513"/>
      <c r="M77" s="1513"/>
      <c r="N77" s="1513"/>
      <c r="O77" s="1513"/>
      <c r="P77" s="1513"/>
      <c r="Q77" s="1513"/>
    </row>
    <row r="78" spans="3:27" ht="18" customHeight="1">
      <c r="C78" s="1514"/>
      <c r="D78" s="1514"/>
      <c r="E78" s="1514"/>
      <c r="F78" s="1514"/>
      <c r="G78" s="1514"/>
      <c r="H78" s="1514"/>
      <c r="I78" s="1514"/>
      <c r="J78" s="1514"/>
      <c r="K78" s="1514"/>
      <c r="L78" s="1514"/>
      <c r="M78" s="1514"/>
      <c r="N78" s="1514"/>
      <c r="O78" s="1514"/>
      <c r="P78" s="1514"/>
      <c r="Q78" s="1514"/>
    </row>
    <row r="79" spans="3:27" ht="18" customHeight="1">
      <c r="C79" s="1514"/>
      <c r="D79" s="1514"/>
      <c r="E79" s="1514"/>
      <c r="F79" s="1514"/>
      <c r="G79" s="1514"/>
      <c r="H79" s="1514"/>
      <c r="I79" s="1514"/>
      <c r="J79" s="1514"/>
      <c r="K79" s="1514"/>
      <c r="L79" s="1514"/>
      <c r="M79" s="1514"/>
      <c r="N79" s="1514"/>
      <c r="O79" s="1514"/>
      <c r="P79" s="1514"/>
      <c r="Q79" s="1514"/>
    </row>
    <row r="80" spans="3:27" ht="18" customHeight="1">
      <c r="N80" s="410"/>
      <c r="O80" s="410"/>
      <c r="P80" s="410"/>
      <c r="Q80" s="410"/>
    </row>
    <row r="81" spans="2:19" ht="18" customHeight="1">
      <c r="N81" s="410"/>
      <c r="O81" s="410"/>
      <c r="P81" s="410"/>
      <c r="Q81" s="410"/>
    </row>
    <row r="82" spans="2:19" ht="18" customHeight="1">
      <c r="B82" s="410"/>
      <c r="R82" s="411"/>
      <c r="S82" s="410"/>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1</xdr:col>
                <xdr:colOff>76200</xdr:colOff>
                <xdr:row>1</xdr:row>
                <xdr:rowOff>9525</xdr:rowOff>
              </from>
              <to>
                <xdr:col>4</xdr:col>
                <xdr:colOff>123825</xdr:colOff>
                <xdr:row>3</xdr:row>
                <xdr:rowOff>104775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1</xdr:col>
                <xdr:colOff>142875</xdr:colOff>
                <xdr:row>1</xdr:row>
                <xdr:rowOff>219075</xdr:rowOff>
              </from>
              <to>
                <xdr:col>4</xdr:col>
                <xdr:colOff>95250</xdr:colOff>
                <xdr:row>2</xdr:row>
                <xdr:rowOff>133350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4</xdr:col>
                <xdr:colOff>123825</xdr:colOff>
                <xdr:row>1</xdr:row>
                <xdr:rowOff>9525</xdr:rowOff>
              </from>
              <to>
                <xdr:col>4</xdr:col>
                <xdr:colOff>657225</xdr:colOff>
                <xdr:row>2</xdr:row>
                <xdr:rowOff>123825</xdr:rowOff>
              </to>
            </anchor>
          </controlPr>
        </control>
      </mc:Choice>
      <mc:Fallback>
        <control shapeId="9219" r:id="rId8" name="Label3"/>
      </mc:Fallback>
    </mc:AlternateContent>
    <mc:AlternateContent xmlns:mc="http://schemas.openxmlformats.org/markup-compatibility/2006">
      <mc:Choice Requires="x14">
        <control shapeId="9220" r:id="rId10" name="txt_sacchuuzai">
          <controlPr locked="0" defaultSize="0" print="0" autoLine="0" r:id="rId11">
            <anchor moveWithCells="1">
              <from>
                <xdr:col>4</xdr:col>
                <xdr:colOff>123825</xdr:colOff>
                <xdr:row>2</xdr:row>
                <xdr:rowOff>123825</xdr:rowOff>
              </from>
              <to>
                <xdr:col>4</xdr:col>
                <xdr:colOff>657225</xdr:colOff>
                <xdr:row>3</xdr:row>
                <xdr:rowOff>104775</xdr:rowOff>
              </to>
            </anchor>
          </controlPr>
        </control>
      </mc:Choice>
      <mc:Fallback>
        <control shapeId="9220" r:id="rId10" name="txt_sacchuuzai"/>
      </mc:Fallback>
    </mc:AlternateContent>
    <mc:AlternateContent xmlns:mc="http://schemas.openxmlformats.org/markup-compatibility/2006">
      <mc:Choice Requires="x14">
        <control shapeId="9221" r:id="rId12" name="btnKoushin1">
          <controlPr defaultSize="0" print="0" autoLine="0" r:id="rId13">
            <anchor moveWithCells="1">
              <from>
                <xdr:col>5</xdr:col>
                <xdr:colOff>542925</xdr:colOff>
                <xdr:row>1</xdr:row>
                <xdr:rowOff>9525</xdr:rowOff>
              </from>
              <to>
                <xdr:col>6</xdr:col>
                <xdr:colOff>0</xdr:colOff>
                <xdr:row>3</xdr:row>
                <xdr:rowOff>104775</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9">
            <anchor moveWithCells="1">
              <from>
                <xdr:col>4</xdr:col>
                <xdr:colOff>657225</xdr:colOff>
                <xdr:row>1</xdr:row>
                <xdr:rowOff>9525</xdr:rowOff>
              </from>
              <to>
                <xdr:col>4</xdr:col>
                <xdr:colOff>1190625</xdr:colOff>
                <xdr:row>2</xdr:row>
                <xdr:rowOff>123825</xdr:rowOff>
              </to>
            </anchor>
          </controlPr>
        </control>
      </mc:Choice>
      <mc:Fallback>
        <control shapeId="9222" r:id="rId14" name="Label4"/>
      </mc:Fallback>
    </mc:AlternateContent>
    <mc:AlternateContent xmlns:mc="http://schemas.openxmlformats.org/markup-compatibility/2006">
      <mc:Choice Requires="x14">
        <control shapeId="9223" r:id="rId15" name="txt_sakkinzai">
          <controlPr locked="0" defaultSize="0" print="0" autoLine="0" r:id="rId16">
            <anchor moveWithCells="1">
              <from>
                <xdr:col>4</xdr:col>
                <xdr:colOff>657225</xdr:colOff>
                <xdr:row>2</xdr:row>
                <xdr:rowOff>123825</xdr:rowOff>
              </from>
              <to>
                <xdr:col>4</xdr:col>
                <xdr:colOff>1190625</xdr:colOff>
                <xdr:row>3</xdr:row>
                <xdr:rowOff>104775</xdr:rowOff>
              </to>
            </anchor>
          </controlPr>
        </control>
      </mc:Choice>
      <mc:Fallback>
        <control shapeId="9223" r:id="rId15" name="txt_sakkinzai"/>
      </mc:Fallback>
    </mc:AlternateContent>
    <mc:AlternateContent xmlns:mc="http://schemas.openxmlformats.org/markup-compatibility/2006">
      <mc:Choice Requires="x14">
        <control shapeId="9224" r:id="rId17" name="Label5">
          <controlPr defaultSize="0" print="0" autoLine="0" r:id="rId18">
            <anchor moveWithCells="1">
              <from>
                <xdr:col>4</xdr:col>
                <xdr:colOff>1181100</xdr:colOff>
                <xdr:row>1</xdr:row>
                <xdr:rowOff>9525</xdr:rowOff>
              </from>
              <to>
                <xdr:col>5</xdr:col>
                <xdr:colOff>19050</xdr:colOff>
                <xdr:row>2</xdr:row>
                <xdr:rowOff>123825</xdr:rowOff>
              </to>
            </anchor>
          </controlPr>
        </control>
      </mc:Choice>
      <mc:Fallback>
        <control shapeId="9224" r:id="rId17" name="Label5"/>
      </mc:Fallback>
    </mc:AlternateContent>
    <mc:AlternateContent xmlns:mc="http://schemas.openxmlformats.org/markup-compatibility/2006">
      <mc:Choice Requires="x14">
        <control shapeId="9225" r:id="rId19" name="txt_sachuukin">
          <controlPr locked="0" defaultSize="0" print="0" autoLine="0" r:id="rId20">
            <anchor moveWithCells="1">
              <from>
                <xdr:col>4</xdr:col>
                <xdr:colOff>1181100</xdr:colOff>
                <xdr:row>2</xdr:row>
                <xdr:rowOff>123825</xdr:rowOff>
              </from>
              <to>
                <xdr:col>5</xdr:col>
                <xdr:colOff>19050</xdr:colOff>
                <xdr:row>3</xdr:row>
                <xdr:rowOff>104775</xdr:rowOff>
              </to>
            </anchor>
          </controlPr>
        </control>
      </mc:Choice>
      <mc:Fallback>
        <control shapeId="9225" r:id="rId19" name="txt_sachuukin"/>
      </mc:Fallback>
    </mc:AlternateContent>
    <mc:AlternateContent xmlns:mc="http://schemas.openxmlformats.org/markup-compatibility/2006">
      <mc:Choice Requires="x14">
        <control shapeId="9226" r:id="rId21" name="Label6">
          <controlPr defaultSize="0" print="0" autoLine="0" r:id="rId9">
            <anchor moveWithCells="1">
              <from>
                <xdr:col>5</xdr:col>
                <xdr:colOff>0</xdr:colOff>
                <xdr:row>1</xdr:row>
                <xdr:rowOff>9525</xdr:rowOff>
              </from>
              <to>
                <xdr:col>5</xdr:col>
                <xdr:colOff>533400</xdr:colOff>
                <xdr:row>2</xdr:row>
                <xdr:rowOff>123825</xdr:rowOff>
              </to>
            </anchor>
          </controlPr>
        </control>
      </mc:Choice>
      <mc:Fallback>
        <control shapeId="9226" r:id="rId21" name="Label6"/>
      </mc:Fallback>
    </mc:AlternateContent>
    <mc:AlternateContent xmlns:mc="http://schemas.openxmlformats.org/markup-compatibility/2006">
      <mc:Choice Requires="x14">
        <control shapeId="9227" r:id="rId22" name="txt_josouzai">
          <controlPr locked="0" defaultSize="0" print="0" autoLine="0" r:id="rId23">
            <anchor moveWithCells="1">
              <from>
                <xdr:col>5</xdr:col>
                <xdr:colOff>0</xdr:colOff>
                <xdr:row>2</xdr:row>
                <xdr:rowOff>123825</xdr:rowOff>
              </from>
              <to>
                <xdr:col>5</xdr:col>
                <xdr:colOff>533400</xdr:colOff>
                <xdr:row>3</xdr:row>
                <xdr:rowOff>104775</xdr:rowOff>
              </to>
            </anchor>
          </controlPr>
        </control>
      </mc:Choice>
      <mc:Fallback>
        <control shapeId="9227" r:id="rId22" name="txt_josouzai"/>
      </mc:Fallback>
    </mc:AlternateContent>
    <mc:AlternateContent xmlns:mc="http://schemas.openxmlformats.org/markup-compatibility/2006">
      <mc:Choice Requires="x14">
        <control shapeId="9228" r:id="rId24" name="Label7">
          <controlPr defaultSize="0" print="0" autoLine="0" r:id="rId25">
            <anchor moveWithCells="1">
              <from>
                <xdr:col>4</xdr:col>
                <xdr:colOff>190500</xdr:colOff>
                <xdr:row>1</xdr:row>
                <xdr:rowOff>123825</xdr:rowOff>
              </from>
              <to>
                <xdr:col>4</xdr:col>
                <xdr:colOff>590550</xdr:colOff>
                <xdr:row>2</xdr:row>
                <xdr:rowOff>57150</xdr:rowOff>
              </to>
            </anchor>
          </controlPr>
        </control>
      </mc:Choice>
      <mc:Fallback>
        <control shapeId="9228" r:id="rId24" name="Label7"/>
      </mc:Fallback>
    </mc:AlternateContent>
    <mc:AlternateContent xmlns:mc="http://schemas.openxmlformats.org/markup-compatibility/2006">
      <mc:Choice Requires="x14">
        <control shapeId="9229" r:id="rId26" name="Label8">
          <controlPr defaultSize="0" print="0" autoLine="0" r:id="rId27">
            <anchor moveWithCells="1">
              <from>
                <xdr:col>4</xdr:col>
                <xdr:colOff>723900</xdr:colOff>
                <xdr:row>1</xdr:row>
                <xdr:rowOff>123825</xdr:rowOff>
              </from>
              <to>
                <xdr:col>4</xdr:col>
                <xdr:colOff>1123950</xdr:colOff>
                <xdr:row>2</xdr:row>
                <xdr:rowOff>57150</xdr:rowOff>
              </to>
            </anchor>
          </controlPr>
        </control>
      </mc:Choice>
      <mc:Fallback>
        <control shapeId="9229" r:id="rId26" name="Label8"/>
      </mc:Fallback>
    </mc:AlternateContent>
    <mc:AlternateContent xmlns:mc="http://schemas.openxmlformats.org/markup-compatibility/2006">
      <mc:Choice Requires="x14">
        <control shapeId="9230" r:id="rId28" name="Label9">
          <controlPr defaultSize="0" print="0" autoLine="0" r:id="rId29">
            <anchor moveWithCells="1">
              <from>
                <xdr:col>4</xdr:col>
                <xdr:colOff>1257300</xdr:colOff>
                <xdr:row>1</xdr:row>
                <xdr:rowOff>66675</xdr:rowOff>
              </from>
              <to>
                <xdr:col>4</xdr:col>
                <xdr:colOff>1657350</xdr:colOff>
                <xdr:row>2</xdr:row>
                <xdr:rowOff>95250</xdr:rowOff>
              </to>
            </anchor>
          </controlPr>
        </control>
      </mc:Choice>
      <mc:Fallback>
        <control shapeId="9230" r:id="rId28" name="Label9"/>
      </mc:Fallback>
    </mc:AlternateContent>
    <mc:AlternateContent xmlns:mc="http://schemas.openxmlformats.org/markup-compatibility/2006">
      <mc:Choice Requires="x14">
        <control shapeId="9231" r:id="rId30" name="Label10">
          <controlPr defaultSize="0" print="0" autoLine="0" r:id="rId31">
            <anchor moveWithCells="1">
              <from>
                <xdr:col>5</xdr:col>
                <xdr:colOff>47625</xdr:colOff>
                <xdr:row>1</xdr:row>
                <xdr:rowOff>133350</xdr:rowOff>
              </from>
              <to>
                <xdr:col>5</xdr:col>
                <xdr:colOff>447675</xdr:colOff>
                <xdr:row>2</xdr:row>
                <xdr:rowOff>66675</xdr:rowOff>
              </to>
            </anchor>
          </controlPr>
        </control>
      </mc:Choice>
      <mc:Fallback>
        <control shapeId="9231" r:id="rId30"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201</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355</v>
      </c>
      <c r="C2" s="48"/>
      <c r="D2" s="48"/>
      <c r="E2" s="48"/>
      <c r="F2" s="48"/>
      <c r="G2" s="48"/>
      <c r="H2" s="48"/>
      <c r="I2" s="48"/>
      <c r="J2" s="48"/>
      <c r="K2" s="48"/>
      <c r="L2" s="48"/>
      <c r="M2" s="48"/>
      <c r="N2" s="48"/>
      <c r="O2" s="48"/>
      <c r="AK2" s="108" t="s">
        <v>355</v>
      </c>
      <c r="AL2" s="108"/>
      <c r="AM2" s="108"/>
    </row>
    <row r="3" spans="1:58" s="30" customFormat="1" ht="14.25" customHeight="1">
      <c r="B3" s="1542" t="s">
        <v>356</v>
      </c>
      <c r="C3" s="1542"/>
      <c r="D3" s="1542"/>
      <c r="E3" s="1542"/>
      <c r="F3" s="1542"/>
      <c r="G3" s="1542"/>
      <c r="H3" s="1542"/>
      <c r="I3" s="1542"/>
      <c r="J3" s="1542"/>
      <c r="K3" s="1542"/>
      <c r="L3" s="1542"/>
      <c r="M3" s="1542"/>
      <c r="N3" s="1542"/>
      <c r="O3" s="1542"/>
      <c r="P3" s="1542"/>
      <c r="Q3" s="1542"/>
      <c r="R3" s="1542"/>
      <c r="S3" s="1542"/>
      <c r="T3" s="1542"/>
      <c r="U3" s="1542"/>
      <c r="V3" s="1542"/>
      <c r="W3" s="1542"/>
      <c r="X3" s="1542"/>
      <c r="Y3" s="1542"/>
      <c r="AB3" s="2"/>
      <c r="AC3" s="2"/>
      <c r="AK3" s="147" t="s">
        <v>276</v>
      </c>
      <c r="AL3" s="147"/>
      <c r="AM3" s="147"/>
      <c r="AN3" s="147"/>
      <c r="AO3" s="147"/>
      <c r="AP3" s="2"/>
      <c r="AQ3" s="147"/>
      <c r="AR3" s="2"/>
      <c r="AS3" s="147"/>
      <c r="AT3" s="147"/>
      <c r="AU3" s="147"/>
      <c r="AV3" s="147"/>
      <c r="AW3" s="147"/>
      <c r="AX3" s="147"/>
      <c r="AY3" s="147"/>
      <c r="AZ3" s="147"/>
      <c r="BA3" s="147"/>
      <c r="BB3" s="147"/>
      <c r="BC3" s="147"/>
      <c r="BD3" s="147"/>
      <c r="BE3" s="147"/>
      <c r="BF3" s="147"/>
    </row>
    <row r="4" spans="1:58" s="30" customFormat="1" ht="14.25" customHeight="1">
      <c r="A4" s="108"/>
      <c r="B4" s="1542"/>
      <c r="C4" s="1542"/>
      <c r="D4" s="1542"/>
      <c r="E4" s="1542"/>
      <c r="F4" s="1542"/>
      <c r="G4" s="1542"/>
      <c r="H4" s="1542"/>
      <c r="I4" s="1542"/>
      <c r="J4" s="1542"/>
      <c r="K4" s="1542"/>
      <c r="L4" s="1542"/>
      <c r="M4" s="1542"/>
      <c r="N4" s="1542"/>
      <c r="O4" s="1542"/>
      <c r="P4" s="1542"/>
      <c r="Q4" s="1542"/>
      <c r="R4" s="1542"/>
      <c r="S4" s="1542"/>
      <c r="T4" s="1542"/>
      <c r="U4" s="1542"/>
      <c r="V4" s="1542"/>
      <c r="W4" s="1542"/>
      <c r="X4" s="1542"/>
      <c r="Y4" s="1542"/>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42"/>
      <c r="C5" s="1542"/>
      <c r="D5" s="1542"/>
      <c r="E5" s="1542"/>
      <c r="F5" s="1542"/>
      <c r="G5" s="1542"/>
      <c r="H5" s="1542"/>
      <c r="I5" s="1542"/>
      <c r="J5" s="1542"/>
      <c r="K5" s="1542"/>
      <c r="L5" s="1542"/>
      <c r="M5" s="1542"/>
      <c r="N5" s="1542"/>
      <c r="O5" s="1542"/>
      <c r="P5" s="1542"/>
      <c r="Q5" s="1542"/>
      <c r="R5" s="1542"/>
      <c r="S5" s="1542"/>
      <c r="T5" s="1542"/>
      <c r="U5" s="1542"/>
      <c r="V5" s="1542"/>
      <c r="W5" s="1542"/>
      <c r="X5" s="1542"/>
      <c r="Y5" s="1542"/>
    </row>
    <row r="6" spans="1:58" ht="14.1" customHeight="1">
      <c r="B6" s="1212" t="s">
        <v>298</v>
      </c>
      <c r="C6" s="1213"/>
      <c r="D6" s="1213"/>
      <c r="E6" s="1213"/>
      <c r="F6" s="1213"/>
      <c r="G6" s="1213"/>
      <c r="H6" s="1213"/>
      <c r="I6" s="1213"/>
      <c r="J6" s="1213"/>
      <c r="K6" s="1213"/>
      <c r="L6" s="1410"/>
      <c r="M6" s="1436" t="s">
        <v>357</v>
      </c>
      <c r="N6" s="479"/>
      <c r="O6" s="1152" t="s">
        <v>358</v>
      </c>
      <c r="P6" s="1154" t="s">
        <v>341</v>
      </c>
      <c r="Q6" s="1543"/>
      <c r="R6" s="1544"/>
      <c r="AK6" s="1511" t="s">
        <v>298</v>
      </c>
      <c r="AL6" s="1511"/>
      <c r="AM6" s="1511"/>
      <c r="AN6" s="1511"/>
      <c r="AO6" s="1522" t="s">
        <v>357</v>
      </c>
      <c r="AP6" s="1523"/>
      <c r="AQ6" s="1522" t="s">
        <v>278</v>
      </c>
      <c r="AR6" s="1523"/>
      <c r="AS6" s="1528" t="s">
        <v>359</v>
      </c>
    </row>
    <row r="7" spans="1:58" ht="14.1" customHeight="1">
      <c r="B7" s="1215"/>
      <c r="C7" s="1216"/>
      <c r="D7" s="1216"/>
      <c r="E7" s="1216"/>
      <c r="F7" s="1216"/>
      <c r="G7" s="1216"/>
      <c r="H7" s="1216"/>
      <c r="I7" s="1216"/>
      <c r="J7" s="1216"/>
      <c r="K7" s="1216"/>
      <c r="L7" s="1256"/>
      <c r="M7" s="1437"/>
      <c r="N7" s="1531" t="s">
        <v>132</v>
      </c>
      <c r="O7" s="1458"/>
      <c r="P7" s="1545"/>
      <c r="Q7" s="1546"/>
      <c r="R7" s="1547"/>
      <c r="AK7" s="1511"/>
      <c r="AL7" s="1511"/>
      <c r="AM7" s="1511"/>
      <c r="AN7" s="1511"/>
      <c r="AO7" s="1524"/>
      <c r="AP7" s="1525"/>
      <c r="AQ7" s="1524"/>
      <c r="AR7" s="1525"/>
      <c r="AS7" s="1529"/>
    </row>
    <row r="8" spans="1:58" ht="14.1" customHeight="1" thickBot="1">
      <c r="B8" s="1218"/>
      <c r="C8" s="1219"/>
      <c r="D8" s="1219"/>
      <c r="E8" s="1219"/>
      <c r="F8" s="1219"/>
      <c r="G8" s="1219"/>
      <c r="H8" s="1219"/>
      <c r="I8" s="1219"/>
      <c r="J8" s="1219"/>
      <c r="K8" s="1219"/>
      <c r="L8" s="1248"/>
      <c r="M8" s="1403"/>
      <c r="N8" s="1532"/>
      <c r="O8" s="1153"/>
      <c r="P8" s="1548"/>
      <c r="Q8" s="1546"/>
      <c r="R8" s="1547"/>
      <c r="S8" s="184"/>
      <c r="T8" s="184"/>
      <c r="U8" s="184"/>
      <c r="V8" s="184"/>
      <c r="W8" s="184"/>
      <c r="X8" s="184"/>
      <c r="Y8" s="184"/>
      <c r="Z8" s="184"/>
      <c r="AA8" s="184"/>
      <c r="AK8" s="1511"/>
      <c r="AL8" s="1511"/>
      <c r="AM8" s="1511"/>
      <c r="AN8" s="1511"/>
      <c r="AO8" s="1526"/>
      <c r="AP8" s="1527"/>
      <c r="AQ8" s="1526"/>
      <c r="AR8" s="1527"/>
      <c r="AS8" s="1530"/>
    </row>
    <row r="9" spans="1:58" ht="30" customHeight="1" thickTop="1" thickBot="1">
      <c r="B9" s="1533" t="s">
        <v>360</v>
      </c>
      <c r="C9" s="1534"/>
      <c r="D9" s="1534"/>
      <c r="E9" s="1534"/>
      <c r="F9" s="1534"/>
      <c r="G9" s="1534"/>
      <c r="H9" s="1534"/>
      <c r="I9" s="1534"/>
      <c r="J9" s="1534"/>
      <c r="K9" s="1534"/>
      <c r="L9" s="1535"/>
      <c r="M9" s="480"/>
      <c r="N9" s="481" t="s">
        <v>361</v>
      </c>
      <c r="O9" s="482"/>
      <c r="P9" s="1536"/>
      <c r="Q9" s="1537"/>
      <c r="R9" s="1538"/>
      <c r="S9" s="184"/>
      <c r="T9" s="184"/>
      <c r="U9" s="184"/>
      <c r="V9" s="184"/>
      <c r="W9" s="184"/>
      <c r="X9" s="184"/>
      <c r="Y9" s="184"/>
      <c r="Z9" s="184"/>
      <c r="AA9" s="184"/>
      <c r="AK9" s="1539" t="s">
        <v>362</v>
      </c>
      <c r="AL9" s="1540"/>
      <c r="AM9" s="1540"/>
      <c r="AN9" s="1541"/>
      <c r="AO9" s="483"/>
      <c r="AP9" s="483"/>
      <c r="AQ9" s="483"/>
      <c r="AR9" s="483"/>
      <c r="AS9" s="351">
        <f>IF(O9&gt;0,ROUND(O9*P9%,),SUM(AS10:AS17))</f>
        <v>0</v>
      </c>
    </row>
    <row r="10" spans="1:58" ht="30" customHeight="1" thickTop="1">
      <c r="B10" s="484"/>
      <c r="C10" s="1556" t="s">
        <v>363</v>
      </c>
      <c r="D10" s="485"/>
      <c r="E10" s="1468" t="s">
        <v>364</v>
      </c>
      <c r="F10" s="1468"/>
      <c r="G10" s="1468"/>
      <c r="H10" s="1468"/>
      <c r="I10" s="1468"/>
      <c r="J10" s="1468"/>
      <c r="K10" s="1468"/>
      <c r="L10" s="486"/>
      <c r="M10" s="423"/>
      <c r="N10" s="487" t="s">
        <v>365</v>
      </c>
      <c r="O10" s="488"/>
      <c r="P10" s="1559"/>
      <c r="Q10" s="1560"/>
      <c r="R10" s="1561"/>
      <c r="S10" s="489"/>
      <c r="T10" s="184"/>
      <c r="U10" s="184"/>
      <c r="V10" s="184"/>
      <c r="W10" s="184"/>
      <c r="X10" s="184"/>
      <c r="Y10" s="184"/>
      <c r="Z10" s="184"/>
      <c r="AA10" s="184"/>
      <c r="AK10" s="490"/>
      <c r="AL10" s="1562" t="s">
        <v>363</v>
      </c>
      <c r="AM10" s="1552" t="s">
        <v>364</v>
      </c>
      <c r="AN10" s="1553"/>
      <c r="AO10" s="351">
        <f>ROUND(M10*P10%,)</f>
        <v>0</v>
      </c>
      <c r="AP10" s="491" t="s">
        <v>366</v>
      </c>
      <c r="AQ10" s="492">
        <f>IF(AND(AO10&gt;0,AS10&gt;0),ROUND(AS10/AO10,2),)</f>
        <v>0</v>
      </c>
      <c r="AR10" s="491" t="s">
        <v>367</v>
      </c>
      <c r="AS10" s="351">
        <f>ROUND(O10*P10%,)</f>
        <v>0</v>
      </c>
    </row>
    <row r="11" spans="1:58" ht="30" customHeight="1">
      <c r="B11" s="484"/>
      <c r="C11" s="1557"/>
      <c r="D11" s="485"/>
      <c r="E11" s="1468" t="s">
        <v>368</v>
      </c>
      <c r="F11" s="1468"/>
      <c r="G11" s="1468"/>
      <c r="H11" s="1468"/>
      <c r="I11" s="1468"/>
      <c r="J11" s="1468"/>
      <c r="K11" s="1468"/>
      <c r="L11" s="486"/>
      <c r="M11" s="493"/>
      <c r="N11" s="494" t="s">
        <v>369</v>
      </c>
      <c r="O11" s="495"/>
      <c r="P11" s="1549"/>
      <c r="Q11" s="1550"/>
      <c r="R11" s="1551"/>
      <c r="S11" s="489"/>
      <c r="T11" s="184"/>
      <c r="U11" s="184"/>
      <c r="V11" s="184"/>
      <c r="W11" s="184"/>
      <c r="X11" s="184"/>
      <c r="Y11" s="184"/>
      <c r="Z11" s="184"/>
      <c r="AA11" s="184"/>
      <c r="AD11" s="184"/>
      <c r="AE11" s="184"/>
      <c r="AF11" s="184"/>
      <c r="AG11" s="184"/>
      <c r="AK11" s="490"/>
      <c r="AL11" s="1562"/>
      <c r="AM11" s="1552" t="s">
        <v>368</v>
      </c>
      <c r="AN11" s="1553"/>
      <c r="AO11" s="351">
        <f t="shared" ref="AO11:AO15" si="0">ROUND(M11*P11%,)</f>
        <v>0</v>
      </c>
      <c r="AP11" s="491" t="s">
        <v>366</v>
      </c>
      <c r="AQ11" s="492">
        <f t="shared" ref="AQ11:AQ15" si="1">IF(AND(AO11&gt;0,AS11&gt;0),ROUND(AS11/AO11,2),)</f>
        <v>0</v>
      </c>
      <c r="AR11" s="491" t="s">
        <v>367</v>
      </c>
      <c r="AS11" s="351">
        <f t="shared" ref="AS11:AS17" si="2">ROUND(O11*P11%,)</f>
        <v>0</v>
      </c>
    </row>
    <row r="12" spans="1:58" ht="30" customHeight="1">
      <c r="B12" s="484"/>
      <c r="C12" s="1557"/>
      <c r="D12" s="485"/>
      <c r="E12" s="1468" t="s">
        <v>370</v>
      </c>
      <c r="F12" s="1468"/>
      <c r="G12" s="1468"/>
      <c r="H12" s="1468"/>
      <c r="I12" s="1468"/>
      <c r="J12" s="1468"/>
      <c r="K12" s="1468"/>
      <c r="L12" s="486"/>
      <c r="M12" s="493"/>
      <c r="N12" s="494" t="s">
        <v>371</v>
      </c>
      <c r="O12" s="495"/>
      <c r="P12" s="1549"/>
      <c r="Q12" s="1550"/>
      <c r="R12" s="1551"/>
      <c r="S12" s="489"/>
      <c r="T12" s="184"/>
      <c r="U12" s="184"/>
      <c r="V12" s="184"/>
      <c r="W12" s="184"/>
      <c r="X12" s="184"/>
      <c r="Y12" s="184"/>
      <c r="Z12" s="184"/>
      <c r="AA12" s="184"/>
      <c r="AD12" s="184"/>
      <c r="AE12" s="184"/>
      <c r="AF12" s="184"/>
      <c r="AG12" s="184"/>
      <c r="AK12" s="490"/>
      <c r="AL12" s="1562"/>
      <c r="AM12" s="1552" t="s">
        <v>370</v>
      </c>
      <c r="AN12" s="1553"/>
      <c r="AO12" s="351">
        <f t="shared" si="0"/>
        <v>0</v>
      </c>
      <c r="AP12" s="491" t="s">
        <v>366</v>
      </c>
      <c r="AQ12" s="492">
        <f t="shared" si="1"/>
        <v>0</v>
      </c>
      <c r="AR12" s="491" t="s">
        <v>367</v>
      </c>
      <c r="AS12" s="351">
        <f t="shared" si="2"/>
        <v>0</v>
      </c>
    </row>
    <row r="13" spans="1:58" ht="30" customHeight="1">
      <c r="B13" s="484"/>
      <c r="C13" s="1557"/>
      <c r="D13" s="485"/>
      <c r="E13" s="1468" t="s">
        <v>372</v>
      </c>
      <c r="F13" s="1468"/>
      <c r="G13" s="1468"/>
      <c r="H13" s="1468"/>
      <c r="I13" s="1468"/>
      <c r="J13" s="1468"/>
      <c r="K13" s="1468"/>
      <c r="L13" s="486"/>
      <c r="M13" s="493"/>
      <c r="N13" s="494" t="s">
        <v>371</v>
      </c>
      <c r="O13" s="495"/>
      <c r="P13" s="1549"/>
      <c r="Q13" s="1550"/>
      <c r="R13" s="1551"/>
      <c r="S13" s="489"/>
      <c r="T13" s="184"/>
      <c r="U13" s="184"/>
      <c r="V13" s="184"/>
      <c r="W13" s="184"/>
      <c r="X13" s="184"/>
      <c r="Y13" s="184"/>
      <c r="Z13" s="184"/>
      <c r="AA13" s="184"/>
      <c r="AD13" s="184"/>
      <c r="AE13" s="184"/>
      <c r="AF13" s="184"/>
      <c r="AG13" s="184"/>
      <c r="AK13" s="490"/>
      <c r="AL13" s="1562"/>
      <c r="AM13" s="1552" t="s">
        <v>373</v>
      </c>
      <c r="AN13" s="1553"/>
      <c r="AO13" s="351">
        <f t="shared" si="0"/>
        <v>0</v>
      </c>
      <c r="AP13" s="491" t="s">
        <v>366</v>
      </c>
      <c r="AQ13" s="492">
        <f t="shared" si="1"/>
        <v>0</v>
      </c>
      <c r="AR13" s="491" t="s">
        <v>367</v>
      </c>
      <c r="AS13" s="351">
        <f t="shared" si="2"/>
        <v>0</v>
      </c>
    </row>
    <row r="14" spans="1:58" ht="30" customHeight="1">
      <c r="B14" s="484"/>
      <c r="C14" s="1557"/>
      <c r="D14" s="485"/>
      <c r="E14" s="1468" t="s">
        <v>374</v>
      </c>
      <c r="F14" s="1468"/>
      <c r="G14" s="1468"/>
      <c r="H14" s="1468"/>
      <c r="I14" s="1468"/>
      <c r="J14" s="1468"/>
      <c r="K14" s="1468"/>
      <c r="L14" s="486"/>
      <c r="M14" s="493"/>
      <c r="N14" s="494" t="s">
        <v>369</v>
      </c>
      <c r="O14" s="495"/>
      <c r="P14" s="1549"/>
      <c r="Q14" s="1550"/>
      <c r="R14" s="1551"/>
      <c r="S14" s="489"/>
      <c r="T14" s="184"/>
      <c r="U14" s="184"/>
      <c r="V14" s="184"/>
      <c r="W14" s="184"/>
      <c r="X14" s="184"/>
      <c r="Y14" s="184"/>
      <c r="Z14" s="184"/>
      <c r="AA14" s="184"/>
      <c r="AD14" s="184"/>
      <c r="AE14" s="184"/>
      <c r="AF14" s="184"/>
      <c r="AG14" s="184"/>
      <c r="AK14" s="490"/>
      <c r="AL14" s="1562"/>
      <c r="AM14" s="1552" t="s">
        <v>374</v>
      </c>
      <c r="AN14" s="1553"/>
      <c r="AO14" s="351">
        <f>ROUND(M14*P14%,)</f>
        <v>0</v>
      </c>
      <c r="AP14" s="491" t="s">
        <v>366</v>
      </c>
      <c r="AQ14" s="492">
        <f t="shared" si="1"/>
        <v>0</v>
      </c>
      <c r="AR14" s="491" t="s">
        <v>367</v>
      </c>
      <c r="AS14" s="351">
        <f t="shared" si="2"/>
        <v>0</v>
      </c>
    </row>
    <row r="15" spans="1:58" ht="30" customHeight="1">
      <c r="B15" s="484"/>
      <c r="C15" s="1558"/>
      <c r="D15" s="496"/>
      <c r="E15" s="1479" t="s">
        <v>375</v>
      </c>
      <c r="F15" s="1479"/>
      <c r="G15" s="1479"/>
      <c r="H15" s="1479"/>
      <c r="I15" s="1479"/>
      <c r="J15" s="1479"/>
      <c r="K15" s="1479"/>
      <c r="L15" s="497"/>
      <c r="M15" s="498"/>
      <c r="N15" s="494" t="s">
        <v>371</v>
      </c>
      <c r="O15" s="495"/>
      <c r="P15" s="1549"/>
      <c r="Q15" s="1550"/>
      <c r="R15" s="1551"/>
      <c r="S15" s="489"/>
      <c r="T15" s="184"/>
      <c r="U15" s="184"/>
      <c r="V15" s="184"/>
      <c r="W15" s="184"/>
      <c r="X15" s="184"/>
      <c r="Y15" s="184"/>
      <c r="Z15" s="184"/>
      <c r="AA15" s="184"/>
      <c r="AD15" s="184"/>
      <c r="AE15" s="184"/>
      <c r="AF15" s="184"/>
      <c r="AG15" s="184"/>
      <c r="AK15" s="490"/>
      <c r="AL15" s="1562"/>
      <c r="AM15" s="1552" t="s">
        <v>375</v>
      </c>
      <c r="AN15" s="1553"/>
      <c r="AO15" s="351">
        <f t="shared" si="0"/>
        <v>0</v>
      </c>
      <c r="AP15" s="491" t="s">
        <v>366</v>
      </c>
      <c r="AQ15" s="492">
        <f t="shared" si="1"/>
        <v>0</v>
      </c>
      <c r="AR15" s="491" t="s">
        <v>367</v>
      </c>
      <c r="AS15" s="351">
        <f t="shared" si="2"/>
        <v>0</v>
      </c>
    </row>
    <row r="16" spans="1:58" ht="30" customHeight="1">
      <c r="B16" s="499"/>
      <c r="C16" s="1496" t="s">
        <v>376</v>
      </c>
      <c r="D16" s="1554"/>
      <c r="E16" s="1554"/>
      <c r="F16" s="1554"/>
      <c r="G16" s="1554"/>
      <c r="H16" s="1554"/>
      <c r="I16" s="1554"/>
      <c r="J16" s="1554"/>
      <c r="K16" s="1554"/>
      <c r="L16" s="1555"/>
      <c r="M16" s="480"/>
      <c r="N16" s="500" t="s">
        <v>377</v>
      </c>
      <c r="O16" s="495"/>
      <c r="P16" s="1549"/>
      <c r="Q16" s="1550"/>
      <c r="R16" s="1551"/>
      <c r="S16" s="489"/>
      <c r="T16" s="184"/>
      <c r="U16" s="184"/>
      <c r="V16" s="184"/>
      <c r="W16" s="184"/>
      <c r="X16" s="184"/>
      <c r="Y16" s="184"/>
      <c r="Z16" s="184"/>
      <c r="AA16" s="184"/>
      <c r="AD16" s="184"/>
      <c r="AE16" s="184"/>
      <c r="AF16" s="184"/>
      <c r="AG16" s="184"/>
      <c r="AK16" s="490"/>
      <c r="AL16" s="1374" t="s">
        <v>378</v>
      </c>
      <c r="AM16" s="1375"/>
      <c r="AN16" s="1376"/>
      <c r="AO16" s="483"/>
      <c r="AP16" s="483"/>
      <c r="AQ16" s="483"/>
      <c r="AR16" s="483"/>
      <c r="AS16" s="351">
        <f t="shared" si="2"/>
        <v>0</v>
      </c>
    </row>
    <row r="17" spans="2:45" ht="30" customHeight="1" thickBot="1">
      <c r="B17" s="501"/>
      <c r="C17" s="1563" t="s">
        <v>379</v>
      </c>
      <c r="D17" s="1564"/>
      <c r="E17" s="1564"/>
      <c r="F17" s="1564"/>
      <c r="G17" s="1564"/>
      <c r="H17" s="1564"/>
      <c r="I17" s="1564"/>
      <c r="J17" s="1564"/>
      <c r="K17" s="1564"/>
      <c r="L17" s="1565"/>
      <c r="M17" s="502"/>
      <c r="N17" s="503" t="s">
        <v>361</v>
      </c>
      <c r="O17" s="504"/>
      <c r="P17" s="1566"/>
      <c r="Q17" s="1567"/>
      <c r="R17" s="1568"/>
      <c r="S17" s="489"/>
      <c r="T17" s="184"/>
      <c r="U17" s="184"/>
      <c r="V17" s="184"/>
      <c r="W17" s="184"/>
      <c r="X17" s="184"/>
      <c r="Y17" s="184"/>
      <c r="Z17" s="184"/>
      <c r="AA17" s="184"/>
      <c r="AD17" s="184"/>
      <c r="AE17" s="184"/>
      <c r="AF17" s="184"/>
      <c r="AG17" s="184"/>
      <c r="AK17" s="490"/>
      <c r="AL17" s="1569" t="s">
        <v>380</v>
      </c>
      <c r="AM17" s="1570"/>
      <c r="AN17" s="1571"/>
      <c r="AO17" s="505"/>
      <c r="AP17" s="505"/>
      <c r="AQ17" s="505"/>
      <c r="AR17" s="505"/>
      <c r="AS17" s="506">
        <f t="shared" si="2"/>
        <v>0</v>
      </c>
    </row>
    <row r="18" spans="2:45" ht="30" customHeight="1" thickTop="1">
      <c r="B18" s="1427" t="s">
        <v>279</v>
      </c>
      <c r="C18" s="1572"/>
      <c r="D18" s="1574"/>
      <c r="E18" s="1575"/>
      <c r="F18" s="1575"/>
      <c r="G18" s="1575"/>
      <c r="H18" s="1575"/>
      <c r="I18" s="1575"/>
      <c r="J18" s="1575"/>
      <c r="K18" s="1575"/>
      <c r="L18" s="1576"/>
      <c r="M18" s="507"/>
      <c r="N18" s="508"/>
      <c r="O18" s="1577"/>
      <c r="P18" s="1579"/>
      <c r="Q18" s="1580"/>
      <c r="R18" s="1581"/>
      <c r="S18" s="509"/>
      <c r="T18" s="184"/>
      <c r="U18" s="184"/>
      <c r="V18" s="184"/>
      <c r="W18" s="184"/>
      <c r="X18" s="184"/>
      <c r="Y18" s="184"/>
      <c r="Z18" s="184"/>
      <c r="AA18" s="184"/>
      <c r="AD18" s="184"/>
      <c r="AE18" s="184"/>
      <c r="AF18" s="184"/>
      <c r="AG18" s="184"/>
      <c r="AK18" s="1582" t="s">
        <v>279</v>
      </c>
      <c r="AL18" s="1583"/>
      <c r="AM18" s="1588">
        <f t="shared" ref="AM18:AM32" si="3">D18</f>
        <v>0</v>
      </c>
      <c r="AN18" s="1588"/>
      <c r="AO18" s="351">
        <f t="shared" ref="AO18:AO32" si="4">ROUND(M18*P18%,)</f>
        <v>0</v>
      </c>
      <c r="AP18" s="399">
        <f t="shared" ref="AP18:AP32" si="5">N18</f>
        <v>0</v>
      </c>
      <c r="AQ18" s="510"/>
      <c r="AR18" s="511" t="str">
        <f t="shared" ref="AR18:AR32" si="6">"円/"&amp;AP18</f>
        <v>円/0</v>
      </c>
      <c r="AS18" s="351">
        <f>ROUND(AO18*AQ18,)</f>
        <v>0</v>
      </c>
    </row>
    <row r="19" spans="2:45" ht="30" customHeight="1" collapsed="1" thickBot="1">
      <c r="B19" s="1429"/>
      <c r="C19" s="1573"/>
      <c r="D19" s="1589"/>
      <c r="E19" s="1590"/>
      <c r="F19" s="1590"/>
      <c r="G19" s="1590"/>
      <c r="H19" s="1590"/>
      <c r="I19" s="1590"/>
      <c r="J19" s="1590"/>
      <c r="K19" s="1590"/>
      <c r="L19" s="1591"/>
      <c r="M19" s="512"/>
      <c r="N19" s="513"/>
      <c r="O19" s="1578"/>
      <c r="P19" s="1592"/>
      <c r="Q19" s="1593"/>
      <c r="R19" s="1594"/>
      <c r="S19" s="509"/>
      <c r="T19" s="184"/>
      <c r="U19" s="184"/>
      <c r="V19" s="184"/>
      <c r="W19" s="184"/>
      <c r="X19" s="184"/>
      <c r="Y19" s="184"/>
      <c r="Z19" s="184"/>
      <c r="AA19" s="184"/>
      <c r="AD19" s="184"/>
      <c r="AE19" s="184"/>
      <c r="AF19" s="184"/>
      <c r="AG19" s="184"/>
      <c r="AK19" s="1584"/>
      <c r="AL19" s="1585"/>
      <c r="AM19" s="1588">
        <f t="shared" si="3"/>
        <v>0</v>
      </c>
      <c r="AN19" s="1588"/>
      <c r="AO19" s="351">
        <f t="shared" si="4"/>
        <v>0</v>
      </c>
      <c r="AP19" s="399">
        <f t="shared" si="5"/>
        <v>0</v>
      </c>
      <c r="AQ19" s="514"/>
      <c r="AR19" s="511" t="str">
        <f t="shared" si="6"/>
        <v>円/0</v>
      </c>
      <c r="AS19" s="351">
        <f t="shared" ref="AS19:AS32" si="7">ROUND(AO19*AQ19,)</f>
        <v>0</v>
      </c>
    </row>
    <row r="20" spans="2:45" ht="30" hidden="1" customHeight="1" outlineLevel="1">
      <c r="B20" s="1429"/>
      <c r="C20" s="1573"/>
      <c r="D20" s="1595"/>
      <c r="E20" s="1596"/>
      <c r="F20" s="1596"/>
      <c r="G20" s="1596"/>
      <c r="H20" s="1596"/>
      <c r="I20" s="1596"/>
      <c r="J20" s="1596"/>
      <c r="K20" s="1596"/>
      <c r="L20" s="1597"/>
      <c r="M20" s="515"/>
      <c r="N20" s="516"/>
      <c r="O20" s="1578"/>
      <c r="P20" s="1592"/>
      <c r="Q20" s="1593"/>
      <c r="R20" s="1594"/>
      <c r="S20" s="509"/>
      <c r="T20" s="184"/>
      <c r="U20" s="184"/>
      <c r="V20" s="184"/>
      <c r="W20" s="184"/>
      <c r="X20" s="184"/>
      <c r="Y20" s="184"/>
      <c r="Z20" s="184"/>
      <c r="AA20" s="184"/>
      <c r="AD20" s="184"/>
      <c r="AE20" s="184"/>
      <c r="AF20" s="184"/>
      <c r="AG20" s="184"/>
      <c r="AK20" s="1584"/>
      <c r="AL20" s="1585"/>
      <c r="AM20" s="1588">
        <f t="shared" si="3"/>
        <v>0</v>
      </c>
      <c r="AN20" s="1588"/>
      <c r="AO20" s="351">
        <f t="shared" si="4"/>
        <v>0</v>
      </c>
      <c r="AP20" s="399">
        <f t="shared" si="5"/>
        <v>0</v>
      </c>
      <c r="AQ20" s="514"/>
      <c r="AR20" s="511" t="str">
        <f t="shared" si="6"/>
        <v>円/0</v>
      </c>
      <c r="AS20" s="351">
        <f t="shared" si="7"/>
        <v>0</v>
      </c>
    </row>
    <row r="21" spans="2:45" ht="30" hidden="1" customHeight="1" outlineLevel="1">
      <c r="B21" s="1429"/>
      <c r="C21" s="1573"/>
      <c r="D21" s="1595"/>
      <c r="E21" s="1596"/>
      <c r="F21" s="1596"/>
      <c r="G21" s="1596"/>
      <c r="H21" s="1596"/>
      <c r="I21" s="1596"/>
      <c r="J21" s="1596"/>
      <c r="K21" s="1596"/>
      <c r="L21" s="1597"/>
      <c r="M21" s="515"/>
      <c r="N21" s="516"/>
      <c r="O21" s="1578"/>
      <c r="P21" s="1592"/>
      <c r="Q21" s="1593"/>
      <c r="R21" s="1594"/>
      <c r="S21" s="509"/>
      <c r="T21" s="184"/>
      <c r="U21" s="184"/>
      <c r="V21" s="184"/>
      <c r="W21" s="184"/>
      <c r="X21" s="184"/>
      <c r="Y21" s="184"/>
      <c r="Z21" s="184"/>
      <c r="AA21" s="184"/>
      <c r="AD21" s="184"/>
      <c r="AE21" s="184"/>
      <c r="AF21" s="184"/>
      <c r="AG21" s="184"/>
      <c r="AK21" s="1584"/>
      <c r="AL21" s="1585"/>
      <c r="AM21" s="1588">
        <f t="shared" si="3"/>
        <v>0</v>
      </c>
      <c r="AN21" s="1588"/>
      <c r="AO21" s="351">
        <f t="shared" si="4"/>
        <v>0</v>
      </c>
      <c r="AP21" s="399">
        <f t="shared" si="5"/>
        <v>0</v>
      </c>
      <c r="AQ21" s="514"/>
      <c r="AR21" s="511" t="str">
        <f t="shared" si="6"/>
        <v>円/0</v>
      </c>
      <c r="AS21" s="351">
        <f t="shared" si="7"/>
        <v>0</v>
      </c>
    </row>
    <row r="22" spans="2:45" ht="30" hidden="1" customHeight="1" outlineLevel="1">
      <c r="B22" s="1429"/>
      <c r="C22" s="1573"/>
      <c r="D22" s="1589"/>
      <c r="E22" s="1590"/>
      <c r="F22" s="1590"/>
      <c r="G22" s="1590"/>
      <c r="H22" s="1590"/>
      <c r="I22" s="1590"/>
      <c r="J22" s="1590"/>
      <c r="K22" s="1590"/>
      <c r="L22" s="1591"/>
      <c r="M22" s="512"/>
      <c r="N22" s="513"/>
      <c r="O22" s="1578"/>
      <c r="P22" s="1592"/>
      <c r="Q22" s="1593"/>
      <c r="R22" s="1594"/>
      <c r="S22" s="509"/>
      <c r="T22" s="184"/>
      <c r="U22" s="184"/>
      <c r="V22" s="184"/>
      <c r="W22" s="184"/>
      <c r="X22" s="184"/>
      <c r="Y22" s="184"/>
      <c r="Z22" s="184"/>
      <c r="AA22" s="184"/>
      <c r="AD22" s="184"/>
      <c r="AE22" s="184"/>
      <c r="AF22" s="184"/>
      <c r="AG22" s="184"/>
      <c r="AK22" s="1584"/>
      <c r="AL22" s="1585"/>
      <c r="AM22" s="1588">
        <f t="shared" si="3"/>
        <v>0</v>
      </c>
      <c r="AN22" s="1588"/>
      <c r="AO22" s="351">
        <f t="shared" si="4"/>
        <v>0</v>
      </c>
      <c r="AP22" s="399">
        <f t="shared" si="5"/>
        <v>0</v>
      </c>
      <c r="AQ22" s="514"/>
      <c r="AR22" s="511" t="str">
        <f t="shared" si="6"/>
        <v>円/0</v>
      </c>
      <c r="AS22" s="351">
        <f t="shared" si="7"/>
        <v>0</v>
      </c>
    </row>
    <row r="23" spans="2:45" ht="30" hidden="1" customHeight="1" outlineLevel="1">
      <c r="B23" s="1429"/>
      <c r="C23" s="1573"/>
      <c r="D23" s="1595"/>
      <c r="E23" s="1596"/>
      <c r="F23" s="1596"/>
      <c r="G23" s="1596"/>
      <c r="H23" s="1596"/>
      <c r="I23" s="1596"/>
      <c r="J23" s="1596"/>
      <c r="K23" s="1596"/>
      <c r="L23" s="1597"/>
      <c r="M23" s="515"/>
      <c r="N23" s="516"/>
      <c r="O23" s="1578"/>
      <c r="P23" s="1592"/>
      <c r="Q23" s="1593"/>
      <c r="R23" s="1594"/>
      <c r="S23" s="509"/>
      <c r="T23" s="184"/>
      <c r="U23" s="184"/>
      <c r="V23" s="184"/>
      <c r="W23" s="184"/>
      <c r="X23" s="184"/>
      <c r="Y23" s="184"/>
      <c r="Z23" s="184"/>
      <c r="AA23" s="184"/>
      <c r="AD23" s="184"/>
      <c r="AE23" s="184"/>
      <c r="AF23" s="184"/>
      <c r="AG23" s="184"/>
      <c r="AK23" s="1584"/>
      <c r="AL23" s="1585"/>
      <c r="AM23" s="1588">
        <f t="shared" si="3"/>
        <v>0</v>
      </c>
      <c r="AN23" s="1588"/>
      <c r="AO23" s="351">
        <f t="shared" si="4"/>
        <v>0</v>
      </c>
      <c r="AP23" s="399">
        <f t="shared" si="5"/>
        <v>0</v>
      </c>
      <c r="AQ23" s="514"/>
      <c r="AR23" s="511" t="str">
        <f t="shared" si="6"/>
        <v>円/0</v>
      </c>
      <c r="AS23" s="351">
        <f t="shared" si="7"/>
        <v>0</v>
      </c>
    </row>
    <row r="24" spans="2:45" ht="30" hidden="1" customHeight="1" outlineLevel="1">
      <c r="B24" s="1429"/>
      <c r="C24" s="1573"/>
      <c r="D24" s="1589"/>
      <c r="E24" s="1590"/>
      <c r="F24" s="1590"/>
      <c r="G24" s="1590"/>
      <c r="H24" s="1590"/>
      <c r="I24" s="1590"/>
      <c r="J24" s="1590"/>
      <c r="K24" s="1590"/>
      <c r="L24" s="1591"/>
      <c r="M24" s="512"/>
      <c r="N24" s="513"/>
      <c r="O24" s="1578"/>
      <c r="P24" s="1592"/>
      <c r="Q24" s="1593"/>
      <c r="R24" s="1594"/>
      <c r="S24" s="509"/>
      <c r="T24" s="184"/>
      <c r="U24" s="184"/>
      <c r="V24" s="184"/>
      <c r="W24" s="184"/>
      <c r="X24" s="184"/>
      <c r="Y24" s="184"/>
      <c r="Z24" s="184"/>
      <c r="AA24" s="184"/>
      <c r="AD24" s="184"/>
      <c r="AE24" s="184"/>
      <c r="AF24" s="184"/>
      <c r="AG24" s="184"/>
      <c r="AK24" s="1584"/>
      <c r="AL24" s="1585"/>
      <c r="AM24" s="1588">
        <f t="shared" si="3"/>
        <v>0</v>
      </c>
      <c r="AN24" s="1588"/>
      <c r="AO24" s="351">
        <f t="shared" si="4"/>
        <v>0</v>
      </c>
      <c r="AP24" s="399">
        <f t="shared" si="5"/>
        <v>0</v>
      </c>
      <c r="AQ24" s="514"/>
      <c r="AR24" s="511" t="str">
        <f t="shared" si="6"/>
        <v>円/0</v>
      </c>
      <c r="AS24" s="351">
        <f t="shared" si="7"/>
        <v>0</v>
      </c>
    </row>
    <row r="25" spans="2:45" ht="30" hidden="1" customHeight="1" outlineLevel="1">
      <c r="B25" s="1429"/>
      <c r="C25" s="1573"/>
      <c r="D25" s="1595"/>
      <c r="E25" s="1596"/>
      <c r="F25" s="1596"/>
      <c r="G25" s="1596"/>
      <c r="H25" s="1596"/>
      <c r="I25" s="1596"/>
      <c r="J25" s="1596"/>
      <c r="K25" s="1596"/>
      <c r="L25" s="1597"/>
      <c r="M25" s="515"/>
      <c r="N25" s="516"/>
      <c r="O25" s="1578"/>
      <c r="P25" s="1592"/>
      <c r="Q25" s="1593"/>
      <c r="R25" s="1594"/>
      <c r="S25" s="509"/>
      <c r="T25" s="184"/>
      <c r="U25" s="184"/>
      <c r="V25" s="184"/>
      <c r="W25" s="184"/>
      <c r="X25" s="184"/>
      <c r="Y25" s="184"/>
      <c r="Z25" s="184"/>
      <c r="AA25" s="184"/>
      <c r="AD25" s="184"/>
      <c r="AE25" s="184"/>
      <c r="AF25" s="184"/>
      <c r="AG25" s="184"/>
      <c r="AK25" s="1584"/>
      <c r="AL25" s="1585"/>
      <c r="AM25" s="1588">
        <f t="shared" si="3"/>
        <v>0</v>
      </c>
      <c r="AN25" s="1588"/>
      <c r="AO25" s="351">
        <f t="shared" si="4"/>
        <v>0</v>
      </c>
      <c r="AP25" s="399">
        <f t="shared" si="5"/>
        <v>0</v>
      </c>
      <c r="AQ25" s="514"/>
      <c r="AR25" s="511" t="str">
        <f t="shared" si="6"/>
        <v>円/0</v>
      </c>
      <c r="AS25" s="351">
        <f t="shared" si="7"/>
        <v>0</v>
      </c>
    </row>
    <row r="26" spans="2:45" ht="30" hidden="1" customHeight="1" outlineLevel="1">
      <c r="B26" s="1429"/>
      <c r="C26" s="1573"/>
      <c r="D26" s="1595"/>
      <c r="E26" s="1596"/>
      <c r="F26" s="1596"/>
      <c r="G26" s="1596"/>
      <c r="H26" s="1596"/>
      <c r="I26" s="1596"/>
      <c r="J26" s="1596"/>
      <c r="K26" s="1596"/>
      <c r="L26" s="1597"/>
      <c r="M26" s="515"/>
      <c r="N26" s="516"/>
      <c r="O26" s="1578"/>
      <c r="P26" s="1592"/>
      <c r="Q26" s="1593"/>
      <c r="R26" s="1594"/>
      <c r="S26" s="509"/>
      <c r="T26" s="184"/>
      <c r="U26" s="184"/>
      <c r="V26" s="184"/>
      <c r="W26" s="184"/>
      <c r="X26" s="184"/>
      <c r="Y26" s="184"/>
      <c r="Z26" s="184"/>
      <c r="AA26" s="184"/>
      <c r="AD26" s="184"/>
      <c r="AE26" s="184"/>
      <c r="AF26" s="184"/>
      <c r="AG26" s="184"/>
      <c r="AK26" s="1584"/>
      <c r="AL26" s="1585"/>
      <c r="AM26" s="1588">
        <f t="shared" si="3"/>
        <v>0</v>
      </c>
      <c r="AN26" s="1588"/>
      <c r="AO26" s="351">
        <f t="shared" si="4"/>
        <v>0</v>
      </c>
      <c r="AP26" s="399">
        <f t="shared" si="5"/>
        <v>0</v>
      </c>
      <c r="AQ26" s="514"/>
      <c r="AR26" s="511" t="str">
        <f t="shared" si="6"/>
        <v>円/0</v>
      </c>
      <c r="AS26" s="351">
        <f t="shared" si="7"/>
        <v>0</v>
      </c>
    </row>
    <row r="27" spans="2:45" ht="30" hidden="1" customHeight="1" outlineLevel="1">
      <c r="B27" s="1429"/>
      <c r="C27" s="1573"/>
      <c r="D27" s="1595"/>
      <c r="E27" s="1596"/>
      <c r="F27" s="1596"/>
      <c r="G27" s="1596"/>
      <c r="H27" s="1596"/>
      <c r="I27" s="1596"/>
      <c r="J27" s="1596"/>
      <c r="K27" s="1596"/>
      <c r="L27" s="1597"/>
      <c r="M27" s="515"/>
      <c r="N27" s="516"/>
      <c r="O27" s="1578"/>
      <c r="P27" s="1592"/>
      <c r="Q27" s="1593"/>
      <c r="R27" s="1594"/>
      <c r="S27" s="509"/>
      <c r="T27" s="184"/>
      <c r="U27" s="184"/>
      <c r="V27" s="184"/>
      <c r="W27" s="184"/>
      <c r="X27" s="184"/>
      <c r="Y27" s="184"/>
      <c r="Z27" s="184"/>
      <c r="AA27" s="184"/>
      <c r="AD27" s="184"/>
      <c r="AE27" s="184"/>
      <c r="AF27" s="184"/>
      <c r="AG27" s="184"/>
      <c r="AK27" s="1584"/>
      <c r="AL27" s="1585"/>
      <c r="AM27" s="1588">
        <f t="shared" si="3"/>
        <v>0</v>
      </c>
      <c r="AN27" s="1588"/>
      <c r="AO27" s="351">
        <f t="shared" si="4"/>
        <v>0</v>
      </c>
      <c r="AP27" s="399">
        <f t="shared" si="5"/>
        <v>0</v>
      </c>
      <c r="AQ27" s="514"/>
      <c r="AR27" s="511" t="str">
        <f t="shared" si="6"/>
        <v>円/0</v>
      </c>
      <c r="AS27" s="351">
        <f t="shared" si="7"/>
        <v>0</v>
      </c>
    </row>
    <row r="28" spans="2:45" ht="30" hidden="1" customHeight="1" outlineLevel="1">
      <c r="B28" s="1429"/>
      <c r="C28" s="1573"/>
      <c r="D28" s="1595"/>
      <c r="E28" s="1596"/>
      <c r="F28" s="1596"/>
      <c r="G28" s="1596"/>
      <c r="H28" s="1596"/>
      <c r="I28" s="1596"/>
      <c r="J28" s="1596"/>
      <c r="K28" s="1596"/>
      <c r="L28" s="1597"/>
      <c r="M28" s="515"/>
      <c r="N28" s="516"/>
      <c r="O28" s="1578"/>
      <c r="P28" s="1592"/>
      <c r="Q28" s="1593"/>
      <c r="R28" s="1594"/>
      <c r="S28" s="509"/>
      <c r="T28" s="184"/>
      <c r="U28" s="184"/>
      <c r="V28" s="184"/>
      <c r="W28" s="184"/>
      <c r="X28" s="184"/>
      <c r="Y28" s="184"/>
      <c r="Z28" s="184"/>
      <c r="AA28" s="184"/>
      <c r="AD28" s="184"/>
      <c r="AE28" s="184"/>
      <c r="AF28" s="184"/>
      <c r="AG28" s="184"/>
      <c r="AK28" s="1584"/>
      <c r="AL28" s="1585"/>
      <c r="AM28" s="1588">
        <f t="shared" si="3"/>
        <v>0</v>
      </c>
      <c r="AN28" s="1588"/>
      <c r="AO28" s="351">
        <f t="shared" si="4"/>
        <v>0</v>
      </c>
      <c r="AP28" s="399">
        <f t="shared" si="5"/>
        <v>0</v>
      </c>
      <c r="AQ28" s="514"/>
      <c r="AR28" s="511" t="str">
        <f t="shared" si="6"/>
        <v>円/0</v>
      </c>
      <c r="AS28" s="351">
        <f t="shared" si="7"/>
        <v>0</v>
      </c>
    </row>
    <row r="29" spans="2:45" ht="30" hidden="1" customHeight="1" outlineLevel="1">
      <c r="B29" s="1429"/>
      <c r="C29" s="1573"/>
      <c r="D29" s="1589"/>
      <c r="E29" s="1590"/>
      <c r="F29" s="1590"/>
      <c r="G29" s="1590"/>
      <c r="H29" s="1590"/>
      <c r="I29" s="1590"/>
      <c r="J29" s="1590"/>
      <c r="K29" s="1590"/>
      <c r="L29" s="1591"/>
      <c r="M29" s="512"/>
      <c r="N29" s="513"/>
      <c r="O29" s="1578"/>
      <c r="P29" s="1592"/>
      <c r="Q29" s="1593"/>
      <c r="R29" s="1594"/>
      <c r="S29" s="509"/>
      <c r="T29" s="184"/>
      <c r="U29" s="184"/>
      <c r="V29" s="184"/>
      <c r="W29" s="184"/>
      <c r="X29" s="184"/>
      <c r="Y29" s="184"/>
      <c r="Z29" s="184"/>
      <c r="AA29" s="184"/>
      <c r="AD29" s="184"/>
      <c r="AE29" s="184"/>
      <c r="AF29" s="184"/>
      <c r="AG29" s="184"/>
      <c r="AK29" s="1584"/>
      <c r="AL29" s="1585"/>
      <c r="AM29" s="1588">
        <f t="shared" si="3"/>
        <v>0</v>
      </c>
      <c r="AN29" s="1588"/>
      <c r="AO29" s="351">
        <f t="shared" si="4"/>
        <v>0</v>
      </c>
      <c r="AP29" s="399">
        <f t="shared" si="5"/>
        <v>0</v>
      </c>
      <c r="AQ29" s="514"/>
      <c r="AR29" s="511" t="str">
        <f t="shared" si="6"/>
        <v>円/0</v>
      </c>
      <c r="AS29" s="351">
        <f t="shared" si="7"/>
        <v>0</v>
      </c>
    </row>
    <row r="30" spans="2:45" ht="30" hidden="1" customHeight="1" outlineLevel="1">
      <c r="B30" s="1429"/>
      <c r="C30" s="1573"/>
      <c r="D30" s="1595"/>
      <c r="E30" s="1596"/>
      <c r="F30" s="1596"/>
      <c r="G30" s="1596"/>
      <c r="H30" s="1596"/>
      <c r="I30" s="1596"/>
      <c r="J30" s="1596"/>
      <c r="K30" s="1596"/>
      <c r="L30" s="1597"/>
      <c r="M30" s="515"/>
      <c r="N30" s="516"/>
      <c r="O30" s="1578"/>
      <c r="P30" s="1592"/>
      <c r="Q30" s="1593"/>
      <c r="R30" s="1594"/>
      <c r="S30" s="509"/>
      <c r="T30" s="184"/>
      <c r="U30" s="184"/>
      <c r="V30" s="184"/>
      <c r="W30" s="184"/>
      <c r="X30" s="184"/>
      <c r="Y30" s="184"/>
      <c r="Z30" s="184"/>
      <c r="AA30" s="184"/>
      <c r="AD30" s="184"/>
      <c r="AE30" s="184"/>
      <c r="AF30" s="184"/>
      <c r="AG30" s="184"/>
      <c r="AK30" s="1584"/>
      <c r="AL30" s="1585"/>
      <c r="AM30" s="1588">
        <f t="shared" si="3"/>
        <v>0</v>
      </c>
      <c r="AN30" s="1588"/>
      <c r="AO30" s="351">
        <f t="shared" si="4"/>
        <v>0</v>
      </c>
      <c r="AP30" s="399">
        <f t="shared" si="5"/>
        <v>0</v>
      </c>
      <c r="AQ30" s="514"/>
      <c r="AR30" s="511" t="str">
        <f t="shared" si="6"/>
        <v>円/0</v>
      </c>
      <c r="AS30" s="351">
        <f t="shared" si="7"/>
        <v>0</v>
      </c>
    </row>
    <row r="31" spans="2:45" ht="30" hidden="1" customHeight="1" outlineLevel="1">
      <c r="B31" s="1429"/>
      <c r="C31" s="1573"/>
      <c r="D31" s="1595"/>
      <c r="E31" s="1596"/>
      <c r="F31" s="1596"/>
      <c r="G31" s="1596"/>
      <c r="H31" s="1596"/>
      <c r="I31" s="1596"/>
      <c r="J31" s="1596"/>
      <c r="K31" s="1596"/>
      <c r="L31" s="1597"/>
      <c r="M31" s="515"/>
      <c r="N31" s="516"/>
      <c r="O31" s="1578"/>
      <c r="P31" s="1592"/>
      <c r="Q31" s="1593"/>
      <c r="R31" s="1594"/>
      <c r="S31" s="509"/>
      <c r="T31" s="184"/>
      <c r="U31" s="184"/>
      <c r="V31" s="184"/>
      <c r="W31" s="184"/>
      <c r="X31" s="184"/>
      <c r="Y31" s="184"/>
      <c r="Z31" s="184"/>
      <c r="AA31" s="184"/>
      <c r="AD31" s="184"/>
      <c r="AE31" s="184"/>
      <c r="AF31" s="184"/>
      <c r="AG31" s="184"/>
      <c r="AK31" s="1584"/>
      <c r="AL31" s="1585"/>
      <c r="AM31" s="1588">
        <f t="shared" si="3"/>
        <v>0</v>
      </c>
      <c r="AN31" s="1588"/>
      <c r="AO31" s="351">
        <f t="shared" si="4"/>
        <v>0</v>
      </c>
      <c r="AP31" s="399">
        <f t="shared" si="5"/>
        <v>0</v>
      </c>
      <c r="AQ31" s="514"/>
      <c r="AR31" s="511" t="str">
        <f t="shared" si="6"/>
        <v>円/0</v>
      </c>
      <c r="AS31" s="351">
        <f t="shared" si="7"/>
        <v>0</v>
      </c>
    </row>
    <row r="32" spans="2:45" ht="30" hidden="1" customHeight="1" outlineLevel="1" thickBot="1">
      <c r="B32" s="1429"/>
      <c r="C32" s="1573"/>
      <c r="D32" s="1598"/>
      <c r="E32" s="1599"/>
      <c r="F32" s="1599"/>
      <c r="G32" s="1599"/>
      <c r="H32" s="1599"/>
      <c r="I32" s="1599"/>
      <c r="J32" s="1599"/>
      <c r="K32" s="1599"/>
      <c r="L32" s="1600"/>
      <c r="M32" s="517"/>
      <c r="N32" s="518"/>
      <c r="O32" s="1578"/>
      <c r="P32" s="1601"/>
      <c r="Q32" s="1602"/>
      <c r="R32" s="1603"/>
      <c r="S32" s="509"/>
      <c r="T32" s="184"/>
      <c r="U32" s="184"/>
      <c r="V32" s="184"/>
      <c r="W32" s="184"/>
      <c r="X32" s="184"/>
      <c r="Y32" s="184"/>
      <c r="Z32" s="184"/>
      <c r="AA32" s="184"/>
      <c r="AD32" s="184"/>
      <c r="AE32" s="184"/>
      <c r="AF32" s="184"/>
      <c r="AG32" s="184"/>
      <c r="AK32" s="1586"/>
      <c r="AL32" s="1587"/>
      <c r="AM32" s="1588">
        <f t="shared" si="3"/>
        <v>0</v>
      </c>
      <c r="AN32" s="1588"/>
      <c r="AO32" s="351">
        <f t="shared" si="4"/>
        <v>0</v>
      </c>
      <c r="AP32" s="399">
        <f t="shared" si="5"/>
        <v>0</v>
      </c>
      <c r="AQ32" s="519"/>
      <c r="AR32" s="511" t="str">
        <f t="shared" si="6"/>
        <v>円/0</v>
      </c>
      <c r="AS32" s="351">
        <f t="shared" si="7"/>
        <v>0</v>
      </c>
    </row>
    <row r="33" spans="1:58" ht="30" customHeight="1" thickTop="1">
      <c r="B33" s="404"/>
      <c r="C33" s="404"/>
      <c r="D33" s="405"/>
      <c r="E33" s="405"/>
      <c r="F33" s="405"/>
      <c r="G33" s="405"/>
      <c r="H33" s="405"/>
      <c r="I33" s="405"/>
      <c r="J33" s="405"/>
      <c r="K33" s="405"/>
      <c r="L33" s="405"/>
      <c r="M33" s="405"/>
      <c r="N33" s="405"/>
      <c r="O33" s="404"/>
      <c r="P33" s="405"/>
      <c r="Q33" s="405"/>
      <c r="R33" s="405"/>
      <c r="AK33" s="1530" t="s">
        <v>381</v>
      </c>
      <c r="AL33" s="1530"/>
      <c r="AM33" s="1511"/>
      <c r="AN33" s="1511"/>
      <c r="AO33" s="483"/>
      <c r="AP33" s="483"/>
      <c r="AQ33" s="520"/>
      <c r="AR33" s="483"/>
      <c r="AS33" s="35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382</v>
      </c>
    </row>
    <row r="36" spans="1:58" ht="32.25" customHeight="1">
      <c r="AD36" s="184"/>
      <c r="AE36" s="184"/>
      <c r="AF36" s="184"/>
      <c r="AG36" s="184"/>
    </row>
    <row r="37" spans="1:58" s="30" customFormat="1" ht="14.25" customHeight="1">
      <c r="A37" s="2"/>
      <c r="B37" s="108" t="s">
        <v>383</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8" t="s">
        <v>383</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604" t="s">
        <v>384</v>
      </c>
      <c r="C38" s="1604"/>
      <c r="D38" s="1604"/>
      <c r="E38" s="1604"/>
      <c r="F38" s="1604"/>
      <c r="G38" s="1604"/>
      <c r="H38" s="1604"/>
      <c r="I38" s="1604"/>
      <c r="J38" s="1604"/>
      <c r="K38" s="1604"/>
      <c r="L38" s="1604"/>
      <c r="M38" s="1604"/>
      <c r="N38" s="1604"/>
      <c r="O38" s="1604"/>
      <c r="P38" s="1604"/>
      <c r="Q38" s="1604"/>
      <c r="R38" s="1604"/>
      <c r="S38" s="1604"/>
      <c r="T38" s="1604"/>
      <c r="U38" s="1604"/>
      <c r="V38" s="1604"/>
      <c r="W38" s="1604"/>
      <c r="X38" s="1604"/>
      <c r="Y38" s="1604"/>
      <c r="AB38" s="2"/>
      <c r="AC38" s="2"/>
      <c r="AD38" s="195"/>
      <c r="AE38" s="195"/>
      <c r="AF38" s="195"/>
      <c r="AG38" s="195"/>
      <c r="AK38" s="147"/>
      <c r="AL38" s="147"/>
      <c r="AM38" s="147"/>
      <c r="AN38" s="147"/>
      <c r="AO38" s="147"/>
      <c r="AQ38" s="147"/>
      <c r="AS38" s="147"/>
      <c r="AT38" s="147"/>
      <c r="AU38" s="147"/>
      <c r="AV38" s="147"/>
      <c r="AW38" s="147"/>
      <c r="AX38" s="147"/>
      <c r="AY38" s="147"/>
      <c r="AZ38" s="147"/>
      <c r="BA38" s="147"/>
      <c r="BB38" s="147"/>
      <c r="BC38" s="147"/>
      <c r="BD38" s="147"/>
      <c r="BE38" s="147"/>
      <c r="BF38" s="147"/>
    </row>
    <row r="39" spans="1:58" s="30" customFormat="1" ht="14.25" customHeight="1">
      <c r="A39" s="68"/>
      <c r="B39" s="1604"/>
      <c r="C39" s="1604"/>
      <c r="D39" s="1604"/>
      <c r="E39" s="1604"/>
      <c r="F39" s="1604"/>
      <c r="G39" s="1604"/>
      <c r="H39" s="1604"/>
      <c r="I39" s="1604"/>
      <c r="J39" s="1604"/>
      <c r="K39" s="1604"/>
      <c r="L39" s="1604"/>
      <c r="M39" s="1604"/>
      <c r="N39" s="1604"/>
      <c r="O39" s="1604"/>
      <c r="P39" s="1604"/>
      <c r="Q39" s="1604"/>
      <c r="R39" s="1604"/>
      <c r="S39" s="1604"/>
      <c r="T39" s="1604"/>
      <c r="U39" s="1604"/>
      <c r="V39" s="1604"/>
      <c r="W39" s="1604"/>
      <c r="X39" s="1604"/>
      <c r="Y39" s="1604"/>
      <c r="AB39" s="2"/>
      <c r="AC39" s="2"/>
      <c r="AK39" s="147"/>
      <c r="AL39" s="147"/>
      <c r="AM39" s="147"/>
      <c r="AN39" s="147"/>
      <c r="AO39" s="147"/>
      <c r="AP39" s="2"/>
      <c r="AQ39" s="147"/>
      <c r="AR39" s="2"/>
      <c r="AS39" s="147"/>
      <c r="AT39" s="147"/>
      <c r="AU39" s="147"/>
      <c r="AV39" s="147"/>
      <c r="AW39" s="147"/>
      <c r="AX39" s="147"/>
      <c r="AY39" s="147"/>
      <c r="AZ39" s="147"/>
      <c r="BA39" s="147"/>
      <c r="BB39" s="147"/>
      <c r="BC39" s="147"/>
      <c r="BD39" s="147"/>
      <c r="BE39" s="147"/>
      <c r="BF39" s="147"/>
    </row>
    <row r="40" spans="1:58" ht="14.25" customHeight="1">
      <c r="A40" s="68"/>
      <c r="B40" s="1604"/>
      <c r="C40" s="1604"/>
      <c r="D40" s="1604"/>
      <c r="E40" s="1604"/>
      <c r="F40" s="1604"/>
      <c r="G40" s="1604"/>
      <c r="H40" s="1604"/>
      <c r="I40" s="1604"/>
      <c r="J40" s="1604"/>
      <c r="K40" s="1604"/>
      <c r="L40" s="1604"/>
      <c r="M40" s="1604"/>
      <c r="N40" s="1604"/>
      <c r="O40" s="1604"/>
      <c r="P40" s="1604"/>
      <c r="Q40" s="1604"/>
      <c r="R40" s="1604"/>
      <c r="S40" s="1604"/>
      <c r="T40" s="1604"/>
      <c r="U40" s="1604"/>
      <c r="V40" s="1604"/>
      <c r="W40" s="1604"/>
      <c r="X40" s="1604"/>
      <c r="Y40" s="1604"/>
      <c r="Z40" s="30"/>
      <c r="AA40" s="30"/>
    </row>
    <row r="41" spans="1:58" ht="14.25" customHeight="1" thickBot="1">
      <c r="A41" s="68"/>
      <c r="B41" s="1604"/>
      <c r="C41" s="1604"/>
      <c r="D41" s="1604"/>
      <c r="E41" s="1604"/>
      <c r="F41" s="1604"/>
      <c r="G41" s="1604"/>
      <c r="H41" s="1604"/>
      <c r="I41" s="1604"/>
      <c r="J41" s="1604"/>
      <c r="K41" s="1604"/>
      <c r="L41" s="1604"/>
      <c r="M41" s="1604"/>
      <c r="N41" s="1604"/>
      <c r="O41" s="1604"/>
      <c r="P41" s="1604"/>
      <c r="Q41" s="1604"/>
      <c r="R41" s="1604"/>
      <c r="S41" s="1604"/>
      <c r="T41" s="1604"/>
      <c r="U41" s="1604"/>
      <c r="V41" s="1604"/>
      <c r="W41" s="1604"/>
      <c r="X41" s="1604"/>
      <c r="Y41" s="1604"/>
      <c r="Z41" s="30"/>
      <c r="AA41" s="30"/>
      <c r="AK41" s="147" t="s">
        <v>276</v>
      </c>
      <c r="AL41" s="147"/>
      <c r="AM41" s="147"/>
      <c r="AN41" s="147"/>
      <c r="AO41" s="147"/>
      <c r="AQ41" s="147"/>
      <c r="AS41" s="147"/>
    </row>
    <row r="42" spans="1:58" ht="14.25" customHeight="1">
      <c r="A42" s="341"/>
      <c r="B42" s="1212" t="s">
        <v>298</v>
      </c>
      <c r="C42" s="1213"/>
      <c r="D42" s="1213"/>
      <c r="E42" s="1213"/>
      <c r="F42" s="1213"/>
      <c r="G42" s="1213"/>
      <c r="H42" s="1213"/>
      <c r="I42" s="1213"/>
      <c r="J42" s="1213"/>
      <c r="K42" s="1213"/>
      <c r="L42" s="1410"/>
      <c r="M42" s="1436" t="s">
        <v>357</v>
      </c>
      <c r="N42" s="479"/>
      <c r="O42" s="1152" t="s">
        <v>358</v>
      </c>
      <c r="P42" s="1154" t="s">
        <v>341</v>
      </c>
      <c r="Q42" s="1543"/>
      <c r="R42" s="1544"/>
      <c r="W42" s="30"/>
      <c r="X42" s="30"/>
      <c r="Y42" s="30"/>
      <c r="Z42" s="30"/>
      <c r="AA42" s="30"/>
      <c r="AK42" s="1511" t="s">
        <v>298</v>
      </c>
      <c r="AL42" s="1511"/>
      <c r="AM42" s="1511"/>
      <c r="AN42" s="1511"/>
      <c r="AO42" s="1522" t="s">
        <v>357</v>
      </c>
      <c r="AP42" s="1523"/>
      <c r="AQ42" s="1522" t="s">
        <v>278</v>
      </c>
      <c r="AR42" s="1523"/>
      <c r="AS42" s="1528" t="s">
        <v>385</v>
      </c>
    </row>
    <row r="43" spans="1:58" ht="13.5" customHeight="1">
      <c r="A43" s="341"/>
      <c r="B43" s="1215"/>
      <c r="C43" s="1216"/>
      <c r="D43" s="1216"/>
      <c r="E43" s="1216"/>
      <c r="F43" s="1216"/>
      <c r="G43" s="1216"/>
      <c r="H43" s="1216"/>
      <c r="I43" s="1216"/>
      <c r="J43" s="1216"/>
      <c r="K43" s="1216"/>
      <c r="L43" s="1256"/>
      <c r="M43" s="1437"/>
      <c r="N43" s="1531" t="s">
        <v>132</v>
      </c>
      <c r="O43" s="1458"/>
      <c r="P43" s="1545"/>
      <c r="Q43" s="1546"/>
      <c r="R43" s="1547"/>
      <c r="AK43" s="1511"/>
      <c r="AL43" s="1511"/>
      <c r="AM43" s="1511"/>
      <c r="AN43" s="1511"/>
      <c r="AO43" s="1524"/>
      <c r="AP43" s="1525"/>
      <c r="AQ43" s="1524"/>
      <c r="AR43" s="1525"/>
      <c r="AS43" s="1529"/>
    </row>
    <row r="44" spans="1:58" ht="18" customHeight="1" thickBot="1">
      <c r="B44" s="1218"/>
      <c r="C44" s="1219"/>
      <c r="D44" s="1219"/>
      <c r="E44" s="1219"/>
      <c r="F44" s="1219"/>
      <c r="G44" s="1219"/>
      <c r="H44" s="1219"/>
      <c r="I44" s="1219"/>
      <c r="J44" s="1219"/>
      <c r="K44" s="1219"/>
      <c r="L44" s="1248"/>
      <c r="M44" s="1403"/>
      <c r="N44" s="1532"/>
      <c r="O44" s="1458"/>
      <c r="P44" s="1548"/>
      <c r="Q44" s="1546"/>
      <c r="R44" s="1547"/>
      <c r="S44" s="184"/>
      <c r="T44" s="184"/>
      <c r="U44" s="184"/>
      <c r="V44" s="184"/>
      <c r="W44" s="184"/>
      <c r="X44" s="184"/>
      <c r="AK44" s="1511"/>
      <c r="AL44" s="1511"/>
      <c r="AM44" s="1511"/>
      <c r="AN44" s="1511"/>
      <c r="AO44" s="1526"/>
      <c r="AP44" s="1527"/>
      <c r="AQ44" s="1526"/>
      <c r="AR44" s="1527"/>
      <c r="AS44" s="1530"/>
    </row>
    <row r="45" spans="1:58" ht="30" customHeight="1" thickTop="1" thickBot="1">
      <c r="B45" s="1533" t="s">
        <v>360</v>
      </c>
      <c r="C45" s="1534"/>
      <c r="D45" s="1534"/>
      <c r="E45" s="1534"/>
      <c r="F45" s="1534"/>
      <c r="G45" s="1534"/>
      <c r="H45" s="1534"/>
      <c r="I45" s="1534"/>
      <c r="J45" s="1534"/>
      <c r="K45" s="1534"/>
      <c r="L45" s="1535"/>
      <c r="M45" s="480"/>
      <c r="N45" s="481" t="s">
        <v>386</v>
      </c>
      <c r="O45" s="521"/>
      <c r="P45" s="1536"/>
      <c r="Q45" s="1537"/>
      <c r="R45" s="1538"/>
      <c r="S45" s="184"/>
      <c r="T45" s="184"/>
      <c r="U45" s="184"/>
      <c r="V45" s="184"/>
      <c r="W45" s="184"/>
      <c r="X45" s="184"/>
      <c r="AK45" s="1511" t="s">
        <v>387</v>
      </c>
      <c r="AL45" s="1511"/>
      <c r="AM45" s="1511"/>
      <c r="AN45" s="1511"/>
      <c r="AO45" s="483"/>
      <c r="AP45" s="483"/>
      <c r="AQ45" s="483"/>
      <c r="AR45" s="483"/>
      <c r="AS45" s="351">
        <f>IF(O45&gt;0,ROUND(O45*P45%,),SUM(AS46:AS47))</f>
        <v>0</v>
      </c>
    </row>
    <row r="46" spans="1:58" ht="30" customHeight="1" thickTop="1">
      <c r="B46" s="223"/>
      <c r="C46" s="1605" t="s">
        <v>388</v>
      </c>
      <c r="D46" s="1606"/>
      <c r="E46" s="1606"/>
      <c r="F46" s="1606"/>
      <c r="G46" s="1606"/>
      <c r="H46" s="1606"/>
      <c r="I46" s="1606"/>
      <c r="J46" s="1606"/>
      <c r="K46" s="1606"/>
      <c r="L46" s="1606"/>
      <c r="M46" s="425"/>
      <c r="N46" s="522" t="s">
        <v>335</v>
      </c>
      <c r="O46" s="523"/>
      <c r="P46" s="1607"/>
      <c r="Q46" s="1607"/>
      <c r="R46" s="1608"/>
      <c r="S46" s="489"/>
      <c r="T46" s="184"/>
      <c r="U46" s="184"/>
      <c r="V46" s="184"/>
      <c r="W46" s="184"/>
      <c r="X46" s="184"/>
      <c r="AK46" s="1609" t="s">
        <v>389</v>
      </c>
      <c r="AL46" s="1610"/>
      <c r="AM46" s="1610"/>
      <c r="AN46" s="1611"/>
      <c r="AO46" s="351">
        <f>ROUND(M46*P46%,)</f>
        <v>0</v>
      </c>
      <c r="AP46" s="491" t="s">
        <v>172</v>
      </c>
      <c r="AQ46" s="234">
        <f>IF(AND(AO46&gt;0,AS46&gt;0),ROUND(AS46/AO46,2),)</f>
        <v>0</v>
      </c>
      <c r="AR46" s="491" t="s">
        <v>390</v>
      </c>
      <c r="AS46" s="351">
        <f>ROUND(O46*P46%,)</f>
        <v>0</v>
      </c>
      <c r="BA46" s="2"/>
      <c r="BB46" s="2"/>
    </row>
    <row r="47" spans="1:58" ht="30" customHeight="1">
      <c r="B47" s="223"/>
      <c r="C47" s="1605" t="s">
        <v>227</v>
      </c>
      <c r="D47" s="1606"/>
      <c r="E47" s="1606"/>
      <c r="F47" s="1606"/>
      <c r="G47" s="1606"/>
      <c r="H47" s="1606"/>
      <c r="I47" s="1606"/>
      <c r="J47" s="1606"/>
      <c r="K47" s="1606"/>
      <c r="L47" s="1606"/>
      <c r="M47" s="1612"/>
      <c r="N47" s="1613"/>
      <c r="O47" s="1613"/>
      <c r="P47" s="1613"/>
      <c r="Q47" s="1613"/>
      <c r="R47" s="1614"/>
      <c r="S47" s="489"/>
      <c r="T47" s="184"/>
      <c r="U47" s="184"/>
      <c r="V47" s="184"/>
      <c r="W47" s="184"/>
      <c r="X47" s="184"/>
      <c r="AK47" s="1609" t="s">
        <v>227</v>
      </c>
      <c r="AL47" s="1610"/>
      <c r="AM47" s="1610"/>
      <c r="AN47" s="1611"/>
      <c r="AO47" s="483"/>
      <c r="AP47" s="483"/>
      <c r="AQ47" s="483"/>
      <c r="AR47" s="483"/>
      <c r="AS47" s="351">
        <f>SUMPRODUCT(ROUND((O48:O77)*(P48:R77)/100,))</f>
        <v>0</v>
      </c>
      <c r="BA47" s="2"/>
      <c r="BB47" s="2"/>
    </row>
    <row r="48" spans="1:58" ht="30" customHeight="1">
      <c r="B48" s="223"/>
      <c r="C48" s="490"/>
      <c r="D48" s="1615"/>
      <c r="E48" s="1616"/>
      <c r="F48" s="1616"/>
      <c r="G48" s="1616"/>
      <c r="H48" s="1616"/>
      <c r="I48" s="1616"/>
      <c r="J48" s="1616"/>
      <c r="K48" s="1616"/>
      <c r="L48" s="1617"/>
      <c r="M48" s="466"/>
      <c r="N48" s="524"/>
      <c r="O48" s="268"/>
      <c r="P48" s="1621"/>
      <c r="Q48" s="1622"/>
      <c r="R48" s="1623"/>
      <c r="S48" s="489"/>
      <c r="T48" s="184"/>
      <c r="U48" s="184"/>
      <c r="V48" s="184"/>
      <c r="W48" s="184"/>
      <c r="X48" s="184"/>
      <c r="AK48" s="525"/>
      <c r="AL48" s="525"/>
      <c r="AM48" s="525"/>
      <c r="AN48" s="525"/>
      <c r="AO48" s="526"/>
      <c r="AP48" s="526"/>
      <c r="AQ48" s="526"/>
      <c r="AR48" s="526"/>
      <c r="AS48" s="527"/>
      <c r="BA48" s="2"/>
      <c r="BB48" s="2"/>
    </row>
    <row r="49" spans="2:54" ht="30" customHeight="1">
      <c r="B49" s="223"/>
      <c r="C49" s="528"/>
      <c r="D49" s="1615"/>
      <c r="E49" s="1616"/>
      <c r="F49" s="1616"/>
      <c r="G49" s="1616"/>
      <c r="H49" s="1616"/>
      <c r="I49" s="1616"/>
      <c r="J49" s="1616"/>
      <c r="K49" s="1616"/>
      <c r="L49" s="1617"/>
      <c r="M49" s="352"/>
      <c r="N49" s="529"/>
      <c r="O49" s="235"/>
      <c r="P49" s="1618"/>
      <c r="Q49" s="1619"/>
      <c r="R49" s="1620"/>
      <c r="S49" s="489"/>
      <c r="T49" s="184"/>
      <c r="U49" s="184"/>
      <c r="V49" s="184"/>
      <c r="W49" s="184"/>
      <c r="X49" s="184"/>
      <c r="AK49" s="530"/>
      <c r="AL49" s="530"/>
      <c r="AM49" s="530"/>
      <c r="AN49" s="530"/>
      <c r="AO49" s="531"/>
      <c r="AP49" s="531"/>
      <c r="AQ49" s="531"/>
      <c r="AR49" s="531"/>
      <c r="AS49" s="407"/>
      <c r="BA49" s="2"/>
      <c r="BB49" s="2"/>
    </row>
    <row r="50" spans="2:54" ht="30" customHeight="1">
      <c r="B50" s="223"/>
      <c r="C50" s="532"/>
      <c r="D50" s="1615"/>
      <c r="E50" s="1616"/>
      <c r="F50" s="1616"/>
      <c r="G50" s="1616"/>
      <c r="H50" s="1616"/>
      <c r="I50" s="1616"/>
      <c r="J50" s="1616"/>
      <c r="K50" s="1616"/>
      <c r="L50" s="1617"/>
      <c r="M50" s="352"/>
      <c r="N50" s="529"/>
      <c r="O50" s="235"/>
      <c r="P50" s="1618"/>
      <c r="Q50" s="1619"/>
      <c r="R50" s="1620"/>
      <c r="S50" s="489"/>
      <c r="T50" s="184"/>
      <c r="U50" s="184"/>
      <c r="V50" s="184"/>
      <c r="W50" s="184"/>
      <c r="X50" s="184"/>
      <c r="Y50" s="184"/>
      <c r="Z50" s="184"/>
      <c r="AA50" s="184"/>
      <c r="AK50" s="530"/>
      <c r="AL50" s="530"/>
      <c r="AM50" s="530"/>
      <c r="AN50" s="530"/>
      <c r="AO50" s="531"/>
      <c r="AP50" s="531"/>
      <c r="AQ50" s="531"/>
      <c r="AR50" s="531"/>
      <c r="AS50" s="407"/>
      <c r="BA50" s="2"/>
      <c r="BB50" s="2"/>
    </row>
    <row r="51" spans="2:54" ht="30" customHeight="1" collapsed="1" thickBot="1">
      <c r="B51" s="223"/>
      <c r="C51" s="532"/>
      <c r="D51" s="1615"/>
      <c r="E51" s="1616"/>
      <c r="F51" s="1616"/>
      <c r="G51" s="1616"/>
      <c r="H51" s="1616"/>
      <c r="I51" s="1616"/>
      <c r="J51" s="1616"/>
      <c r="K51" s="1616"/>
      <c r="L51" s="1617"/>
      <c r="M51" s="352"/>
      <c r="N51" s="529"/>
      <c r="O51" s="235"/>
      <c r="P51" s="1618"/>
      <c r="Q51" s="1619"/>
      <c r="R51" s="1620"/>
      <c r="S51" s="489"/>
      <c r="T51" s="184"/>
      <c r="U51" s="184"/>
      <c r="V51" s="184"/>
      <c r="W51" s="184"/>
      <c r="X51" s="184"/>
      <c r="Y51" s="184"/>
      <c r="Z51" s="184"/>
      <c r="AA51" s="184"/>
      <c r="AK51" s="530"/>
      <c r="AL51" s="530"/>
      <c r="AM51" s="530"/>
      <c r="AN51" s="530"/>
      <c r="AO51" s="531"/>
      <c r="AP51" s="531"/>
      <c r="AQ51" s="531"/>
      <c r="AR51" s="531"/>
      <c r="AS51" s="407"/>
      <c r="BA51" s="2"/>
      <c r="BB51" s="2"/>
    </row>
    <row r="52" spans="2:54" ht="30" hidden="1" customHeight="1" outlineLevel="1">
      <c r="B52" s="223"/>
      <c r="C52" s="532"/>
      <c r="D52" s="1615"/>
      <c r="E52" s="1616"/>
      <c r="F52" s="1616"/>
      <c r="G52" s="1616"/>
      <c r="H52" s="1616"/>
      <c r="I52" s="1616"/>
      <c r="J52" s="1616"/>
      <c r="K52" s="1616"/>
      <c r="L52" s="1617"/>
      <c r="M52" s="352"/>
      <c r="N52" s="529"/>
      <c r="O52" s="235"/>
      <c r="P52" s="1618"/>
      <c r="Q52" s="1619"/>
      <c r="R52" s="1620"/>
      <c r="S52" s="489"/>
      <c r="T52" s="184"/>
      <c r="U52" s="184"/>
      <c r="V52" s="184"/>
      <c r="W52" s="184"/>
      <c r="X52" s="184"/>
      <c r="Y52" s="184"/>
      <c r="Z52" s="184"/>
      <c r="AA52" s="184"/>
      <c r="AK52" s="530"/>
      <c r="AL52" s="530"/>
      <c r="AM52" s="530"/>
      <c r="AN52" s="530"/>
      <c r="AO52" s="531"/>
      <c r="AP52" s="531"/>
      <c r="AQ52" s="531"/>
      <c r="AR52" s="531"/>
      <c r="AS52" s="407"/>
      <c r="BA52" s="2"/>
      <c r="BB52" s="2"/>
    </row>
    <row r="53" spans="2:54" ht="30" hidden="1" customHeight="1" outlineLevel="1">
      <c r="B53" s="223"/>
      <c r="C53" s="532"/>
      <c r="D53" s="1615"/>
      <c r="E53" s="1616"/>
      <c r="F53" s="1616"/>
      <c r="G53" s="1616"/>
      <c r="H53" s="1616"/>
      <c r="I53" s="1616"/>
      <c r="J53" s="1616"/>
      <c r="K53" s="1616"/>
      <c r="L53" s="1617"/>
      <c r="M53" s="352"/>
      <c r="N53" s="529"/>
      <c r="O53" s="235"/>
      <c r="P53" s="1618"/>
      <c r="Q53" s="1619"/>
      <c r="R53" s="1620"/>
      <c r="S53" s="489"/>
      <c r="T53" s="184"/>
      <c r="U53" s="184"/>
      <c r="V53" s="184"/>
      <c r="W53" s="184"/>
      <c r="X53" s="184"/>
      <c r="Y53" s="184"/>
      <c r="Z53" s="184"/>
      <c r="AA53" s="184"/>
      <c r="AK53" s="530"/>
      <c r="AL53" s="530"/>
      <c r="AM53" s="530"/>
      <c r="AN53" s="530"/>
      <c r="AO53" s="531"/>
      <c r="AP53" s="531"/>
      <c r="AQ53" s="531"/>
      <c r="AR53" s="531"/>
      <c r="AS53" s="407"/>
      <c r="BA53" s="2"/>
      <c r="BB53" s="2"/>
    </row>
    <row r="54" spans="2:54" ht="30" hidden="1" customHeight="1" outlineLevel="1">
      <c r="B54" s="223"/>
      <c r="C54" s="532"/>
      <c r="D54" s="1615"/>
      <c r="E54" s="1616"/>
      <c r="F54" s="1616"/>
      <c r="G54" s="1616"/>
      <c r="H54" s="1616"/>
      <c r="I54" s="1616"/>
      <c r="J54" s="1616"/>
      <c r="K54" s="1616"/>
      <c r="L54" s="1617"/>
      <c r="M54" s="352"/>
      <c r="N54" s="529"/>
      <c r="O54" s="235"/>
      <c r="P54" s="1618"/>
      <c r="Q54" s="1619"/>
      <c r="R54" s="1620"/>
      <c r="S54" s="489"/>
      <c r="T54" s="184"/>
      <c r="U54" s="184"/>
      <c r="V54" s="184"/>
      <c r="W54" s="184"/>
      <c r="X54" s="184"/>
      <c r="Y54" s="184"/>
      <c r="Z54" s="184"/>
      <c r="AA54" s="184"/>
      <c r="AK54" s="530"/>
      <c r="AL54" s="530"/>
      <c r="AM54" s="530"/>
      <c r="AN54" s="530"/>
      <c r="AO54" s="531"/>
      <c r="AP54" s="531"/>
      <c r="AQ54" s="531"/>
      <c r="AR54" s="531"/>
      <c r="AS54" s="407"/>
      <c r="BA54" s="2"/>
      <c r="BB54" s="2"/>
    </row>
    <row r="55" spans="2:54" ht="30" hidden="1" customHeight="1" outlineLevel="1">
      <c r="B55" s="223"/>
      <c r="C55" s="532"/>
      <c r="D55" s="1615"/>
      <c r="E55" s="1616"/>
      <c r="F55" s="1616"/>
      <c r="G55" s="1616"/>
      <c r="H55" s="1616"/>
      <c r="I55" s="1616"/>
      <c r="J55" s="1616"/>
      <c r="K55" s="1616"/>
      <c r="L55" s="1617"/>
      <c r="M55" s="352"/>
      <c r="N55" s="529"/>
      <c r="O55" s="235"/>
      <c r="P55" s="1618"/>
      <c r="Q55" s="1619"/>
      <c r="R55" s="1620"/>
      <c r="S55" s="489"/>
      <c r="T55" s="184"/>
      <c r="U55" s="184"/>
      <c r="V55" s="184"/>
      <c r="W55" s="184"/>
      <c r="X55" s="184"/>
      <c r="Y55" s="184"/>
      <c r="Z55" s="184"/>
      <c r="AA55" s="184"/>
      <c r="AK55" s="530"/>
      <c r="AL55" s="530"/>
      <c r="AM55" s="530"/>
      <c r="AN55" s="530"/>
      <c r="AO55" s="531"/>
      <c r="AP55" s="531"/>
      <c r="AQ55" s="531"/>
      <c r="AR55" s="531"/>
      <c r="AS55" s="407"/>
      <c r="BA55" s="2"/>
      <c r="BB55" s="2"/>
    </row>
    <row r="56" spans="2:54" ht="30" hidden="1" customHeight="1" outlineLevel="1">
      <c r="B56" s="223"/>
      <c r="C56" s="532"/>
      <c r="D56" s="1615"/>
      <c r="E56" s="1616"/>
      <c r="F56" s="1616"/>
      <c r="G56" s="1616"/>
      <c r="H56" s="1616"/>
      <c r="I56" s="1616"/>
      <c r="J56" s="1616"/>
      <c r="K56" s="1616"/>
      <c r="L56" s="1617"/>
      <c r="M56" s="352"/>
      <c r="N56" s="529"/>
      <c r="O56" s="235"/>
      <c r="P56" s="1618"/>
      <c r="Q56" s="1619"/>
      <c r="R56" s="1620"/>
      <c r="S56" s="489"/>
      <c r="T56" s="184"/>
      <c r="U56" s="184"/>
      <c r="V56" s="184"/>
      <c r="W56" s="184"/>
      <c r="X56" s="184"/>
      <c r="Y56" s="184"/>
      <c r="Z56" s="184"/>
      <c r="AA56" s="184"/>
      <c r="AK56" s="530"/>
      <c r="AL56" s="530"/>
      <c r="AM56" s="530"/>
      <c r="AN56" s="530"/>
      <c r="AO56" s="531"/>
      <c r="AP56" s="531"/>
      <c r="AQ56" s="531"/>
      <c r="AR56" s="531"/>
      <c r="AS56" s="407"/>
      <c r="BA56" s="2"/>
      <c r="BB56" s="2"/>
    </row>
    <row r="57" spans="2:54" ht="30" hidden="1" customHeight="1" outlineLevel="1">
      <c r="B57" s="223"/>
      <c r="C57" s="532"/>
      <c r="D57" s="1615"/>
      <c r="E57" s="1616"/>
      <c r="F57" s="1616"/>
      <c r="G57" s="1616"/>
      <c r="H57" s="1616"/>
      <c r="I57" s="1616"/>
      <c r="J57" s="1616"/>
      <c r="K57" s="1616"/>
      <c r="L57" s="1617"/>
      <c r="M57" s="352"/>
      <c r="N57" s="529"/>
      <c r="O57" s="235"/>
      <c r="P57" s="1618"/>
      <c r="Q57" s="1619"/>
      <c r="R57" s="1620"/>
      <c r="S57" s="489"/>
      <c r="T57" s="184"/>
      <c r="U57" s="184"/>
      <c r="V57" s="184"/>
      <c r="W57" s="184"/>
      <c r="X57" s="184"/>
      <c r="Y57" s="184"/>
      <c r="Z57" s="184"/>
      <c r="AA57" s="184"/>
      <c r="AK57" s="530"/>
      <c r="AL57" s="530"/>
      <c r="AM57" s="530"/>
      <c r="AN57" s="530"/>
      <c r="AO57" s="531"/>
      <c r="AP57" s="531"/>
      <c r="AQ57" s="531"/>
      <c r="AR57" s="531"/>
      <c r="AS57" s="407"/>
      <c r="BA57" s="2"/>
      <c r="BB57" s="2"/>
    </row>
    <row r="58" spans="2:54" ht="30" hidden="1" customHeight="1" outlineLevel="1">
      <c r="B58" s="223"/>
      <c r="C58" s="532"/>
      <c r="D58" s="1615"/>
      <c r="E58" s="1616"/>
      <c r="F58" s="1616"/>
      <c r="G58" s="1616"/>
      <c r="H58" s="1616"/>
      <c r="I58" s="1616"/>
      <c r="J58" s="1616"/>
      <c r="K58" s="1616"/>
      <c r="L58" s="1617"/>
      <c r="M58" s="352"/>
      <c r="N58" s="529"/>
      <c r="O58" s="235"/>
      <c r="P58" s="1618"/>
      <c r="Q58" s="1619"/>
      <c r="R58" s="1620"/>
      <c r="S58" s="489"/>
      <c r="T58" s="184"/>
      <c r="U58" s="184"/>
      <c r="V58" s="184"/>
      <c r="W58" s="184"/>
      <c r="X58" s="184"/>
      <c r="Y58" s="184"/>
      <c r="Z58" s="184"/>
      <c r="AA58" s="184"/>
      <c r="AK58" s="530"/>
      <c r="AL58" s="530"/>
      <c r="AM58" s="530"/>
      <c r="AN58" s="530"/>
      <c r="AO58" s="531"/>
      <c r="AP58" s="531"/>
      <c r="AQ58" s="531"/>
      <c r="AR58" s="531"/>
      <c r="AS58" s="407"/>
      <c r="BA58" s="2"/>
      <c r="BB58" s="2"/>
    </row>
    <row r="59" spans="2:54" ht="30" hidden="1" customHeight="1" outlineLevel="1">
      <c r="B59" s="223"/>
      <c r="C59" s="532"/>
      <c r="D59" s="1615"/>
      <c r="E59" s="1616"/>
      <c r="F59" s="1616"/>
      <c r="G59" s="1616"/>
      <c r="H59" s="1616"/>
      <c r="I59" s="1616"/>
      <c r="J59" s="1616"/>
      <c r="K59" s="1616"/>
      <c r="L59" s="1617"/>
      <c r="M59" s="352"/>
      <c r="N59" s="529"/>
      <c r="O59" s="235"/>
      <c r="P59" s="1618"/>
      <c r="Q59" s="1619"/>
      <c r="R59" s="1620"/>
      <c r="S59" s="489"/>
      <c r="T59" s="184"/>
      <c r="U59" s="184"/>
      <c r="V59" s="184"/>
      <c r="W59" s="184"/>
      <c r="X59" s="184"/>
      <c r="Y59" s="184"/>
      <c r="Z59" s="184"/>
      <c r="AA59" s="184"/>
      <c r="AK59" s="530"/>
      <c r="AL59" s="530"/>
      <c r="AM59" s="530"/>
      <c r="AN59" s="530"/>
      <c r="AO59" s="531"/>
      <c r="AP59" s="531"/>
      <c r="AQ59" s="531"/>
      <c r="AR59" s="531"/>
      <c r="AS59" s="407"/>
      <c r="BA59" s="2"/>
      <c r="BB59" s="2"/>
    </row>
    <row r="60" spans="2:54" ht="30" hidden="1" customHeight="1" outlineLevel="1">
      <c r="B60" s="223"/>
      <c r="C60" s="532"/>
      <c r="D60" s="1615"/>
      <c r="E60" s="1616"/>
      <c r="F60" s="1616"/>
      <c r="G60" s="1616"/>
      <c r="H60" s="1616"/>
      <c r="I60" s="1616"/>
      <c r="J60" s="1616"/>
      <c r="K60" s="1616"/>
      <c r="L60" s="1617"/>
      <c r="M60" s="352"/>
      <c r="N60" s="529"/>
      <c r="O60" s="235"/>
      <c r="P60" s="1618"/>
      <c r="Q60" s="1619"/>
      <c r="R60" s="1620"/>
      <c r="S60" s="489"/>
      <c r="T60" s="184"/>
      <c r="U60" s="184"/>
      <c r="V60" s="184"/>
      <c r="W60" s="184"/>
      <c r="X60" s="184"/>
      <c r="Y60" s="184"/>
      <c r="Z60" s="184"/>
      <c r="AA60" s="184"/>
      <c r="AK60" s="530"/>
      <c r="AL60" s="530"/>
      <c r="AM60" s="530"/>
      <c r="AN60" s="530"/>
      <c r="AO60" s="531"/>
      <c r="AP60" s="531"/>
      <c r="AQ60" s="531"/>
      <c r="AR60" s="531"/>
      <c r="AS60" s="407"/>
      <c r="BA60" s="2"/>
      <c r="BB60" s="2"/>
    </row>
    <row r="61" spans="2:54" ht="30" hidden="1" customHeight="1" outlineLevel="1">
      <c r="B61" s="223"/>
      <c r="C61" s="532"/>
      <c r="D61" s="1615"/>
      <c r="E61" s="1616"/>
      <c r="F61" s="1616"/>
      <c r="G61" s="1616"/>
      <c r="H61" s="1616"/>
      <c r="I61" s="1616"/>
      <c r="J61" s="1616"/>
      <c r="K61" s="1616"/>
      <c r="L61" s="1617"/>
      <c r="M61" s="352"/>
      <c r="N61" s="529"/>
      <c r="O61" s="235"/>
      <c r="P61" s="1618"/>
      <c r="Q61" s="1619"/>
      <c r="R61" s="1620"/>
      <c r="S61" s="489"/>
      <c r="T61" s="184"/>
      <c r="U61" s="184"/>
      <c r="V61" s="184"/>
      <c r="W61" s="184"/>
      <c r="X61" s="184"/>
      <c r="Y61" s="184"/>
      <c r="Z61" s="184"/>
      <c r="AA61" s="184"/>
      <c r="AK61" s="530"/>
      <c r="AL61" s="530"/>
      <c r="AM61" s="530"/>
      <c r="AN61" s="530"/>
      <c r="AO61" s="531"/>
      <c r="AP61" s="531"/>
      <c r="AQ61" s="531"/>
      <c r="AR61" s="531"/>
      <c r="AS61" s="407"/>
      <c r="BA61" s="2"/>
      <c r="BB61" s="2"/>
    </row>
    <row r="62" spans="2:54" ht="30" hidden="1" customHeight="1" outlineLevel="1">
      <c r="B62" s="223"/>
      <c r="C62" s="532"/>
      <c r="D62" s="1615"/>
      <c r="E62" s="1616"/>
      <c r="F62" s="1616"/>
      <c r="G62" s="1616"/>
      <c r="H62" s="1616"/>
      <c r="I62" s="1616"/>
      <c r="J62" s="1616"/>
      <c r="K62" s="1616"/>
      <c r="L62" s="1617"/>
      <c r="M62" s="352"/>
      <c r="N62" s="529"/>
      <c r="O62" s="235"/>
      <c r="P62" s="1618"/>
      <c r="Q62" s="1619"/>
      <c r="R62" s="1620"/>
      <c r="S62" s="489"/>
      <c r="T62" s="184"/>
      <c r="U62" s="184"/>
      <c r="V62" s="184"/>
      <c r="W62" s="184"/>
      <c r="X62" s="184"/>
      <c r="Y62" s="184"/>
      <c r="Z62" s="184"/>
      <c r="AA62" s="184"/>
      <c r="AK62" s="530"/>
      <c r="AL62" s="530"/>
      <c r="AM62" s="530"/>
      <c r="AN62" s="530"/>
      <c r="AO62" s="531"/>
      <c r="AP62" s="531"/>
      <c r="AQ62" s="531"/>
      <c r="AR62" s="531"/>
      <c r="AS62" s="407"/>
      <c r="BA62" s="2"/>
      <c r="BB62" s="2"/>
    </row>
    <row r="63" spans="2:54" ht="30" hidden="1" customHeight="1" outlineLevel="1">
      <c r="B63" s="223"/>
      <c r="C63" s="532"/>
      <c r="D63" s="1615"/>
      <c r="E63" s="1616"/>
      <c r="F63" s="1616"/>
      <c r="G63" s="1616"/>
      <c r="H63" s="1616"/>
      <c r="I63" s="1616"/>
      <c r="J63" s="1616"/>
      <c r="K63" s="1616"/>
      <c r="L63" s="1617"/>
      <c r="M63" s="352"/>
      <c r="N63" s="529"/>
      <c r="O63" s="235"/>
      <c r="P63" s="1618"/>
      <c r="Q63" s="1619"/>
      <c r="R63" s="1620"/>
      <c r="S63" s="489"/>
      <c r="T63" s="184"/>
      <c r="U63" s="184"/>
      <c r="V63" s="184"/>
      <c r="W63" s="184"/>
      <c r="X63" s="184"/>
      <c r="Y63" s="184"/>
      <c r="Z63" s="184"/>
      <c r="AA63" s="184"/>
      <c r="AK63" s="530"/>
      <c r="AL63" s="530"/>
      <c r="AM63" s="530"/>
      <c r="AN63" s="530"/>
      <c r="AO63" s="531"/>
      <c r="AP63" s="531"/>
      <c r="AQ63" s="531"/>
      <c r="AR63" s="531"/>
      <c r="AS63" s="407"/>
      <c r="BA63" s="2"/>
      <c r="BB63" s="2"/>
    </row>
    <row r="64" spans="2:54" ht="30" hidden="1" customHeight="1" outlineLevel="1">
      <c r="B64" s="223"/>
      <c r="C64" s="532"/>
      <c r="D64" s="1615"/>
      <c r="E64" s="1616"/>
      <c r="F64" s="1616"/>
      <c r="G64" s="1616"/>
      <c r="H64" s="1616"/>
      <c r="I64" s="1616"/>
      <c r="J64" s="1616"/>
      <c r="K64" s="1616"/>
      <c r="L64" s="1617"/>
      <c r="M64" s="352"/>
      <c r="N64" s="529"/>
      <c r="O64" s="235"/>
      <c r="P64" s="1618"/>
      <c r="Q64" s="1619"/>
      <c r="R64" s="1620"/>
      <c r="S64" s="489"/>
      <c r="T64" s="184"/>
      <c r="U64" s="184"/>
      <c r="V64" s="184"/>
      <c r="W64" s="184"/>
      <c r="X64" s="184"/>
      <c r="Y64" s="184"/>
      <c r="Z64" s="184"/>
      <c r="AA64" s="184"/>
      <c r="AK64" s="530"/>
      <c r="AL64" s="530"/>
      <c r="AM64" s="530"/>
      <c r="AN64" s="530"/>
      <c r="AO64" s="531"/>
      <c r="AP64" s="531"/>
      <c r="AQ64" s="531"/>
      <c r="AR64" s="531"/>
      <c r="AS64" s="407"/>
      <c r="BA64" s="2"/>
      <c r="BB64" s="2"/>
    </row>
    <row r="65" spans="2:54" ht="30" hidden="1" customHeight="1" outlineLevel="1">
      <c r="B65" s="223"/>
      <c r="C65" s="532"/>
      <c r="D65" s="1615"/>
      <c r="E65" s="1616"/>
      <c r="F65" s="1616"/>
      <c r="G65" s="1616"/>
      <c r="H65" s="1616"/>
      <c r="I65" s="1616"/>
      <c r="J65" s="1616"/>
      <c r="K65" s="1616"/>
      <c r="L65" s="1617"/>
      <c r="M65" s="352"/>
      <c r="N65" s="529"/>
      <c r="O65" s="235"/>
      <c r="P65" s="1618"/>
      <c r="Q65" s="1619"/>
      <c r="R65" s="1620"/>
      <c r="S65" s="489"/>
      <c r="T65" s="184"/>
      <c r="U65" s="184"/>
      <c r="V65" s="184"/>
      <c r="W65" s="184"/>
      <c r="X65" s="184"/>
      <c r="Y65" s="184"/>
      <c r="Z65" s="184"/>
      <c r="AA65" s="184"/>
      <c r="AK65" s="530"/>
      <c r="AL65" s="530"/>
      <c r="AM65" s="530"/>
      <c r="AN65" s="530"/>
      <c r="AO65" s="531"/>
      <c r="AP65" s="531"/>
      <c r="AQ65" s="531"/>
      <c r="AR65" s="531"/>
      <c r="AS65" s="407"/>
      <c r="BA65" s="2"/>
      <c r="BB65" s="2"/>
    </row>
    <row r="66" spans="2:54" ht="30" hidden="1" customHeight="1" outlineLevel="1">
      <c r="B66" s="223"/>
      <c r="C66" s="532"/>
      <c r="D66" s="1615"/>
      <c r="E66" s="1616"/>
      <c r="F66" s="1616"/>
      <c r="G66" s="1616"/>
      <c r="H66" s="1616"/>
      <c r="I66" s="1616"/>
      <c r="J66" s="1616"/>
      <c r="K66" s="1616"/>
      <c r="L66" s="1617"/>
      <c r="M66" s="352"/>
      <c r="N66" s="529"/>
      <c r="O66" s="235"/>
      <c r="P66" s="1618"/>
      <c r="Q66" s="1619"/>
      <c r="R66" s="1620"/>
      <c r="S66" s="489"/>
      <c r="T66" s="184"/>
      <c r="U66" s="184"/>
      <c r="V66" s="184"/>
      <c r="W66" s="184"/>
      <c r="X66" s="184"/>
      <c r="Y66" s="184"/>
      <c r="Z66" s="184"/>
      <c r="AA66" s="184"/>
      <c r="AK66" s="530"/>
      <c r="AL66" s="530"/>
      <c r="AM66" s="530"/>
      <c r="AN66" s="530"/>
      <c r="AO66" s="531"/>
      <c r="AP66" s="531"/>
      <c r="AQ66" s="531"/>
      <c r="AR66" s="531"/>
      <c r="AS66" s="407"/>
      <c r="BA66" s="2"/>
      <c r="BB66" s="2"/>
    </row>
    <row r="67" spans="2:54" ht="30" hidden="1" customHeight="1" outlineLevel="1">
      <c r="B67" s="223"/>
      <c r="C67" s="532"/>
      <c r="D67" s="1615"/>
      <c r="E67" s="1616"/>
      <c r="F67" s="1616"/>
      <c r="G67" s="1616"/>
      <c r="H67" s="1616"/>
      <c r="I67" s="1616"/>
      <c r="J67" s="1616"/>
      <c r="K67" s="1616"/>
      <c r="L67" s="1617"/>
      <c r="M67" s="352"/>
      <c r="N67" s="529"/>
      <c r="O67" s="235"/>
      <c r="P67" s="1618"/>
      <c r="Q67" s="1619"/>
      <c r="R67" s="1620"/>
      <c r="S67" s="489"/>
      <c r="T67" s="184"/>
      <c r="U67" s="184"/>
      <c r="V67" s="184"/>
      <c r="W67" s="184"/>
      <c r="X67" s="184"/>
      <c r="Y67" s="184"/>
      <c r="Z67" s="184"/>
      <c r="AA67" s="184"/>
      <c r="AK67" s="530"/>
      <c r="AL67" s="530"/>
      <c r="AM67" s="530"/>
      <c r="AN67" s="530"/>
      <c r="AO67" s="531"/>
      <c r="AP67" s="531"/>
      <c r="AQ67" s="531"/>
      <c r="AR67" s="531"/>
      <c r="AS67" s="407"/>
      <c r="BA67" s="2"/>
      <c r="BB67" s="2"/>
    </row>
    <row r="68" spans="2:54" ht="30" hidden="1" customHeight="1" outlineLevel="1">
      <c r="B68" s="223"/>
      <c r="C68" s="532"/>
      <c r="D68" s="1615"/>
      <c r="E68" s="1616"/>
      <c r="F68" s="1616"/>
      <c r="G68" s="1616"/>
      <c r="H68" s="1616"/>
      <c r="I68" s="1616"/>
      <c r="J68" s="1616"/>
      <c r="K68" s="1616"/>
      <c r="L68" s="1617"/>
      <c r="M68" s="352"/>
      <c r="N68" s="529"/>
      <c r="O68" s="235"/>
      <c r="P68" s="1618"/>
      <c r="Q68" s="1619"/>
      <c r="R68" s="1620"/>
      <c r="S68" s="489"/>
      <c r="T68" s="184"/>
      <c r="U68" s="184"/>
      <c r="V68" s="184"/>
      <c r="W68" s="184"/>
      <c r="X68" s="184"/>
      <c r="Y68" s="184"/>
      <c r="Z68" s="184"/>
      <c r="AA68" s="184"/>
      <c r="AK68" s="530"/>
      <c r="AL68" s="530"/>
      <c r="AM68" s="530"/>
      <c r="AN68" s="530"/>
      <c r="AO68" s="531"/>
      <c r="AP68" s="531"/>
      <c r="AQ68" s="531"/>
      <c r="AR68" s="531"/>
      <c r="AS68" s="407"/>
      <c r="BA68" s="2"/>
      <c r="BB68" s="2"/>
    </row>
    <row r="69" spans="2:54" ht="30" hidden="1" customHeight="1" outlineLevel="1">
      <c r="B69" s="223"/>
      <c r="C69" s="532"/>
      <c r="D69" s="1615"/>
      <c r="E69" s="1616"/>
      <c r="F69" s="1616"/>
      <c r="G69" s="1616"/>
      <c r="H69" s="1616"/>
      <c r="I69" s="1616"/>
      <c r="J69" s="1616"/>
      <c r="K69" s="1616"/>
      <c r="L69" s="1617"/>
      <c r="M69" s="352"/>
      <c r="N69" s="529"/>
      <c r="O69" s="235"/>
      <c r="P69" s="1618"/>
      <c r="Q69" s="1619"/>
      <c r="R69" s="1620"/>
      <c r="S69" s="489"/>
      <c r="T69" s="184"/>
      <c r="U69" s="184"/>
      <c r="V69" s="184"/>
      <c r="W69" s="184"/>
      <c r="X69" s="184"/>
      <c r="Y69" s="184"/>
      <c r="Z69" s="184"/>
      <c r="AA69" s="184"/>
      <c r="AK69" s="530"/>
      <c r="AL69" s="530"/>
      <c r="AM69" s="530"/>
      <c r="AN69" s="530"/>
      <c r="AO69" s="531"/>
      <c r="AP69" s="531"/>
      <c r="AQ69" s="531"/>
      <c r="AR69" s="531"/>
      <c r="AS69" s="407"/>
      <c r="BA69" s="2"/>
      <c r="BB69" s="2"/>
    </row>
    <row r="70" spans="2:54" ht="30" hidden="1" customHeight="1" outlineLevel="1">
      <c r="B70" s="223"/>
      <c r="C70" s="532"/>
      <c r="D70" s="1615"/>
      <c r="E70" s="1616"/>
      <c r="F70" s="1616"/>
      <c r="G70" s="1616"/>
      <c r="H70" s="1616"/>
      <c r="I70" s="1616"/>
      <c r="J70" s="1616"/>
      <c r="K70" s="1616"/>
      <c r="L70" s="1617"/>
      <c r="M70" s="352"/>
      <c r="N70" s="529"/>
      <c r="O70" s="235"/>
      <c r="P70" s="1618"/>
      <c r="Q70" s="1619"/>
      <c r="R70" s="1620"/>
      <c r="S70" s="489"/>
      <c r="T70" s="184"/>
      <c r="U70" s="184"/>
      <c r="V70" s="184"/>
      <c r="W70" s="184"/>
      <c r="X70" s="184"/>
      <c r="Y70" s="184"/>
      <c r="Z70" s="184"/>
      <c r="AA70" s="184"/>
      <c r="AK70" s="530"/>
      <c r="AL70" s="530"/>
      <c r="AM70" s="530"/>
      <c r="AN70" s="530"/>
      <c r="AO70" s="531"/>
      <c r="AP70" s="531"/>
      <c r="AQ70" s="531"/>
      <c r="AR70" s="531"/>
      <c r="AS70" s="407"/>
      <c r="BA70" s="2"/>
      <c r="BB70" s="2"/>
    </row>
    <row r="71" spans="2:54" ht="30" hidden="1" customHeight="1" outlineLevel="1">
      <c r="B71" s="223"/>
      <c r="C71" s="532"/>
      <c r="D71" s="1615"/>
      <c r="E71" s="1616"/>
      <c r="F71" s="1616"/>
      <c r="G71" s="1616"/>
      <c r="H71" s="1616"/>
      <c r="I71" s="1616"/>
      <c r="J71" s="1616"/>
      <c r="K71" s="1616"/>
      <c r="L71" s="1617"/>
      <c r="M71" s="352"/>
      <c r="N71" s="529"/>
      <c r="O71" s="235"/>
      <c r="P71" s="1618"/>
      <c r="Q71" s="1619"/>
      <c r="R71" s="1620"/>
      <c r="S71" s="489"/>
      <c r="T71" s="184"/>
      <c r="U71" s="184"/>
      <c r="V71" s="184"/>
      <c r="W71" s="184"/>
      <c r="X71" s="184"/>
      <c r="Y71" s="184"/>
      <c r="Z71" s="184"/>
      <c r="AA71" s="184"/>
      <c r="AK71" s="530"/>
      <c r="AL71" s="530"/>
      <c r="AM71" s="530"/>
      <c r="AN71" s="530"/>
      <c r="AO71" s="531"/>
      <c r="AP71" s="531"/>
      <c r="AQ71" s="531"/>
      <c r="AR71" s="531"/>
      <c r="AS71" s="407"/>
      <c r="BA71" s="2"/>
      <c r="BB71" s="2"/>
    </row>
    <row r="72" spans="2:54" ht="30" hidden="1" customHeight="1" outlineLevel="1">
      <c r="B72" s="223"/>
      <c r="C72" s="532"/>
      <c r="D72" s="1615"/>
      <c r="E72" s="1616"/>
      <c r="F72" s="1616"/>
      <c r="G72" s="1616"/>
      <c r="H72" s="1616"/>
      <c r="I72" s="1616"/>
      <c r="J72" s="1616"/>
      <c r="K72" s="1616"/>
      <c r="L72" s="1617"/>
      <c r="M72" s="352"/>
      <c r="N72" s="529"/>
      <c r="O72" s="235"/>
      <c r="P72" s="1618"/>
      <c r="Q72" s="1619"/>
      <c r="R72" s="1620"/>
      <c r="S72" s="489"/>
      <c r="T72" s="184"/>
      <c r="U72" s="184"/>
      <c r="V72" s="184"/>
      <c r="W72" s="184"/>
      <c r="X72" s="184"/>
      <c r="Y72" s="184"/>
      <c r="Z72" s="184"/>
      <c r="AA72" s="184"/>
      <c r="AK72" s="530"/>
      <c r="AL72" s="530"/>
      <c r="AM72" s="530"/>
      <c r="AN72" s="530"/>
      <c r="AO72" s="531"/>
      <c r="AP72" s="531"/>
      <c r="AQ72" s="531"/>
      <c r="AR72" s="531"/>
      <c r="AS72" s="407"/>
      <c r="BA72" s="2"/>
      <c r="BB72" s="2"/>
    </row>
    <row r="73" spans="2:54" ht="30" hidden="1" customHeight="1" outlineLevel="1">
      <c r="B73" s="223"/>
      <c r="C73" s="532"/>
      <c r="D73" s="1615"/>
      <c r="E73" s="1616"/>
      <c r="F73" s="1616"/>
      <c r="G73" s="1616"/>
      <c r="H73" s="1616"/>
      <c r="I73" s="1616"/>
      <c r="J73" s="1616"/>
      <c r="K73" s="1616"/>
      <c r="L73" s="1617"/>
      <c r="M73" s="352"/>
      <c r="N73" s="529"/>
      <c r="O73" s="235"/>
      <c r="P73" s="1618"/>
      <c r="Q73" s="1619"/>
      <c r="R73" s="1620"/>
      <c r="S73" s="489"/>
      <c r="T73" s="184"/>
      <c r="U73" s="184"/>
      <c r="V73" s="184"/>
      <c r="W73" s="184"/>
      <c r="X73" s="184"/>
      <c r="Y73" s="184"/>
      <c r="Z73" s="184"/>
      <c r="AA73" s="184"/>
      <c r="AK73" s="530"/>
      <c r="AL73" s="530"/>
      <c r="AM73" s="530"/>
      <c r="AN73" s="530"/>
      <c r="AO73" s="531"/>
      <c r="AP73" s="531"/>
      <c r="AQ73" s="531"/>
      <c r="AR73" s="531"/>
      <c r="AS73" s="407"/>
      <c r="BA73" s="2"/>
      <c r="BB73" s="2"/>
    </row>
    <row r="74" spans="2:54" ht="30" hidden="1" customHeight="1" outlineLevel="1">
      <c r="B74" s="223"/>
      <c r="C74" s="532"/>
      <c r="D74" s="1615"/>
      <c r="E74" s="1616"/>
      <c r="F74" s="1616"/>
      <c r="G74" s="1616"/>
      <c r="H74" s="1616"/>
      <c r="I74" s="1616"/>
      <c r="J74" s="1616"/>
      <c r="K74" s="1616"/>
      <c r="L74" s="1617"/>
      <c r="M74" s="352"/>
      <c r="N74" s="529"/>
      <c r="O74" s="235"/>
      <c r="P74" s="1618"/>
      <c r="Q74" s="1619"/>
      <c r="R74" s="1620"/>
      <c r="S74" s="489"/>
      <c r="T74" s="184"/>
      <c r="U74" s="184"/>
      <c r="V74" s="184"/>
      <c r="W74" s="184"/>
      <c r="X74" s="184"/>
      <c r="Y74" s="184"/>
      <c r="Z74" s="184"/>
      <c r="AA74" s="184"/>
      <c r="AK74" s="530"/>
      <c r="AL74" s="530"/>
      <c r="AM74" s="530"/>
      <c r="AN74" s="530"/>
      <c r="AO74" s="531"/>
      <c r="AP74" s="531"/>
      <c r="AQ74" s="531"/>
      <c r="AR74" s="531"/>
      <c r="AS74" s="407"/>
      <c r="BA74" s="2"/>
      <c r="BB74" s="2"/>
    </row>
    <row r="75" spans="2:54" ht="30" hidden="1" customHeight="1" outlineLevel="1">
      <c r="B75" s="223"/>
      <c r="C75" s="532"/>
      <c r="D75" s="1615"/>
      <c r="E75" s="1616"/>
      <c r="F75" s="1616"/>
      <c r="G75" s="1616"/>
      <c r="H75" s="1616"/>
      <c r="I75" s="1616"/>
      <c r="J75" s="1616"/>
      <c r="K75" s="1616"/>
      <c r="L75" s="1617"/>
      <c r="M75" s="352"/>
      <c r="N75" s="529"/>
      <c r="O75" s="235"/>
      <c r="P75" s="1618"/>
      <c r="Q75" s="1619"/>
      <c r="R75" s="1620"/>
      <c r="S75" s="489"/>
      <c r="T75" s="184"/>
      <c r="U75" s="184"/>
      <c r="V75" s="184"/>
      <c r="W75" s="184"/>
      <c r="X75" s="184"/>
      <c r="Y75" s="184"/>
      <c r="Z75" s="184"/>
      <c r="AA75" s="184"/>
      <c r="AK75" s="530"/>
      <c r="AL75" s="530"/>
      <c r="AM75" s="530"/>
      <c r="AN75" s="530"/>
      <c r="AO75" s="531"/>
      <c r="AP75" s="531"/>
      <c r="AQ75" s="531"/>
      <c r="AR75" s="531"/>
      <c r="AS75" s="407"/>
      <c r="BA75" s="2"/>
      <c r="BB75" s="2"/>
    </row>
    <row r="76" spans="2:54" ht="30" hidden="1" customHeight="1" outlineLevel="1">
      <c r="B76" s="223"/>
      <c r="C76" s="532"/>
      <c r="D76" s="1615"/>
      <c r="E76" s="1616"/>
      <c r="F76" s="1616"/>
      <c r="G76" s="1616"/>
      <c r="H76" s="1616"/>
      <c r="I76" s="1616"/>
      <c r="J76" s="1616"/>
      <c r="K76" s="1616"/>
      <c r="L76" s="1617"/>
      <c r="M76" s="352"/>
      <c r="N76" s="529"/>
      <c r="O76" s="235"/>
      <c r="P76" s="1618"/>
      <c r="Q76" s="1619"/>
      <c r="R76" s="1620"/>
      <c r="S76" s="489"/>
      <c r="T76" s="184"/>
      <c r="U76" s="184"/>
      <c r="V76" s="184"/>
      <c r="W76" s="184"/>
      <c r="X76" s="184"/>
      <c r="Y76" s="184"/>
      <c r="Z76" s="184"/>
      <c r="AA76" s="184"/>
      <c r="AK76" s="530"/>
      <c r="AL76" s="530"/>
      <c r="AM76" s="530"/>
      <c r="AN76" s="530"/>
      <c r="AO76" s="531"/>
      <c r="AP76" s="531"/>
      <c r="AQ76" s="531"/>
      <c r="AR76" s="531"/>
      <c r="AS76" s="407"/>
      <c r="BA76" s="2"/>
      <c r="BB76" s="2"/>
    </row>
    <row r="77" spans="2:54" ht="30" hidden="1" customHeight="1" outlineLevel="1" thickBot="1">
      <c r="B77" s="533"/>
      <c r="C77" s="528"/>
      <c r="D77" s="1624"/>
      <c r="E77" s="1625"/>
      <c r="F77" s="1625"/>
      <c r="G77" s="1625"/>
      <c r="H77" s="1625"/>
      <c r="I77" s="1625"/>
      <c r="J77" s="1625"/>
      <c r="K77" s="1625"/>
      <c r="L77" s="1626"/>
      <c r="M77" s="352"/>
      <c r="N77" s="529"/>
      <c r="O77" s="534"/>
      <c r="P77" s="1627"/>
      <c r="Q77" s="1628"/>
      <c r="R77" s="1629"/>
      <c r="S77" s="489"/>
      <c r="T77" s="184"/>
      <c r="U77" s="184"/>
      <c r="V77" s="184"/>
      <c r="W77" s="184"/>
      <c r="X77" s="184"/>
      <c r="Y77" s="184"/>
      <c r="Z77" s="184"/>
      <c r="AA77" s="184"/>
      <c r="AK77" s="535"/>
      <c r="AL77" s="535"/>
      <c r="AM77" s="535"/>
      <c r="AN77" s="535"/>
      <c r="AO77" s="536"/>
      <c r="AP77" s="536"/>
      <c r="AQ77" s="531"/>
      <c r="AR77" s="536"/>
      <c r="AS77" s="537"/>
      <c r="BA77" s="2"/>
      <c r="BB77" s="2"/>
    </row>
    <row r="78" spans="2:54" ht="30" customHeight="1" thickTop="1">
      <c r="B78" s="1427" t="s">
        <v>279</v>
      </c>
      <c r="C78" s="1572"/>
      <c r="D78" s="1630"/>
      <c r="E78" s="1631"/>
      <c r="F78" s="1631"/>
      <c r="G78" s="1631"/>
      <c r="H78" s="1631"/>
      <c r="I78" s="1631"/>
      <c r="J78" s="1631"/>
      <c r="K78" s="1631"/>
      <c r="L78" s="1632"/>
      <c r="M78" s="538"/>
      <c r="N78" s="539"/>
      <c r="O78" s="1577"/>
      <c r="P78" s="1634"/>
      <c r="Q78" s="1635"/>
      <c r="R78" s="1636"/>
      <c r="S78" s="509"/>
      <c r="T78" s="184"/>
      <c r="U78" s="184"/>
      <c r="V78" s="184"/>
      <c r="W78" s="184"/>
      <c r="X78" s="184"/>
      <c r="Y78" s="184"/>
      <c r="Z78" s="184"/>
      <c r="AA78" s="184"/>
      <c r="AK78" s="1495" t="s">
        <v>279</v>
      </c>
      <c r="AL78" s="1495"/>
      <c r="AM78" s="1637">
        <f t="shared" ref="AM78:AM92" si="8">D78</f>
        <v>0</v>
      </c>
      <c r="AN78" s="1637"/>
      <c r="AO78" s="351">
        <f t="shared" ref="AO78:AO92" si="9">ROUND(M78*P78%,)</f>
        <v>0</v>
      </c>
      <c r="AP78" s="540">
        <f t="shared" ref="AP78:AP92" si="10">N78</f>
        <v>0</v>
      </c>
      <c r="AQ78" s="541"/>
      <c r="AR78" s="511" t="str">
        <f t="shared" ref="AR78:AR92" si="11">"円/"&amp;AP78</f>
        <v>円/0</v>
      </c>
      <c r="AS78" s="233">
        <f>ROUND(AO78*AQ78,)</f>
        <v>0</v>
      </c>
    </row>
    <row r="79" spans="2:54" ht="30" customHeight="1" collapsed="1" thickBot="1">
      <c r="B79" s="1429"/>
      <c r="C79" s="1573"/>
      <c r="D79" s="1589"/>
      <c r="E79" s="1590"/>
      <c r="F79" s="1590"/>
      <c r="G79" s="1590"/>
      <c r="H79" s="1590"/>
      <c r="I79" s="1590"/>
      <c r="J79" s="1590"/>
      <c r="K79" s="1590"/>
      <c r="L79" s="1638"/>
      <c r="M79" s="542"/>
      <c r="N79" s="543"/>
      <c r="O79" s="1578"/>
      <c r="P79" s="1639"/>
      <c r="Q79" s="1640"/>
      <c r="R79" s="1641"/>
      <c r="S79" s="509"/>
      <c r="T79" s="184"/>
      <c r="U79" s="184"/>
      <c r="V79" s="184"/>
      <c r="W79" s="184"/>
      <c r="X79" s="184"/>
      <c r="Y79" s="184"/>
      <c r="Z79" s="184"/>
      <c r="AA79" s="184"/>
      <c r="AK79" s="1495"/>
      <c r="AL79" s="1495"/>
      <c r="AM79" s="1637">
        <f t="shared" si="8"/>
        <v>0</v>
      </c>
      <c r="AN79" s="1637"/>
      <c r="AO79" s="351">
        <f t="shared" si="9"/>
        <v>0</v>
      </c>
      <c r="AP79" s="540">
        <f t="shared" si="10"/>
        <v>0</v>
      </c>
      <c r="AQ79" s="544"/>
      <c r="AR79" s="511" t="str">
        <f t="shared" si="11"/>
        <v>円/0</v>
      </c>
      <c r="AS79" s="233">
        <f t="shared" ref="AS79:AS92" si="12">ROUND(AO79*AQ79,)</f>
        <v>0</v>
      </c>
    </row>
    <row r="80" spans="2:54" ht="30" hidden="1" customHeight="1" outlineLevel="1">
      <c r="B80" s="1429"/>
      <c r="C80" s="1573"/>
      <c r="D80" s="1598"/>
      <c r="E80" s="1599"/>
      <c r="F80" s="1599"/>
      <c r="G80" s="1599"/>
      <c r="H80" s="1599"/>
      <c r="I80" s="1599"/>
      <c r="J80" s="1599"/>
      <c r="K80" s="1599"/>
      <c r="L80" s="1642"/>
      <c r="M80" s="545"/>
      <c r="N80" s="546"/>
      <c r="O80" s="1578"/>
      <c r="P80" s="1646"/>
      <c r="Q80" s="1647"/>
      <c r="R80" s="1648"/>
      <c r="S80" s="509"/>
      <c r="T80" s="184"/>
      <c r="U80" s="184"/>
      <c r="V80" s="184"/>
      <c r="W80" s="184"/>
      <c r="X80" s="184"/>
      <c r="Y80" s="184"/>
      <c r="Z80" s="184"/>
      <c r="AA80" s="184"/>
      <c r="AK80" s="1495"/>
      <c r="AL80" s="1495"/>
      <c r="AM80" s="1637">
        <f t="shared" si="8"/>
        <v>0</v>
      </c>
      <c r="AN80" s="1637"/>
      <c r="AO80" s="351">
        <f t="shared" si="9"/>
        <v>0</v>
      </c>
      <c r="AP80" s="540">
        <f t="shared" si="10"/>
        <v>0</v>
      </c>
      <c r="AQ80" s="544"/>
      <c r="AR80" s="511" t="str">
        <f t="shared" si="11"/>
        <v>円/0</v>
      </c>
      <c r="AS80" s="233">
        <f t="shared" si="12"/>
        <v>0</v>
      </c>
    </row>
    <row r="81" spans="2:45" ht="30" hidden="1" customHeight="1" outlineLevel="1">
      <c r="B81" s="1429"/>
      <c r="C81" s="1573"/>
      <c r="D81" s="1643"/>
      <c r="E81" s="1644"/>
      <c r="F81" s="1644"/>
      <c r="G81" s="1644"/>
      <c r="H81" s="1644"/>
      <c r="I81" s="1644"/>
      <c r="J81" s="1644"/>
      <c r="K81" s="1644"/>
      <c r="L81" s="1645"/>
      <c r="M81" s="547"/>
      <c r="N81" s="548"/>
      <c r="O81" s="1578"/>
      <c r="P81" s="1646"/>
      <c r="Q81" s="1647"/>
      <c r="R81" s="1648"/>
      <c r="S81" s="509"/>
      <c r="T81" s="184"/>
      <c r="U81" s="184"/>
      <c r="V81" s="184"/>
      <c r="W81" s="184"/>
      <c r="X81" s="184"/>
      <c r="Y81" s="184"/>
      <c r="Z81" s="184"/>
      <c r="AA81" s="184"/>
      <c r="AK81" s="1495"/>
      <c r="AL81" s="1495"/>
      <c r="AM81" s="1637">
        <f t="shared" si="8"/>
        <v>0</v>
      </c>
      <c r="AN81" s="1637"/>
      <c r="AO81" s="351">
        <f t="shared" si="9"/>
        <v>0</v>
      </c>
      <c r="AP81" s="540">
        <f t="shared" si="10"/>
        <v>0</v>
      </c>
      <c r="AQ81" s="544"/>
      <c r="AR81" s="511" t="str">
        <f t="shared" si="11"/>
        <v>円/0</v>
      </c>
      <c r="AS81" s="233">
        <f t="shared" si="12"/>
        <v>0</v>
      </c>
    </row>
    <row r="82" spans="2:45" ht="30" hidden="1" customHeight="1" outlineLevel="1">
      <c r="B82" s="1429"/>
      <c r="C82" s="1573"/>
      <c r="D82" s="1643"/>
      <c r="E82" s="1644"/>
      <c r="F82" s="1644"/>
      <c r="G82" s="1644"/>
      <c r="H82" s="1644"/>
      <c r="I82" s="1644"/>
      <c r="J82" s="1644"/>
      <c r="K82" s="1644"/>
      <c r="L82" s="1645"/>
      <c r="M82" s="547"/>
      <c r="N82" s="548"/>
      <c r="O82" s="1578"/>
      <c r="P82" s="1646"/>
      <c r="Q82" s="1647"/>
      <c r="R82" s="1648"/>
      <c r="S82" s="509"/>
      <c r="T82" s="184"/>
      <c r="U82" s="184"/>
      <c r="V82" s="184"/>
      <c r="W82" s="184"/>
      <c r="X82" s="184"/>
      <c r="Y82" s="184"/>
      <c r="Z82" s="184"/>
      <c r="AA82" s="184"/>
      <c r="AK82" s="1495"/>
      <c r="AL82" s="1495"/>
      <c r="AM82" s="1637">
        <f t="shared" si="8"/>
        <v>0</v>
      </c>
      <c r="AN82" s="1637"/>
      <c r="AO82" s="351">
        <f t="shared" si="9"/>
        <v>0</v>
      </c>
      <c r="AP82" s="540">
        <f t="shared" si="10"/>
        <v>0</v>
      </c>
      <c r="AQ82" s="544"/>
      <c r="AR82" s="511" t="str">
        <f t="shared" si="11"/>
        <v>円/0</v>
      </c>
      <c r="AS82" s="233">
        <f t="shared" si="12"/>
        <v>0</v>
      </c>
    </row>
    <row r="83" spans="2:45" ht="30" hidden="1" customHeight="1" outlineLevel="1">
      <c r="B83" s="1429"/>
      <c r="C83" s="1573"/>
      <c r="D83" s="1643"/>
      <c r="E83" s="1644"/>
      <c r="F83" s="1644"/>
      <c r="G83" s="1644"/>
      <c r="H83" s="1644"/>
      <c r="I83" s="1644"/>
      <c r="J83" s="1644"/>
      <c r="K83" s="1644"/>
      <c r="L83" s="1645"/>
      <c r="M83" s="547"/>
      <c r="N83" s="548"/>
      <c r="O83" s="1578"/>
      <c r="P83" s="1646"/>
      <c r="Q83" s="1647"/>
      <c r="R83" s="1648"/>
      <c r="S83" s="509"/>
      <c r="T83" s="184"/>
      <c r="U83" s="184"/>
      <c r="V83" s="184"/>
      <c r="W83" s="184"/>
      <c r="X83" s="184"/>
      <c r="Y83" s="184"/>
      <c r="Z83" s="184"/>
      <c r="AA83" s="184"/>
      <c r="AK83" s="1495"/>
      <c r="AL83" s="1495"/>
      <c r="AM83" s="1637">
        <f t="shared" si="8"/>
        <v>0</v>
      </c>
      <c r="AN83" s="1637"/>
      <c r="AO83" s="351">
        <f t="shared" si="9"/>
        <v>0</v>
      </c>
      <c r="AP83" s="540">
        <f t="shared" si="10"/>
        <v>0</v>
      </c>
      <c r="AQ83" s="544"/>
      <c r="AR83" s="511" t="str">
        <f t="shared" si="11"/>
        <v>円/0</v>
      </c>
      <c r="AS83" s="233">
        <f t="shared" si="12"/>
        <v>0</v>
      </c>
    </row>
    <row r="84" spans="2:45" ht="30" hidden="1" customHeight="1" outlineLevel="1">
      <c r="B84" s="1429"/>
      <c r="C84" s="1573"/>
      <c r="D84" s="1643"/>
      <c r="E84" s="1644"/>
      <c r="F84" s="1644"/>
      <c r="G84" s="1644"/>
      <c r="H84" s="1644"/>
      <c r="I84" s="1644"/>
      <c r="J84" s="1644"/>
      <c r="K84" s="1644"/>
      <c r="L84" s="1645"/>
      <c r="M84" s="547"/>
      <c r="N84" s="548"/>
      <c r="O84" s="1578"/>
      <c r="P84" s="1646"/>
      <c r="Q84" s="1647"/>
      <c r="R84" s="1648"/>
      <c r="S84" s="509"/>
      <c r="T84" s="184"/>
      <c r="U84" s="184"/>
      <c r="V84" s="184"/>
      <c r="W84" s="184"/>
      <c r="X84" s="184"/>
      <c r="Y84" s="184"/>
      <c r="Z84" s="184"/>
      <c r="AA84" s="184"/>
      <c r="AK84" s="1495"/>
      <c r="AL84" s="1495"/>
      <c r="AM84" s="1637">
        <f t="shared" si="8"/>
        <v>0</v>
      </c>
      <c r="AN84" s="1637"/>
      <c r="AO84" s="351">
        <f t="shared" si="9"/>
        <v>0</v>
      </c>
      <c r="AP84" s="540">
        <f t="shared" si="10"/>
        <v>0</v>
      </c>
      <c r="AQ84" s="544"/>
      <c r="AR84" s="511" t="str">
        <f t="shared" si="11"/>
        <v>円/0</v>
      </c>
      <c r="AS84" s="233">
        <f t="shared" si="12"/>
        <v>0</v>
      </c>
    </row>
    <row r="85" spans="2:45" ht="30" hidden="1" customHeight="1" outlineLevel="1">
      <c r="B85" s="1429"/>
      <c r="C85" s="1573"/>
      <c r="D85" s="1643"/>
      <c r="E85" s="1644"/>
      <c r="F85" s="1644"/>
      <c r="G85" s="1644"/>
      <c r="H85" s="1644"/>
      <c r="I85" s="1644"/>
      <c r="J85" s="1644"/>
      <c r="K85" s="1644"/>
      <c r="L85" s="1645"/>
      <c r="M85" s="547"/>
      <c r="N85" s="548"/>
      <c r="O85" s="1578"/>
      <c r="P85" s="1646"/>
      <c r="Q85" s="1647"/>
      <c r="R85" s="1648"/>
      <c r="S85" s="509"/>
      <c r="T85" s="184"/>
      <c r="U85" s="184"/>
      <c r="V85" s="184"/>
      <c r="W85" s="184"/>
      <c r="X85" s="184"/>
      <c r="Y85" s="184"/>
      <c r="Z85" s="184"/>
      <c r="AA85" s="184"/>
      <c r="AK85" s="1495"/>
      <c r="AL85" s="1495"/>
      <c r="AM85" s="1637">
        <f t="shared" si="8"/>
        <v>0</v>
      </c>
      <c r="AN85" s="1637"/>
      <c r="AO85" s="351">
        <f t="shared" si="9"/>
        <v>0</v>
      </c>
      <c r="AP85" s="540">
        <f t="shared" si="10"/>
        <v>0</v>
      </c>
      <c r="AQ85" s="544"/>
      <c r="AR85" s="511" t="str">
        <f t="shared" si="11"/>
        <v>円/0</v>
      </c>
      <c r="AS85" s="233">
        <f t="shared" si="12"/>
        <v>0</v>
      </c>
    </row>
    <row r="86" spans="2:45" ht="30" hidden="1" customHeight="1" outlineLevel="1">
      <c r="B86" s="1429"/>
      <c r="C86" s="1573"/>
      <c r="D86" s="1643"/>
      <c r="E86" s="1644"/>
      <c r="F86" s="1644"/>
      <c r="G86" s="1644"/>
      <c r="H86" s="1644"/>
      <c r="I86" s="1644"/>
      <c r="J86" s="1644"/>
      <c r="K86" s="1644"/>
      <c r="L86" s="1645"/>
      <c r="M86" s="547"/>
      <c r="N86" s="548"/>
      <c r="O86" s="1578"/>
      <c r="P86" s="1646"/>
      <c r="Q86" s="1647"/>
      <c r="R86" s="1648"/>
      <c r="S86" s="509"/>
      <c r="T86" s="184"/>
      <c r="U86" s="184"/>
      <c r="V86" s="184"/>
      <c r="W86" s="184"/>
      <c r="X86" s="184"/>
      <c r="Y86" s="184"/>
      <c r="Z86" s="184"/>
      <c r="AA86" s="184"/>
      <c r="AK86" s="1495"/>
      <c r="AL86" s="1495"/>
      <c r="AM86" s="1637">
        <f t="shared" si="8"/>
        <v>0</v>
      </c>
      <c r="AN86" s="1637"/>
      <c r="AO86" s="351">
        <f t="shared" si="9"/>
        <v>0</v>
      </c>
      <c r="AP86" s="540">
        <f t="shared" si="10"/>
        <v>0</v>
      </c>
      <c r="AQ86" s="544"/>
      <c r="AR86" s="511" t="str">
        <f t="shared" si="11"/>
        <v>円/0</v>
      </c>
      <c r="AS86" s="233">
        <f t="shared" si="12"/>
        <v>0</v>
      </c>
    </row>
    <row r="87" spans="2:45" ht="30" hidden="1" customHeight="1" outlineLevel="1">
      <c r="B87" s="1429"/>
      <c r="C87" s="1573"/>
      <c r="D87" s="1643"/>
      <c r="E87" s="1644"/>
      <c r="F87" s="1644"/>
      <c r="G87" s="1644"/>
      <c r="H87" s="1644"/>
      <c r="I87" s="1644"/>
      <c r="J87" s="1644"/>
      <c r="K87" s="1644"/>
      <c r="L87" s="1645"/>
      <c r="M87" s="547"/>
      <c r="N87" s="548"/>
      <c r="O87" s="1578"/>
      <c r="P87" s="1646"/>
      <c r="Q87" s="1647"/>
      <c r="R87" s="1648"/>
      <c r="S87" s="509"/>
      <c r="T87" s="184"/>
      <c r="U87" s="184"/>
      <c r="V87" s="184"/>
      <c r="W87" s="184"/>
      <c r="X87" s="184"/>
      <c r="Y87" s="184"/>
      <c r="Z87" s="184"/>
      <c r="AA87" s="184"/>
      <c r="AK87" s="1495"/>
      <c r="AL87" s="1495"/>
      <c r="AM87" s="1637">
        <f t="shared" si="8"/>
        <v>0</v>
      </c>
      <c r="AN87" s="1637"/>
      <c r="AO87" s="351">
        <f t="shared" si="9"/>
        <v>0</v>
      </c>
      <c r="AP87" s="540">
        <f t="shared" si="10"/>
        <v>0</v>
      </c>
      <c r="AQ87" s="544"/>
      <c r="AR87" s="511" t="str">
        <f t="shared" si="11"/>
        <v>円/0</v>
      </c>
      <c r="AS87" s="233">
        <f t="shared" si="12"/>
        <v>0</v>
      </c>
    </row>
    <row r="88" spans="2:45" ht="30" hidden="1" customHeight="1" outlineLevel="1">
      <c r="B88" s="1429"/>
      <c r="C88" s="1573"/>
      <c r="D88" s="1643"/>
      <c r="E88" s="1644"/>
      <c r="F88" s="1644"/>
      <c r="G88" s="1644"/>
      <c r="H88" s="1644"/>
      <c r="I88" s="1644"/>
      <c r="J88" s="1644"/>
      <c r="K88" s="1644"/>
      <c r="L88" s="1645"/>
      <c r="M88" s="547"/>
      <c r="N88" s="548"/>
      <c r="O88" s="1578"/>
      <c r="P88" s="1646"/>
      <c r="Q88" s="1647"/>
      <c r="R88" s="1648"/>
      <c r="S88" s="509"/>
      <c r="T88" s="184"/>
      <c r="U88" s="184"/>
      <c r="V88" s="184"/>
      <c r="W88" s="184"/>
      <c r="X88" s="184"/>
      <c r="Y88" s="184"/>
      <c r="Z88" s="184"/>
      <c r="AA88" s="184"/>
      <c r="AK88" s="1495"/>
      <c r="AL88" s="1495"/>
      <c r="AM88" s="1637">
        <f t="shared" si="8"/>
        <v>0</v>
      </c>
      <c r="AN88" s="1637"/>
      <c r="AO88" s="351">
        <f t="shared" si="9"/>
        <v>0</v>
      </c>
      <c r="AP88" s="540">
        <f t="shared" si="10"/>
        <v>0</v>
      </c>
      <c r="AQ88" s="544"/>
      <c r="AR88" s="511" t="str">
        <f t="shared" si="11"/>
        <v>円/0</v>
      </c>
      <c r="AS88" s="233">
        <f t="shared" si="12"/>
        <v>0</v>
      </c>
    </row>
    <row r="89" spans="2:45" ht="30" hidden="1" customHeight="1" outlineLevel="1">
      <c r="B89" s="1429"/>
      <c r="C89" s="1573"/>
      <c r="D89" s="1643"/>
      <c r="E89" s="1644"/>
      <c r="F89" s="1644"/>
      <c r="G89" s="1644"/>
      <c r="H89" s="1644"/>
      <c r="I89" s="1644"/>
      <c r="J89" s="1644"/>
      <c r="K89" s="1644"/>
      <c r="L89" s="1645"/>
      <c r="M89" s="547"/>
      <c r="N89" s="548"/>
      <c r="O89" s="1578"/>
      <c r="P89" s="1646"/>
      <c r="Q89" s="1647"/>
      <c r="R89" s="1648"/>
      <c r="S89" s="509"/>
      <c r="T89" s="184"/>
      <c r="U89" s="184"/>
      <c r="V89" s="184"/>
      <c r="W89" s="184"/>
      <c r="X89" s="184"/>
      <c r="Y89" s="184"/>
      <c r="Z89" s="184"/>
      <c r="AA89" s="184"/>
      <c r="AK89" s="1495"/>
      <c r="AL89" s="1495"/>
      <c r="AM89" s="1637">
        <f t="shared" si="8"/>
        <v>0</v>
      </c>
      <c r="AN89" s="1637"/>
      <c r="AO89" s="351">
        <f t="shared" si="9"/>
        <v>0</v>
      </c>
      <c r="AP89" s="540">
        <f t="shared" si="10"/>
        <v>0</v>
      </c>
      <c r="AQ89" s="544"/>
      <c r="AR89" s="511" t="str">
        <f t="shared" si="11"/>
        <v>円/0</v>
      </c>
      <c r="AS89" s="233">
        <f t="shared" si="12"/>
        <v>0</v>
      </c>
    </row>
    <row r="90" spans="2:45" ht="30" hidden="1" customHeight="1" outlineLevel="1">
      <c r="B90" s="1429"/>
      <c r="C90" s="1573"/>
      <c r="D90" s="1643"/>
      <c r="E90" s="1644"/>
      <c r="F90" s="1644"/>
      <c r="G90" s="1644"/>
      <c r="H90" s="1644"/>
      <c r="I90" s="1644"/>
      <c r="J90" s="1644"/>
      <c r="K90" s="1644"/>
      <c r="L90" s="1645"/>
      <c r="M90" s="547"/>
      <c r="N90" s="548"/>
      <c r="O90" s="1578"/>
      <c r="P90" s="1646"/>
      <c r="Q90" s="1647"/>
      <c r="R90" s="1648"/>
      <c r="S90" s="509"/>
      <c r="T90" s="184"/>
      <c r="U90" s="184"/>
      <c r="V90" s="184"/>
      <c r="W90" s="184"/>
      <c r="X90" s="184"/>
      <c r="Y90" s="184"/>
      <c r="Z90" s="184"/>
      <c r="AA90" s="184"/>
      <c r="AK90" s="1495"/>
      <c r="AL90" s="1495"/>
      <c r="AM90" s="1637">
        <f t="shared" si="8"/>
        <v>0</v>
      </c>
      <c r="AN90" s="1637"/>
      <c r="AO90" s="351">
        <f t="shared" si="9"/>
        <v>0</v>
      </c>
      <c r="AP90" s="540">
        <f t="shared" si="10"/>
        <v>0</v>
      </c>
      <c r="AQ90" s="544"/>
      <c r="AR90" s="511" t="str">
        <f t="shared" si="11"/>
        <v>円/0</v>
      </c>
      <c r="AS90" s="233">
        <f t="shared" si="12"/>
        <v>0</v>
      </c>
    </row>
    <row r="91" spans="2:45" ht="30" hidden="1" customHeight="1" outlineLevel="1">
      <c r="B91" s="1429"/>
      <c r="C91" s="1573"/>
      <c r="D91" s="1643"/>
      <c r="E91" s="1644"/>
      <c r="F91" s="1644"/>
      <c r="G91" s="1644"/>
      <c r="H91" s="1644"/>
      <c r="I91" s="1644"/>
      <c r="J91" s="1644"/>
      <c r="K91" s="1644"/>
      <c r="L91" s="1645"/>
      <c r="M91" s="547"/>
      <c r="N91" s="548"/>
      <c r="O91" s="1578"/>
      <c r="P91" s="1646"/>
      <c r="Q91" s="1647"/>
      <c r="R91" s="1648"/>
      <c r="S91" s="509"/>
      <c r="T91" s="184"/>
      <c r="U91" s="184"/>
      <c r="V91" s="184"/>
      <c r="W91" s="184"/>
      <c r="X91" s="184"/>
      <c r="Y91" s="184"/>
      <c r="Z91" s="184"/>
      <c r="AA91" s="184"/>
      <c r="AK91" s="1495"/>
      <c r="AL91" s="1495"/>
      <c r="AM91" s="1637">
        <f t="shared" si="8"/>
        <v>0</v>
      </c>
      <c r="AN91" s="1637"/>
      <c r="AO91" s="351">
        <f t="shared" si="9"/>
        <v>0</v>
      </c>
      <c r="AP91" s="540">
        <f t="shared" si="10"/>
        <v>0</v>
      </c>
      <c r="AQ91" s="544"/>
      <c r="AR91" s="511" t="str">
        <f t="shared" si="11"/>
        <v>円/0</v>
      </c>
      <c r="AS91" s="233">
        <f t="shared" si="12"/>
        <v>0</v>
      </c>
    </row>
    <row r="92" spans="2:45" ht="30" hidden="1" customHeight="1" outlineLevel="1" thickBot="1">
      <c r="B92" s="1429"/>
      <c r="C92" s="1573"/>
      <c r="D92" s="1649"/>
      <c r="E92" s="1650"/>
      <c r="F92" s="1650"/>
      <c r="G92" s="1650"/>
      <c r="H92" s="1650"/>
      <c r="I92" s="1650"/>
      <c r="J92" s="1650"/>
      <c r="K92" s="1650"/>
      <c r="L92" s="1651"/>
      <c r="M92" s="549"/>
      <c r="N92" s="372"/>
      <c r="O92" s="1633"/>
      <c r="P92" s="1646"/>
      <c r="Q92" s="1647"/>
      <c r="R92" s="1648"/>
      <c r="S92" s="509"/>
      <c r="T92" s="184"/>
      <c r="U92" s="184"/>
      <c r="V92" s="184"/>
      <c r="W92" s="184"/>
      <c r="X92" s="184"/>
      <c r="Y92" s="184"/>
      <c r="Z92" s="184"/>
      <c r="AA92" s="184"/>
      <c r="AK92" s="1495"/>
      <c r="AL92" s="1495"/>
      <c r="AM92" s="1652">
        <f t="shared" si="8"/>
        <v>0</v>
      </c>
      <c r="AN92" s="1652"/>
      <c r="AO92" s="398">
        <f t="shared" si="9"/>
        <v>0</v>
      </c>
      <c r="AP92" s="550">
        <f t="shared" si="10"/>
        <v>0</v>
      </c>
      <c r="AQ92" s="551"/>
      <c r="AR92" s="552" t="str">
        <f t="shared" si="11"/>
        <v>円/0</v>
      </c>
      <c r="AS92" s="553">
        <f t="shared" si="12"/>
        <v>0</v>
      </c>
    </row>
    <row r="93" spans="2:45" ht="30" customHeight="1" thickTop="1">
      <c r="B93" s="554"/>
      <c r="C93" s="404"/>
      <c r="D93" s="405"/>
      <c r="E93" s="405"/>
      <c r="F93" s="405"/>
      <c r="G93" s="405"/>
      <c r="H93" s="405"/>
      <c r="I93" s="405"/>
      <c r="J93" s="405"/>
      <c r="K93" s="405"/>
      <c r="L93" s="405"/>
      <c r="M93" s="405"/>
      <c r="N93" s="405"/>
      <c r="O93" s="404"/>
      <c r="P93" s="405"/>
      <c r="Q93" s="405"/>
      <c r="R93" s="405"/>
      <c r="S93" s="184"/>
      <c r="T93" s="184"/>
      <c r="U93" s="184"/>
      <c r="V93" s="184"/>
      <c r="W93" s="184"/>
      <c r="X93" s="184"/>
      <c r="Y93" s="184"/>
      <c r="Z93" s="184"/>
      <c r="AA93" s="184"/>
      <c r="AK93" s="1530" t="s">
        <v>391</v>
      </c>
      <c r="AL93" s="1530"/>
      <c r="AM93" s="1511"/>
      <c r="AN93" s="1511"/>
      <c r="AO93" s="555"/>
      <c r="AP93" s="555"/>
      <c r="AQ93" s="556"/>
      <c r="AR93" s="555"/>
      <c r="AS93" s="35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19</xdr:col>
                <xdr:colOff>0</xdr:colOff>
                <xdr:row>8</xdr:row>
                <xdr:rowOff>28575</xdr:rowOff>
              </from>
              <to>
                <xdr:col>26</xdr:col>
                <xdr:colOff>142875</xdr:colOff>
                <xdr:row>8</xdr:row>
                <xdr:rowOff>238125</xdr:rowOff>
              </to>
            </anchor>
          </controlPr>
        </control>
      </mc:Choice>
      <mc:Fallback>
        <control shapeId="10241" r:id="rId4" name="Label1"/>
      </mc:Fallback>
    </mc:AlternateContent>
    <mc:AlternateContent xmlns:mc="http://schemas.openxmlformats.org/markup-compatibility/2006">
      <mc:Choice Requires="x14">
        <control shapeId="10242" r:id="rId6" name="txt_hyouji">
          <controlPr locked="0" defaultSize="0" print="0" autoLine="0" r:id="rId7">
            <anchor moveWithCells="1">
              <from>
                <xdr:col>19</xdr:col>
                <xdr:colOff>0</xdr:colOff>
                <xdr:row>8</xdr:row>
                <xdr:rowOff>238125</xdr:rowOff>
              </from>
              <to>
                <xdr:col>26</xdr:col>
                <xdr:colOff>142875</xdr:colOff>
                <xdr:row>9</xdr:row>
                <xdr:rowOff>66675</xdr:rowOff>
              </to>
            </anchor>
          </controlPr>
        </control>
      </mc:Choice>
      <mc:Fallback>
        <control shapeId="10242" r:id="rId6" name="txt_hyouji"/>
      </mc:Fallback>
    </mc:AlternateContent>
    <mc:AlternateContent xmlns:mc="http://schemas.openxmlformats.org/markup-compatibility/2006">
      <mc:Choice Requires="x14">
        <control shapeId="10243" r:id="rId8" name="btnKoushin1">
          <controlPr defaultSize="0" print="0" autoLine="0" r:id="rId9">
            <anchor moveWithCells="1">
              <from>
                <xdr:col>19</xdr:col>
                <xdr:colOff>0</xdr:colOff>
                <xdr:row>9</xdr:row>
                <xdr:rowOff>66675</xdr:rowOff>
              </from>
              <to>
                <xdr:col>26</xdr:col>
                <xdr:colOff>142875</xdr:colOff>
                <xdr:row>10</xdr:row>
                <xdr:rowOff>104775</xdr:rowOff>
              </to>
            </anchor>
          </controlPr>
        </control>
      </mc:Choice>
      <mc:Fallback>
        <control shapeId="10243" r:id="rId8" name="btnKoushin1"/>
      </mc:Fallback>
    </mc:AlternateContent>
    <mc:AlternateContent xmlns:mc="http://schemas.openxmlformats.org/markup-compatibility/2006">
      <mc:Choice Requires="x14">
        <control shapeId="10251" r:id="rId10" name="Label2">
          <controlPr defaultSize="0" print="0" autoLine="0" r:id="rId11">
            <anchor moveWithCells="1">
              <from>
                <xdr:col>12</xdr:col>
                <xdr:colOff>428625</xdr:colOff>
                <xdr:row>39</xdr:row>
                <xdr:rowOff>9525</xdr:rowOff>
              </from>
              <to>
                <xdr:col>12</xdr:col>
                <xdr:colOff>1152525</xdr:colOff>
                <xdr:row>40</xdr:row>
                <xdr:rowOff>171450</xdr:rowOff>
              </to>
            </anchor>
          </controlPr>
        </control>
      </mc:Choice>
      <mc:Fallback>
        <control shapeId="10251" r:id="rId10" name="Label2"/>
      </mc:Fallback>
    </mc:AlternateContent>
    <mc:AlternateContent xmlns:mc="http://schemas.openxmlformats.org/markup-compatibility/2006">
      <mc:Choice Requires="x14">
        <control shapeId="10252" r:id="rId12" name="Label3">
          <controlPr defaultSize="0" print="0" autoLine="0" r:id="rId13">
            <anchor moveWithCells="1">
              <from>
                <xdr:col>12</xdr:col>
                <xdr:colOff>466725</xdr:colOff>
                <xdr:row>39</xdr:row>
                <xdr:rowOff>123825</xdr:rowOff>
              </from>
              <to>
                <xdr:col>12</xdr:col>
                <xdr:colOff>1104900</xdr:colOff>
                <xdr:row>40</xdr:row>
                <xdr:rowOff>66675</xdr:rowOff>
              </to>
            </anchor>
          </controlPr>
        </control>
      </mc:Choice>
      <mc:Fallback>
        <control shapeId="10252" r:id="rId12" name="Label3"/>
      </mc:Fallback>
    </mc:AlternateContent>
    <mc:AlternateContent xmlns:mc="http://schemas.openxmlformats.org/markup-compatibility/2006">
      <mc:Choice Requires="x14">
        <control shapeId="10253" r:id="rId14" name="Label4">
          <controlPr defaultSize="0" print="0" autoLine="0" r:id="rId15">
            <anchor moveWithCells="1">
              <from>
                <xdr:col>12</xdr:col>
                <xdr:colOff>1152525</xdr:colOff>
                <xdr:row>39</xdr:row>
                <xdr:rowOff>9525</xdr:rowOff>
              </from>
              <to>
                <xdr:col>14</xdr:col>
                <xdr:colOff>219075</xdr:colOff>
                <xdr:row>40</xdr:row>
                <xdr:rowOff>0</xdr:rowOff>
              </to>
            </anchor>
          </controlPr>
        </control>
      </mc:Choice>
      <mc:Fallback>
        <control shapeId="10253" r:id="rId14" name="Label4"/>
      </mc:Fallback>
    </mc:AlternateContent>
    <mc:AlternateContent xmlns:mc="http://schemas.openxmlformats.org/markup-compatibility/2006">
      <mc:Choice Requires="x14">
        <control shapeId="10254" r:id="rId16" name="txt_kounyu">
          <controlPr locked="0" defaultSize="0" print="0" autoLine="0" r:id="rId17">
            <anchor moveWithCells="1">
              <from>
                <xdr:col>12</xdr:col>
                <xdr:colOff>1152525</xdr:colOff>
                <xdr:row>40</xdr:row>
                <xdr:rowOff>0</xdr:rowOff>
              </from>
              <to>
                <xdr:col>14</xdr:col>
                <xdr:colOff>219075</xdr:colOff>
                <xdr:row>40</xdr:row>
                <xdr:rowOff>171450</xdr:rowOff>
              </to>
            </anchor>
          </controlPr>
        </control>
      </mc:Choice>
      <mc:Fallback>
        <control shapeId="10254" r:id="rId16" name="txt_kounyu"/>
      </mc:Fallback>
    </mc:AlternateContent>
    <mc:AlternateContent xmlns:mc="http://schemas.openxmlformats.org/markup-compatibility/2006">
      <mc:Choice Requires="x14">
        <control shapeId="10255"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10255" r:id="rId18" name="btnKoushin2"/>
      </mc:Fallback>
    </mc:AlternateContent>
    <mc:AlternateContent xmlns:mc="http://schemas.openxmlformats.org/markup-compatibility/2006">
      <mc:Choice Requires="x14">
        <control shapeId="10256" r:id="rId20" name="Label5">
          <controlPr defaultSize="0" print="0" autoLine="0" r:id="rId21">
            <anchor moveWithCells="1">
              <from>
                <xdr:col>14</xdr:col>
                <xdr:colOff>200025</xdr:colOff>
                <xdr:row>39</xdr:row>
                <xdr:rowOff>9525</xdr:rowOff>
              </from>
              <to>
                <xdr:col>14</xdr:col>
                <xdr:colOff>923925</xdr:colOff>
                <xdr:row>40</xdr:row>
                <xdr:rowOff>0</xdr:rowOff>
              </to>
            </anchor>
          </controlPr>
        </control>
      </mc:Choice>
      <mc:Fallback>
        <control shapeId="10256" r:id="rId20" name="Label5"/>
      </mc:Fallback>
    </mc:AlternateContent>
    <mc:AlternateContent xmlns:mc="http://schemas.openxmlformats.org/markup-compatibility/2006">
      <mc:Choice Requires="x14">
        <control shapeId="10257" r:id="rId22" name="txt_jikyu">
          <controlPr locked="0" defaultSize="0" print="0" autoLine="0" r:id="rId23">
            <anchor moveWithCells="1">
              <from>
                <xdr:col>14</xdr:col>
                <xdr:colOff>200025</xdr:colOff>
                <xdr:row>40</xdr:row>
                <xdr:rowOff>0</xdr:rowOff>
              </from>
              <to>
                <xdr:col>14</xdr:col>
                <xdr:colOff>923925</xdr:colOff>
                <xdr:row>40</xdr:row>
                <xdr:rowOff>171450</xdr:rowOff>
              </to>
            </anchor>
          </controlPr>
        </control>
      </mc:Choice>
      <mc:Fallback>
        <control shapeId="10257"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382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0" t="s">
        <v>392</v>
      </c>
      <c r="D4" s="48"/>
      <c r="E4" s="48"/>
      <c r="F4" s="48"/>
      <c r="G4" s="48"/>
      <c r="H4" s="48"/>
      <c r="I4" s="48"/>
      <c r="J4" s="48"/>
      <c r="K4" s="48"/>
      <c r="L4" s="48"/>
      <c r="M4" s="48"/>
      <c r="N4" s="48"/>
      <c r="O4" s="48"/>
      <c r="P4" s="48"/>
      <c r="Q4" s="48"/>
      <c r="R4" s="48"/>
      <c r="S4" s="48"/>
      <c r="T4" s="48"/>
      <c r="U4" s="48"/>
      <c r="V4" s="48"/>
      <c r="W4" s="48"/>
      <c r="AU4" s="130" t="s">
        <v>392</v>
      </c>
      <c r="AV4" s="108"/>
      <c r="AW4" s="145"/>
      <c r="AY4" s="145"/>
      <c r="BA4" s="145"/>
    </row>
    <row r="5" spans="1:53" s="30" customFormat="1" ht="18" customHeight="1">
      <c r="A5" s="68"/>
      <c r="B5" s="1542" t="s">
        <v>393</v>
      </c>
      <c r="C5" s="1542"/>
      <c r="D5" s="1542"/>
      <c r="E5" s="1542"/>
      <c r="F5" s="1542"/>
      <c r="G5" s="1542"/>
      <c r="H5" s="1542"/>
      <c r="I5" s="1542"/>
      <c r="J5" s="1542"/>
      <c r="K5" s="1542"/>
      <c r="L5" s="1542"/>
      <c r="M5" s="1542"/>
      <c r="N5" s="1542"/>
      <c r="O5" s="1542"/>
      <c r="P5" s="1542"/>
      <c r="Q5" s="1542"/>
      <c r="R5" s="1542"/>
      <c r="S5" s="1542"/>
      <c r="T5" s="1542"/>
      <c r="U5" s="1542"/>
      <c r="V5" s="1542"/>
      <c r="W5" s="1542"/>
      <c r="X5" s="1542"/>
      <c r="Y5" s="1542"/>
      <c r="Z5" s="1542"/>
      <c r="AA5" s="1542"/>
      <c r="AB5" s="1542"/>
      <c r="AC5" s="1542"/>
      <c r="AD5" s="1542"/>
      <c r="AE5" s="1542"/>
      <c r="AF5" s="1542"/>
      <c r="AG5" s="1542"/>
      <c r="AH5" s="1542"/>
      <c r="AU5" s="147"/>
      <c r="AV5" s="147"/>
      <c r="AW5" s="147"/>
      <c r="AX5" s="2"/>
      <c r="AY5" s="147"/>
      <c r="AZ5" s="2"/>
      <c r="BA5" s="147"/>
    </row>
    <row r="6" spans="1:53" ht="14.1" customHeight="1">
      <c r="A6" s="68"/>
      <c r="B6" s="1542"/>
      <c r="C6" s="1542"/>
      <c r="D6" s="1542"/>
      <c r="E6" s="1542"/>
      <c r="F6" s="1542"/>
      <c r="G6" s="1542"/>
      <c r="H6" s="1542"/>
      <c r="I6" s="1542"/>
      <c r="J6" s="1542"/>
      <c r="K6" s="1542"/>
      <c r="L6" s="1542"/>
      <c r="M6" s="1542"/>
      <c r="N6" s="1542"/>
      <c r="O6" s="1542"/>
      <c r="P6" s="1542"/>
      <c r="Q6" s="1542"/>
      <c r="R6" s="1542"/>
      <c r="S6" s="1542"/>
      <c r="T6" s="1542"/>
      <c r="U6" s="1542"/>
      <c r="V6" s="1542"/>
      <c r="W6" s="1542"/>
      <c r="X6" s="1542"/>
      <c r="Y6" s="1542"/>
      <c r="Z6" s="1542"/>
      <c r="AA6" s="1542"/>
      <c r="AB6" s="1542"/>
      <c r="AC6" s="1542"/>
      <c r="AD6" s="1542"/>
      <c r="AE6" s="1542"/>
      <c r="AF6" s="1542"/>
      <c r="AG6" s="1542"/>
      <c r="AH6" s="1542"/>
      <c r="AI6" s="30"/>
    </row>
    <row r="7" spans="1:53" ht="14.25" customHeight="1">
      <c r="A7" s="47"/>
      <c r="B7" s="1542"/>
      <c r="C7" s="1542"/>
      <c r="D7" s="1542"/>
      <c r="E7" s="1542"/>
      <c r="F7" s="1542"/>
      <c r="G7" s="1542"/>
      <c r="H7" s="1542"/>
      <c r="I7" s="1542"/>
      <c r="J7" s="1542"/>
      <c r="K7" s="1542"/>
      <c r="L7" s="1542"/>
      <c r="M7" s="1542"/>
      <c r="N7" s="1542"/>
      <c r="O7" s="1542"/>
      <c r="P7" s="1542"/>
      <c r="Q7" s="1542"/>
      <c r="R7" s="1542"/>
      <c r="S7" s="1542"/>
      <c r="T7" s="1542"/>
      <c r="U7" s="1542"/>
      <c r="V7" s="1542"/>
      <c r="W7" s="1542"/>
      <c r="X7" s="1542"/>
      <c r="Y7" s="1542"/>
      <c r="Z7" s="1542"/>
      <c r="AA7" s="1542"/>
      <c r="AB7" s="1542"/>
      <c r="AC7" s="1542"/>
      <c r="AD7" s="1542"/>
      <c r="AE7" s="1542"/>
      <c r="AF7" s="1542"/>
      <c r="AG7" s="1542"/>
      <c r="AH7" s="1542"/>
    </row>
    <row r="8" spans="1:53" ht="14.25" customHeight="1" thickBot="1">
      <c r="A8" s="47"/>
      <c r="B8" s="1653"/>
      <c r="C8" s="1653"/>
      <c r="D8" s="1653"/>
      <c r="E8" s="1653"/>
      <c r="F8" s="1653"/>
      <c r="G8" s="1653"/>
      <c r="H8" s="1653"/>
      <c r="I8" s="1653"/>
      <c r="J8" s="1653"/>
      <c r="K8" s="1653"/>
      <c r="L8" s="1653"/>
      <c r="M8" s="1653"/>
      <c r="N8" s="1653"/>
      <c r="O8" s="1653"/>
      <c r="P8" s="1653"/>
      <c r="Q8" s="1653"/>
      <c r="R8" s="1653"/>
      <c r="S8" s="1653"/>
      <c r="T8" s="1653"/>
      <c r="U8" s="1653"/>
      <c r="V8" s="1653"/>
      <c r="W8" s="1653"/>
      <c r="X8" s="1653"/>
      <c r="Y8" s="1653"/>
      <c r="Z8" s="1653"/>
      <c r="AA8" s="1653"/>
      <c r="AB8" s="1653"/>
      <c r="AC8" s="1653"/>
      <c r="AD8" s="1653"/>
      <c r="AE8" s="1653"/>
      <c r="AF8" s="1653"/>
      <c r="AG8" s="1653"/>
      <c r="AH8" s="1653"/>
    </row>
    <row r="9" spans="1:53" ht="14.1" customHeight="1">
      <c r="A9" s="341"/>
      <c r="B9" s="1212" t="s">
        <v>394</v>
      </c>
      <c r="C9" s="1213"/>
      <c r="D9" s="1213"/>
      <c r="E9" s="1213"/>
      <c r="F9" s="1213"/>
      <c r="G9" s="1213"/>
      <c r="H9" s="1213"/>
      <c r="I9" s="1213"/>
      <c r="J9" s="1213"/>
      <c r="K9" s="1213"/>
      <c r="L9" s="1213"/>
      <c r="M9" s="1410"/>
      <c r="N9" s="1436" t="s">
        <v>357</v>
      </c>
      <c r="O9" s="1654"/>
      <c r="P9" s="1654"/>
      <c r="Q9" s="1654"/>
      <c r="R9" s="1654"/>
      <c r="S9" s="1654"/>
      <c r="T9" s="1654"/>
      <c r="U9" s="1654"/>
      <c r="V9" s="1654"/>
      <c r="W9" s="479"/>
      <c r="X9" s="1152" t="s">
        <v>358</v>
      </c>
      <c r="Y9" s="1147"/>
      <c r="Z9" s="1147"/>
      <c r="AA9" s="1147"/>
      <c r="AB9" s="1147"/>
      <c r="AC9" s="1147"/>
      <c r="AD9" s="1147"/>
      <c r="AE9" s="1148"/>
      <c r="AF9" s="1154" t="s">
        <v>301</v>
      </c>
      <c r="AG9" s="1155"/>
      <c r="AH9" s="1156"/>
      <c r="AU9" s="1511" t="s">
        <v>395</v>
      </c>
      <c r="AV9" s="1511"/>
      <c r="AW9" s="1522" t="s">
        <v>357</v>
      </c>
      <c r="AX9" s="1523"/>
      <c r="AY9" s="1522" t="s">
        <v>278</v>
      </c>
      <c r="AZ9" s="1523"/>
      <c r="BA9" s="1528" t="s">
        <v>396</v>
      </c>
    </row>
    <row r="10" spans="1:53" ht="14.1" customHeight="1">
      <c r="A10" s="341"/>
      <c r="B10" s="1215"/>
      <c r="C10" s="1216"/>
      <c r="D10" s="1216"/>
      <c r="E10" s="1216"/>
      <c r="F10" s="1216"/>
      <c r="G10" s="1216"/>
      <c r="H10" s="1216"/>
      <c r="I10" s="1216"/>
      <c r="J10" s="1216"/>
      <c r="K10" s="1216"/>
      <c r="L10" s="1216"/>
      <c r="M10" s="1256"/>
      <c r="N10" s="1437"/>
      <c r="O10" s="1655"/>
      <c r="P10" s="1655"/>
      <c r="Q10" s="1655"/>
      <c r="R10" s="1655"/>
      <c r="S10" s="1655"/>
      <c r="T10" s="1655"/>
      <c r="U10" s="1655"/>
      <c r="V10" s="1655"/>
      <c r="W10" s="1531" t="s">
        <v>132</v>
      </c>
      <c r="X10" s="1458"/>
      <c r="Y10" s="1354"/>
      <c r="Z10" s="1354"/>
      <c r="AA10" s="1354"/>
      <c r="AB10" s="1354"/>
      <c r="AC10" s="1354"/>
      <c r="AD10" s="1354"/>
      <c r="AE10" s="1656"/>
      <c r="AF10" s="1545"/>
      <c r="AG10" s="1659"/>
      <c r="AH10" s="1660"/>
      <c r="AU10" s="1511"/>
      <c r="AV10" s="1511"/>
      <c r="AW10" s="1524"/>
      <c r="AX10" s="1525"/>
      <c r="AY10" s="1524"/>
      <c r="AZ10" s="1525"/>
      <c r="BA10" s="1529"/>
    </row>
    <row r="11" spans="1:53" ht="14.1" customHeight="1" thickBot="1">
      <c r="A11" s="341"/>
      <c r="B11" s="1218"/>
      <c r="C11" s="1219"/>
      <c r="D11" s="1219"/>
      <c r="E11" s="1219"/>
      <c r="F11" s="1219"/>
      <c r="G11" s="1219"/>
      <c r="H11" s="1219"/>
      <c r="I11" s="1219"/>
      <c r="J11" s="1219"/>
      <c r="K11" s="1219"/>
      <c r="L11" s="1219"/>
      <c r="M11" s="1248"/>
      <c r="N11" s="1403"/>
      <c r="O11" s="1404"/>
      <c r="P11" s="1404"/>
      <c r="Q11" s="1404"/>
      <c r="R11" s="1404"/>
      <c r="S11" s="1404"/>
      <c r="T11" s="1404"/>
      <c r="U11" s="1404"/>
      <c r="V11" s="1404"/>
      <c r="W11" s="1532"/>
      <c r="X11" s="1459"/>
      <c r="Y11" s="1657"/>
      <c r="Z11" s="1657"/>
      <c r="AA11" s="1657"/>
      <c r="AB11" s="1657"/>
      <c r="AC11" s="1657"/>
      <c r="AD11" s="1657"/>
      <c r="AE11" s="1658"/>
      <c r="AF11" s="1661"/>
      <c r="AG11" s="1662"/>
      <c r="AH11" s="1663"/>
      <c r="AU11" s="1511"/>
      <c r="AV11" s="1511"/>
      <c r="AW11" s="1526"/>
      <c r="AX11" s="1527"/>
      <c r="AY11" s="1526"/>
      <c r="AZ11" s="1527"/>
      <c r="BA11" s="1530"/>
    </row>
    <row r="12" spans="1:53" ht="30" customHeight="1" thickTop="1" thickBot="1">
      <c r="A12" s="341"/>
      <c r="B12" s="1664" t="s">
        <v>306</v>
      </c>
      <c r="C12" s="1665"/>
      <c r="D12" s="1665"/>
      <c r="E12" s="1665"/>
      <c r="F12" s="1665"/>
      <c r="G12" s="1665"/>
      <c r="H12" s="1665"/>
      <c r="I12" s="1665"/>
      <c r="J12" s="1665"/>
      <c r="K12" s="1665"/>
      <c r="L12" s="1665"/>
      <c r="M12" s="1666"/>
      <c r="N12" s="1667"/>
      <c r="O12" s="1668"/>
      <c r="P12" s="1668"/>
      <c r="Q12" s="1668"/>
      <c r="R12" s="1668"/>
      <c r="S12" s="1668"/>
      <c r="T12" s="1668"/>
      <c r="U12" s="1668"/>
      <c r="V12" s="1669"/>
      <c r="W12" s="481" t="s">
        <v>307</v>
      </c>
      <c r="X12" s="1670"/>
      <c r="Y12" s="1671"/>
      <c r="Z12" s="1671"/>
      <c r="AA12" s="1671"/>
      <c r="AB12" s="1671"/>
      <c r="AC12" s="1671"/>
      <c r="AD12" s="1671"/>
      <c r="AE12" s="1672"/>
      <c r="AF12" s="1673"/>
      <c r="AG12" s="1674"/>
      <c r="AH12" s="1675"/>
      <c r="AU12" s="1676" t="s">
        <v>397</v>
      </c>
      <c r="AV12" s="1676"/>
      <c r="AW12" s="557"/>
      <c r="AX12" s="557"/>
      <c r="AY12" s="557"/>
      <c r="AZ12" s="557"/>
      <c r="BA12" s="398">
        <f>IF(X12&gt;0,ROUND(X12*AF12%,),SUBTOTAL(109,BA13:BA26))</f>
        <v>0</v>
      </c>
    </row>
    <row r="13" spans="1:53" ht="30" customHeight="1" thickTop="1">
      <c r="A13" s="341"/>
      <c r="B13" s="558"/>
      <c r="C13" s="1688" t="s">
        <v>398</v>
      </c>
      <c r="D13" s="1472"/>
      <c r="E13" s="559"/>
      <c r="F13" s="1096" t="s">
        <v>399</v>
      </c>
      <c r="G13" s="1096"/>
      <c r="H13" s="1096"/>
      <c r="I13" s="1096"/>
      <c r="J13" s="1096"/>
      <c r="K13" s="1096"/>
      <c r="L13" s="1096"/>
      <c r="M13" s="560"/>
      <c r="N13" s="1689"/>
      <c r="O13" s="1690"/>
      <c r="P13" s="1690"/>
      <c r="Q13" s="1690"/>
      <c r="R13" s="1690"/>
      <c r="S13" s="1690"/>
      <c r="T13" s="1690"/>
      <c r="U13" s="1690"/>
      <c r="V13" s="1691"/>
      <c r="W13" s="561" t="s">
        <v>307</v>
      </c>
      <c r="X13" s="1692"/>
      <c r="Y13" s="1693"/>
      <c r="Z13" s="1693"/>
      <c r="AA13" s="1693"/>
      <c r="AB13" s="1693"/>
      <c r="AC13" s="1693"/>
      <c r="AD13" s="1693"/>
      <c r="AE13" s="1694"/>
      <c r="AF13" s="1695"/>
      <c r="AG13" s="1695"/>
      <c r="AH13" s="1696"/>
      <c r="AI13" s="489"/>
      <c r="AJ13" s="184"/>
      <c r="AK13" s="184"/>
      <c r="AL13" s="184"/>
      <c r="AM13" s="184"/>
      <c r="AN13" s="184"/>
      <c r="AO13" s="184"/>
      <c r="AP13" s="184"/>
      <c r="AQ13" s="184"/>
      <c r="AR13" s="184"/>
      <c r="AS13" s="184"/>
      <c r="AU13" s="1677" t="s">
        <v>400</v>
      </c>
      <c r="AV13" s="562" t="s">
        <v>399</v>
      </c>
      <c r="AW13" s="563"/>
      <c r="AX13" s="564"/>
      <c r="AY13" s="565"/>
      <c r="AZ13" s="564"/>
      <c r="BA13" s="351">
        <f>ROUND(X13*AF13%,)</f>
        <v>0</v>
      </c>
    </row>
    <row r="14" spans="1:53" ht="30" customHeight="1">
      <c r="B14" s="566"/>
      <c r="C14" s="1688"/>
      <c r="D14" s="1472"/>
      <c r="E14" s="496"/>
      <c r="F14" s="1468" t="s">
        <v>401</v>
      </c>
      <c r="G14" s="1468"/>
      <c r="H14" s="1468"/>
      <c r="I14" s="1468"/>
      <c r="J14" s="1468"/>
      <c r="K14" s="1468"/>
      <c r="L14" s="1468"/>
      <c r="M14" s="567"/>
      <c r="N14" s="1680"/>
      <c r="O14" s="1681"/>
      <c r="P14" s="1681"/>
      <c r="Q14" s="1681"/>
      <c r="R14" s="1681"/>
      <c r="S14" s="1681"/>
      <c r="T14" s="1681"/>
      <c r="U14" s="1681"/>
      <c r="V14" s="1682"/>
      <c r="W14" s="503" t="s">
        <v>273</v>
      </c>
      <c r="X14" s="1683"/>
      <c r="Y14" s="1684"/>
      <c r="Z14" s="1684"/>
      <c r="AA14" s="1684"/>
      <c r="AB14" s="1684"/>
      <c r="AC14" s="1684"/>
      <c r="AD14" s="1684"/>
      <c r="AE14" s="1685"/>
      <c r="AF14" s="1686"/>
      <c r="AG14" s="1686"/>
      <c r="AH14" s="1687"/>
      <c r="AI14" s="489"/>
      <c r="AJ14" s="184"/>
      <c r="AK14" s="184"/>
      <c r="AL14" s="184"/>
      <c r="AM14" s="184"/>
      <c r="AN14" s="184"/>
      <c r="AO14" s="184"/>
      <c r="AP14" s="184"/>
      <c r="AQ14" s="184"/>
      <c r="AR14" s="184"/>
      <c r="AS14" s="184"/>
      <c r="AU14" s="1678"/>
      <c r="AV14" s="562" t="s">
        <v>401</v>
      </c>
      <c r="AW14" s="563"/>
      <c r="AX14" s="564"/>
      <c r="AY14" s="568"/>
      <c r="AZ14" s="564"/>
      <c r="BA14" s="351">
        <f t="shared" ref="BA14:BA26" si="0">ROUND(X14*AF14%,)</f>
        <v>0</v>
      </c>
    </row>
    <row r="15" spans="1:53" ht="30" hidden="1" customHeight="1">
      <c r="B15" s="566"/>
      <c r="C15" s="1688"/>
      <c r="D15" s="1472"/>
      <c r="E15" s="127"/>
      <c r="F15" s="1468" t="s">
        <v>402</v>
      </c>
      <c r="G15" s="1468"/>
      <c r="H15" s="1468"/>
      <c r="I15" s="1468"/>
      <c r="J15" s="1468"/>
      <c r="K15" s="1468"/>
      <c r="L15" s="1468"/>
      <c r="M15" s="567"/>
      <c r="N15" s="1680"/>
      <c r="O15" s="1681"/>
      <c r="P15" s="1681"/>
      <c r="Q15" s="1681"/>
      <c r="R15" s="1681"/>
      <c r="S15" s="1681"/>
      <c r="T15" s="1681"/>
      <c r="U15" s="1681"/>
      <c r="V15" s="1682"/>
      <c r="W15" s="503" t="s">
        <v>307</v>
      </c>
      <c r="X15" s="1683"/>
      <c r="Y15" s="1684"/>
      <c r="Z15" s="1684"/>
      <c r="AA15" s="1684"/>
      <c r="AB15" s="1684"/>
      <c r="AC15" s="1684"/>
      <c r="AD15" s="1684"/>
      <c r="AE15" s="1685"/>
      <c r="AF15" s="1686"/>
      <c r="AG15" s="1686"/>
      <c r="AH15" s="1687"/>
      <c r="AI15" s="489"/>
      <c r="AJ15" s="184"/>
      <c r="AK15" s="184"/>
      <c r="AL15" s="184"/>
      <c r="AM15" s="184"/>
      <c r="AN15" s="184"/>
      <c r="AO15" s="184"/>
      <c r="AP15" s="184"/>
      <c r="AQ15" s="184"/>
      <c r="AR15" s="184"/>
      <c r="AS15" s="184"/>
      <c r="AU15" s="1679"/>
      <c r="AV15" s="562" t="s">
        <v>402</v>
      </c>
      <c r="AW15" s="563"/>
      <c r="AX15" s="564"/>
      <c r="AY15" s="568"/>
      <c r="AZ15" s="564"/>
      <c r="BA15" s="351">
        <f t="shared" si="0"/>
        <v>0</v>
      </c>
    </row>
    <row r="16" spans="1:53" ht="30" customHeight="1">
      <c r="B16" s="566"/>
      <c r="C16" s="569"/>
      <c r="D16" s="1698" t="s">
        <v>403</v>
      </c>
      <c r="E16" s="1698"/>
      <c r="F16" s="1698"/>
      <c r="G16" s="1698"/>
      <c r="H16" s="1698"/>
      <c r="I16" s="1698"/>
      <c r="J16" s="1698"/>
      <c r="K16" s="1698"/>
      <c r="L16" s="1698"/>
      <c r="M16" s="567"/>
      <c r="N16" s="1702"/>
      <c r="O16" s="1703"/>
      <c r="P16" s="1703"/>
      <c r="Q16" s="1703"/>
      <c r="R16" s="1703"/>
      <c r="S16" s="1703"/>
      <c r="T16" s="1703"/>
      <c r="U16" s="1703"/>
      <c r="V16" s="1704"/>
      <c r="W16" s="503" t="s">
        <v>307</v>
      </c>
      <c r="X16" s="1683"/>
      <c r="Y16" s="1684"/>
      <c r="Z16" s="1684"/>
      <c r="AA16" s="1684"/>
      <c r="AB16" s="1684"/>
      <c r="AC16" s="1684"/>
      <c r="AD16" s="1684"/>
      <c r="AE16" s="1685"/>
      <c r="AF16" s="1686"/>
      <c r="AG16" s="1686"/>
      <c r="AH16" s="1687"/>
      <c r="AI16" s="489"/>
      <c r="AJ16" s="184"/>
      <c r="AK16" s="184"/>
      <c r="AL16" s="184"/>
      <c r="AM16" s="184"/>
      <c r="AN16" s="184"/>
      <c r="AO16" s="184"/>
      <c r="AP16" s="184"/>
      <c r="AQ16" s="184"/>
      <c r="AR16" s="184"/>
      <c r="AS16" s="184"/>
      <c r="AU16" s="1697" t="s">
        <v>403</v>
      </c>
      <c r="AV16" s="1697"/>
      <c r="AW16" s="563"/>
      <c r="AX16" s="564"/>
      <c r="AY16" s="568"/>
      <c r="AZ16" s="564"/>
      <c r="BA16" s="351">
        <f t="shared" si="0"/>
        <v>0</v>
      </c>
    </row>
    <row r="17" spans="1:53" ht="30" customHeight="1">
      <c r="B17" s="566"/>
      <c r="C17" s="569"/>
      <c r="D17" s="1698" t="s">
        <v>404</v>
      </c>
      <c r="E17" s="1698"/>
      <c r="F17" s="1698"/>
      <c r="G17" s="1698"/>
      <c r="H17" s="1698"/>
      <c r="I17" s="1698"/>
      <c r="J17" s="1698"/>
      <c r="K17" s="1698"/>
      <c r="L17" s="1698"/>
      <c r="M17" s="486"/>
      <c r="N17" s="1699"/>
      <c r="O17" s="1700"/>
      <c r="P17" s="1700"/>
      <c r="Q17" s="1700"/>
      <c r="R17" s="1700"/>
      <c r="S17" s="1700"/>
      <c r="T17" s="1700"/>
      <c r="U17" s="1700"/>
      <c r="V17" s="1701"/>
      <c r="W17" s="570" t="s">
        <v>170</v>
      </c>
      <c r="X17" s="1683"/>
      <c r="Y17" s="1684"/>
      <c r="Z17" s="1684"/>
      <c r="AA17" s="1684"/>
      <c r="AB17" s="1684"/>
      <c r="AC17" s="1684"/>
      <c r="AD17" s="1684"/>
      <c r="AE17" s="1685"/>
      <c r="AF17" s="1686"/>
      <c r="AG17" s="1686"/>
      <c r="AH17" s="1687"/>
      <c r="AI17" s="489"/>
      <c r="AJ17" s="184"/>
      <c r="AK17" s="184"/>
      <c r="AL17" s="184"/>
      <c r="AM17" s="184"/>
      <c r="AN17" s="184"/>
      <c r="AO17" s="184"/>
      <c r="AP17" s="184"/>
      <c r="AQ17" s="184"/>
      <c r="AR17" s="184"/>
      <c r="AS17" s="184"/>
      <c r="AU17" s="1697" t="s">
        <v>404</v>
      </c>
      <c r="AV17" s="1697"/>
      <c r="AW17" s="571">
        <f>ROUND(N17*AF17%,1)</f>
        <v>0</v>
      </c>
      <c r="AX17" s="491" t="s">
        <v>405</v>
      </c>
      <c r="AY17" s="492">
        <f>IF(AND(AW17&gt;0,BA17&gt;0),ROUND(BA17/AW17,2),)</f>
        <v>0</v>
      </c>
      <c r="AZ17" s="491" t="s">
        <v>406</v>
      </c>
      <c r="BA17" s="351">
        <f t="shared" si="0"/>
        <v>0</v>
      </c>
    </row>
    <row r="18" spans="1:53" ht="30" customHeight="1">
      <c r="B18" s="566"/>
      <c r="C18" s="569"/>
      <c r="D18" s="1698" t="s">
        <v>407</v>
      </c>
      <c r="E18" s="1698"/>
      <c r="F18" s="1698"/>
      <c r="G18" s="1698"/>
      <c r="H18" s="1698"/>
      <c r="I18" s="1698"/>
      <c r="J18" s="1698"/>
      <c r="K18" s="1698"/>
      <c r="L18" s="1698"/>
      <c r="M18" s="486"/>
      <c r="N18" s="1705"/>
      <c r="O18" s="1706"/>
      <c r="P18" s="1706"/>
      <c r="Q18" s="1706"/>
      <c r="R18" s="1706"/>
      <c r="S18" s="1706"/>
      <c r="T18" s="1706"/>
      <c r="U18" s="1706"/>
      <c r="V18" s="1707"/>
      <c r="W18" s="570" t="s">
        <v>170</v>
      </c>
      <c r="X18" s="1683"/>
      <c r="Y18" s="1684"/>
      <c r="Z18" s="1684"/>
      <c r="AA18" s="1684"/>
      <c r="AB18" s="1684"/>
      <c r="AC18" s="1684"/>
      <c r="AD18" s="1684"/>
      <c r="AE18" s="1685"/>
      <c r="AF18" s="1686"/>
      <c r="AG18" s="1686"/>
      <c r="AH18" s="1687"/>
      <c r="AI18" s="489"/>
      <c r="AJ18" s="184"/>
      <c r="AK18" s="184"/>
      <c r="AL18" s="184"/>
      <c r="AM18" s="184"/>
      <c r="AN18" s="184"/>
      <c r="AO18" s="184"/>
      <c r="AP18" s="184"/>
      <c r="AQ18" s="184"/>
      <c r="AR18" s="184"/>
      <c r="AS18" s="184"/>
      <c r="AU18" s="1697" t="s">
        <v>407</v>
      </c>
      <c r="AV18" s="1697"/>
      <c r="AW18" s="571">
        <f>ROUND(N18*AF18%,1)</f>
        <v>0</v>
      </c>
      <c r="AX18" s="491" t="s">
        <v>408</v>
      </c>
      <c r="AY18" s="492">
        <f t="shared" ref="AY18:AY25" si="1">IF(AND(AW18&gt;0,BA18&gt;0),ROUND(BA18/AW18,2),)</f>
        <v>0</v>
      </c>
      <c r="AZ18" s="491" t="s">
        <v>406</v>
      </c>
      <c r="BA18" s="351">
        <f t="shared" si="0"/>
        <v>0</v>
      </c>
    </row>
    <row r="19" spans="1:53" ht="30" customHeight="1">
      <c r="B19" s="566"/>
      <c r="C19" s="569"/>
      <c r="D19" s="1698" t="s">
        <v>409</v>
      </c>
      <c r="E19" s="1698"/>
      <c r="F19" s="1698"/>
      <c r="G19" s="1698"/>
      <c r="H19" s="1698"/>
      <c r="I19" s="1698"/>
      <c r="J19" s="1698"/>
      <c r="K19" s="1698"/>
      <c r="L19" s="1698"/>
      <c r="M19" s="486"/>
      <c r="N19" s="1705"/>
      <c r="O19" s="1706"/>
      <c r="P19" s="1706"/>
      <c r="Q19" s="1706"/>
      <c r="R19" s="1706"/>
      <c r="S19" s="1706"/>
      <c r="T19" s="1706"/>
      <c r="U19" s="1706"/>
      <c r="V19" s="1707"/>
      <c r="W19" s="570" t="s">
        <v>163</v>
      </c>
      <c r="X19" s="1683"/>
      <c r="Y19" s="1684"/>
      <c r="Z19" s="1684"/>
      <c r="AA19" s="1684"/>
      <c r="AB19" s="1684"/>
      <c r="AC19" s="1684"/>
      <c r="AD19" s="1684"/>
      <c r="AE19" s="1685"/>
      <c r="AF19" s="1686"/>
      <c r="AG19" s="1686"/>
      <c r="AH19" s="1687"/>
      <c r="AI19" s="489"/>
      <c r="AJ19" s="184"/>
      <c r="AK19" s="184"/>
      <c r="AL19" s="184"/>
      <c r="AM19" s="184"/>
      <c r="AN19" s="184"/>
      <c r="AO19" s="184"/>
      <c r="AP19" s="184"/>
      <c r="AQ19" s="184"/>
      <c r="AR19" s="184"/>
      <c r="AS19" s="184"/>
      <c r="AU19" s="1697" t="s">
        <v>410</v>
      </c>
      <c r="AV19" s="1697"/>
      <c r="AW19" s="571">
        <f>ROUND(N19*AF19%,1)</f>
        <v>0</v>
      </c>
      <c r="AX19" s="491" t="s">
        <v>408</v>
      </c>
      <c r="AY19" s="492">
        <f t="shared" si="1"/>
        <v>0</v>
      </c>
      <c r="AZ19" s="491" t="s">
        <v>406</v>
      </c>
      <c r="BA19" s="351">
        <f t="shared" si="0"/>
        <v>0</v>
      </c>
    </row>
    <row r="20" spans="1:53" ht="30" customHeight="1" thickBot="1">
      <c r="B20" s="566"/>
      <c r="C20" s="572"/>
      <c r="D20" s="1719" t="s">
        <v>411</v>
      </c>
      <c r="E20" s="1719"/>
      <c r="F20" s="1719"/>
      <c r="G20" s="1719"/>
      <c r="H20" s="1719"/>
      <c r="I20" s="1719"/>
      <c r="J20" s="1719"/>
      <c r="K20" s="1719"/>
      <c r="L20" s="1719"/>
      <c r="M20" s="497"/>
      <c r="N20" s="1720"/>
      <c r="O20" s="1721"/>
      <c r="P20" s="1721"/>
      <c r="Q20" s="1721"/>
      <c r="R20" s="1721"/>
      <c r="S20" s="1721"/>
      <c r="T20" s="1721"/>
      <c r="U20" s="1721"/>
      <c r="V20" s="1722"/>
      <c r="W20" s="494" t="s">
        <v>163</v>
      </c>
      <c r="X20" s="1723"/>
      <c r="Y20" s="1724"/>
      <c r="Z20" s="1724"/>
      <c r="AA20" s="1724"/>
      <c r="AB20" s="1724"/>
      <c r="AC20" s="1724"/>
      <c r="AD20" s="1724"/>
      <c r="AE20" s="1725"/>
      <c r="AF20" s="1726"/>
      <c r="AG20" s="1726"/>
      <c r="AH20" s="1727"/>
      <c r="AI20" s="489"/>
      <c r="AJ20" s="184"/>
      <c r="AK20" s="184"/>
      <c r="AL20" s="184"/>
      <c r="AM20" s="184"/>
      <c r="AN20" s="184"/>
      <c r="AO20" s="184"/>
      <c r="AP20" s="184"/>
      <c r="AQ20" s="184"/>
      <c r="AR20" s="184"/>
      <c r="AS20" s="184"/>
      <c r="AU20" s="1728" t="s">
        <v>411</v>
      </c>
      <c r="AV20" s="1728"/>
      <c r="AW20" s="573">
        <f>ROUND(N20*AF20%,1)</f>
        <v>0</v>
      </c>
      <c r="AX20" s="574" t="s">
        <v>408</v>
      </c>
      <c r="AY20" s="575">
        <f t="shared" si="1"/>
        <v>0</v>
      </c>
      <c r="AZ20" s="574" t="s">
        <v>406</v>
      </c>
      <c r="BA20" s="576">
        <f t="shared" si="0"/>
        <v>0</v>
      </c>
    </row>
    <row r="21" spans="1:53" ht="30" customHeight="1" thickTop="1">
      <c r="B21" s="566"/>
      <c r="C21" s="577"/>
      <c r="D21" s="1708" t="s">
        <v>412</v>
      </c>
      <c r="E21" s="1708"/>
      <c r="F21" s="1708"/>
      <c r="G21" s="1708"/>
      <c r="H21" s="1708"/>
      <c r="I21" s="1708"/>
      <c r="J21" s="1708"/>
      <c r="K21" s="1708"/>
      <c r="L21" s="1708"/>
      <c r="M21" s="578"/>
      <c r="N21" s="1709"/>
      <c r="O21" s="1710"/>
      <c r="P21" s="1710"/>
      <c r="Q21" s="1710"/>
      <c r="R21" s="1710"/>
      <c r="S21" s="1710"/>
      <c r="T21" s="1710"/>
      <c r="U21" s="1710"/>
      <c r="V21" s="1711"/>
      <c r="W21" s="487" t="s">
        <v>172</v>
      </c>
      <c r="X21" s="1712"/>
      <c r="Y21" s="1713"/>
      <c r="Z21" s="1713"/>
      <c r="AA21" s="1713"/>
      <c r="AB21" s="1713"/>
      <c r="AC21" s="1713"/>
      <c r="AD21" s="1713"/>
      <c r="AE21" s="1714"/>
      <c r="AF21" s="1715"/>
      <c r="AG21" s="1715"/>
      <c r="AH21" s="1716"/>
      <c r="AI21" s="489"/>
      <c r="AJ21" s="184"/>
      <c r="AK21" s="184"/>
      <c r="AL21" s="184"/>
      <c r="AM21" s="184"/>
      <c r="AN21" s="184"/>
      <c r="AO21" s="184"/>
      <c r="AP21" s="184"/>
      <c r="AQ21" s="184"/>
      <c r="AR21" s="184"/>
      <c r="AS21" s="184"/>
      <c r="AU21" s="1717" t="s">
        <v>413</v>
      </c>
      <c r="AV21" s="1718"/>
      <c r="AW21" s="579">
        <f>ROUND(N21*AF21%,)</f>
        <v>0</v>
      </c>
      <c r="AX21" s="491" t="s">
        <v>414</v>
      </c>
      <c r="AY21" s="234">
        <f t="shared" si="1"/>
        <v>0</v>
      </c>
      <c r="AZ21" s="491" t="s">
        <v>390</v>
      </c>
      <c r="BA21" s="351">
        <f t="shared" si="0"/>
        <v>0</v>
      </c>
    </row>
    <row r="22" spans="1:53" ht="30" hidden="1" customHeight="1">
      <c r="B22" s="566"/>
      <c r="C22" s="580"/>
      <c r="D22" s="1729" t="s">
        <v>415</v>
      </c>
      <c r="E22" s="1708"/>
      <c r="F22" s="1708"/>
      <c r="G22" s="1708"/>
      <c r="H22" s="1708"/>
      <c r="I22" s="1708"/>
      <c r="J22" s="1708"/>
      <c r="K22" s="1708"/>
      <c r="L22" s="1708"/>
      <c r="M22" s="581"/>
      <c r="N22" s="1730"/>
      <c r="O22" s="1731"/>
      <c r="P22" s="1731"/>
      <c r="Q22" s="1731"/>
      <c r="R22" s="1731"/>
      <c r="S22" s="1731"/>
      <c r="T22" s="1731"/>
      <c r="U22" s="1731"/>
      <c r="V22" s="1732"/>
      <c r="W22" s="582" t="s">
        <v>172</v>
      </c>
      <c r="X22" s="1712"/>
      <c r="Y22" s="1713"/>
      <c r="Z22" s="1713"/>
      <c r="AA22" s="1713"/>
      <c r="AB22" s="1713"/>
      <c r="AC22" s="1713"/>
      <c r="AD22" s="1713"/>
      <c r="AE22" s="1714"/>
      <c r="AF22" s="1715"/>
      <c r="AG22" s="1715"/>
      <c r="AH22" s="1716"/>
      <c r="AI22" s="489"/>
      <c r="AJ22" s="184"/>
      <c r="AK22" s="184"/>
      <c r="AL22" s="184"/>
      <c r="AM22" s="184"/>
      <c r="AN22" s="184"/>
      <c r="AO22" s="184"/>
      <c r="AP22" s="184"/>
      <c r="AQ22" s="184"/>
      <c r="AR22" s="184"/>
      <c r="AS22" s="184"/>
      <c r="AU22" s="583"/>
      <c r="AV22" s="139" t="s">
        <v>415</v>
      </c>
      <c r="AW22" s="579">
        <f>ROUND(N22*AF22%,)</f>
        <v>0</v>
      </c>
      <c r="AX22" s="491" t="s">
        <v>414</v>
      </c>
      <c r="AY22" s="234">
        <f t="shared" si="1"/>
        <v>0</v>
      </c>
      <c r="AZ22" s="491" t="s">
        <v>390</v>
      </c>
      <c r="BA22" s="351">
        <f t="shared" si="0"/>
        <v>0</v>
      </c>
    </row>
    <row r="23" spans="1:53" ht="30" hidden="1" customHeight="1">
      <c r="B23" s="566"/>
      <c r="C23" s="584"/>
      <c r="D23" s="1733" t="s">
        <v>416</v>
      </c>
      <c r="E23" s="1734"/>
      <c r="F23" s="1734"/>
      <c r="G23" s="1734"/>
      <c r="H23" s="1734"/>
      <c r="I23" s="1734"/>
      <c r="J23" s="1734"/>
      <c r="K23" s="1734"/>
      <c r="L23" s="1734"/>
      <c r="M23" s="127"/>
      <c r="N23" s="1735"/>
      <c r="O23" s="1736"/>
      <c r="P23" s="1736"/>
      <c r="Q23" s="1736"/>
      <c r="R23" s="1736"/>
      <c r="S23" s="1736"/>
      <c r="T23" s="1736"/>
      <c r="U23" s="1736"/>
      <c r="V23" s="1737"/>
      <c r="W23" s="570" t="s">
        <v>417</v>
      </c>
      <c r="X23" s="1683"/>
      <c r="Y23" s="1684"/>
      <c r="Z23" s="1684"/>
      <c r="AA23" s="1684"/>
      <c r="AB23" s="1684"/>
      <c r="AC23" s="1684"/>
      <c r="AD23" s="1684"/>
      <c r="AE23" s="1685"/>
      <c r="AF23" s="1686"/>
      <c r="AG23" s="1686"/>
      <c r="AH23" s="1687"/>
      <c r="AI23" s="489"/>
      <c r="AJ23" s="184"/>
      <c r="AK23" s="184"/>
      <c r="AL23" s="184"/>
      <c r="AM23" s="184"/>
      <c r="AN23" s="184"/>
      <c r="AO23" s="184"/>
      <c r="AP23" s="184"/>
      <c r="AQ23" s="184"/>
      <c r="AR23" s="184"/>
      <c r="AS23" s="184"/>
      <c r="AU23" s="583"/>
      <c r="AV23" s="139" t="s">
        <v>416</v>
      </c>
      <c r="AW23" s="579">
        <f>ROUND(N23*AF23%,)</f>
        <v>0</v>
      </c>
      <c r="AX23" s="491" t="s">
        <v>414</v>
      </c>
      <c r="AY23" s="492">
        <f t="shared" si="1"/>
        <v>0</v>
      </c>
      <c r="AZ23" s="491" t="s">
        <v>390</v>
      </c>
      <c r="BA23" s="351">
        <f t="shared" si="0"/>
        <v>0</v>
      </c>
    </row>
    <row r="24" spans="1:53" ht="30" hidden="1" customHeight="1">
      <c r="B24" s="566"/>
      <c r="C24" s="585"/>
      <c r="D24" s="1738" t="s">
        <v>418</v>
      </c>
      <c r="E24" s="1739"/>
      <c r="F24" s="1739"/>
      <c r="G24" s="1739"/>
      <c r="H24" s="1739"/>
      <c r="I24" s="1739"/>
      <c r="J24" s="1739"/>
      <c r="K24" s="1739"/>
      <c r="L24" s="1739"/>
      <c r="M24" s="486"/>
      <c r="N24" s="1735"/>
      <c r="O24" s="1736"/>
      <c r="P24" s="1736"/>
      <c r="Q24" s="1736"/>
      <c r="R24" s="1736"/>
      <c r="S24" s="1736"/>
      <c r="T24" s="1736"/>
      <c r="U24" s="1736"/>
      <c r="V24" s="1737"/>
      <c r="W24" s="570" t="s">
        <v>333</v>
      </c>
      <c r="X24" s="1683"/>
      <c r="Y24" s="1684"/>
      <c r="Z24" s="1684"/>
      <c r="AA24" s="1684"/>
      <c r="AB24" s="1684"/>
      <c r="AC24" s="1684"/>
      <c r="AD24" s="1684"/>
      <c r="AE24" s="1685"/>
      <c r="AF24" s="1686"/>
      <c r="AG24" s="1686"/>
      <c r="AH24" s="1687"/>
      <c r="AI24" s="489"/>
      <c r="AJ24" s="184"/>
      <c r="AK24" s="184"/>
      <c r="AL24" s="184"/>
      <c r="AM24" s="184"/>
      <c r="AN24" s="184"/>
      <c r="AO24" s="184"/>
      <c r="AP24" s="184"/>
      <c r="AQ24" s="184"/>
      <c r="AR24" s="184"/>
      <c r="AS24" s="184"/>
      <c r="AU24" s="586"/>
      <c r="AV24" s="139" t="s">
        <v>418</v>
      </c>
      <c r="AW24" s="579">
        <f>ROUND(N24*AF24%,)</f>
        <v>0</v>
      </c>
      <c r="AX24" s="491" t="s">
        <v>414</v>
      </c>
      <c r="AY24" s="492">
        <f t="shared" si="1"/>
        <v>0</v>
      </c>
      <c r="AZ24" s="491" t="s">
        <v>390</v>
      </c>
      <c r="BA24" s="351">
        <f t="shared" si="0"/>
        <v>0</v>
      </c>
    </row>
    <row r="25" spans="1:53" ht="30" hidden="1" customHeight="1">
      <c r="B25" s="566"/>
      <c r="C25" s="584"/>
      <c r="D25" s="1698" t="s">
        <v>419</v>
      </c>
      <c r="E25" s="1698"/>
      <c r="F25" s="1698"/>
      <c r="G25" s="1698"/>
      <c r="H25" s="1698"/>
      <c r="I25" s="1698"/>
      <c r="J25" s="1698"/>
      <c r="K25" s="1698"/>
      <c r="L25" s="1698"/>
      <c r="M25" s="486"/>
      <c r="N25" s="1740"/>
      <c r="O25" s="1741"/>
      <c r="P25" s="1741"/>
      <c r="Q25" s="1741"/>
      <c r="R25" s="1741"/>
      <c r="S25" s="1741"/>
      <c r="T25" s="1741"/>
      <c r="U25" s="1741"/>
      <c r="V25" s="1742"/>
      <c r="W25" s="570" t="s">
        <v>172</v>
      </c>
      <c r="X25" s="1683"/>
      <c r="Y25" s="1684"/>
      <c r="Z25" s="1684"/>
      <c r="AA25" s="1684"/>
      <c r="AB25" s="1684"/>
      <c r="AC25" s="1684"/>
      <c r="AD25" s="1684"/>
      <c r="AE25" s="1685"/>
      <c r="AF25" s="1686"/>
      <c r="AG25" s="1686"/>
      <c r="AH25" s="1687"/>
      <c r="AI25" s="489"/>
      <c r="AJ25" s="184"/>
      <c r="AK25" s="184"/>
      <c r="AL25" s="184"/>
      <c r="AM25" s="184"/>
      <c r="AN25" s="184"/>
      <c r="AO25" s="184"/>
      <c r="AP25" s="184"/>
      <c r="AQ25" s="184"/>
      <c r="AR25" s="184"/>
      <c r="AS25" s="184"/>
      <c r="AU25" s="1697" t="s">
        <v>419</v>
      </c>
      <c r="AV25" s="1697"/>
      <c r="AW25" s="579">
        <f>ROUND(N25*AF25%,)</f>
        <v>0</v>
      </c>
      <c r="AX25" s="491" t="s">
        <v>414</v>
      </c>
      <c r="AY25" s="492">
        <f t="shared" si="1"/>
        <v>0</v>
      </c>
      <c r="AZ25" s="491" t="s">
        <v>390</v>
      </c>
      <c r="BA25" s="351">
        <f t="shared" si="0"/>
        <v>0</v>
      </c>
    </row>
    <row r="26" spans="1:53" s="30" customFormat="1" ht="30" customHeight="1" thickBot="1">
      <c r="A26" s="2"/>
      <c r="B26" s="587"/>
      <c r="C26" s="588"/>
      <c r="D26" s="1512" t="s">
        <v>420</v>
      </c>
      <c r="E26" s="1512"/>
      <c r="F26" s="1512"/>
      <c r="G26" s="1512"/>
      <c r="H26" s="1512"/>
      <c r="I26" s="1512"/>
      <c r="J26" s="1512"/>
      <c r="K26" s="1512"/>
      <c r="L26" s="1512"/>
      <c r="M26" s="589"/>
      <c r="N26" s="1745"/>
      <c r="O26" s="1746"/>
      <c r="P26" s="1746"/>
      <c r="Q26" s="1746"/>
      <c r="R26" s="1746"/>
      <c r="S26" s="1746"/>
      <c r="T26" s="1746"/>
      <c r="U26" s="1746"/>
      <c r="V26" s="1747"/>
      <c r="W26" s="590" t="s">
        <v>307</v>
      </c>
      <c r="X26" s="1748"/>
      <c r="Y26" s="1749"/>
      <c r="Z26" s="1749"/>
      <c r="AA26" s="1749"/>
      <c r="AB26" s="1749"/>
      <c r="AC26" s="1749"/>
      <c r="AD26" s="1749"/>
      <c r="AE26" s="1750"/>
      <c r="AF26" s="1751"/>
      <c r="AG26" s="1751"/>
      <c r="AH26" s="1752"/>
      <c r="AI26" s="489"/>
      <c r="AJ26" s="195"/>
      <c r="AK26" s="195"/>
      <c r="AL26" s="195"/>
      <c r="AM26" s="195"/>
      <c r="AN26" s="195"/>
      <c r="AO26" s="195"/>
      <c r="AP26" s="195"/>
      <c r="AQ26" s="195"/>
      <c r="AR26" s="195"/>
      <c r="AS26" s="195"/>
      <c r="AU26" s="1697" t="s">
        <v>421</v>
      </c>
      <c r="AV26" s="1697"/>
      <c r="AW26" s="563"/>
      <c r="AX26" s="563"/>
      <c r="AY26" s="563"/>
      <c r="AZ26" s="563"/>
      <c r="BA26" s="351">
        <f t="shared" si="0"/>
        <v>0</v>
      </c>
    </row>
    <row r="27" spans="1:53" s="30" customFormat="1" ht="14.25" customHeight="1">
      <c r="A27" s="2"/>
      <c r="B27" s="1743" t="s">
        <v>422</v>
      </c>
      <c r="C27" s="1744"/>
      <c r="D27" s="1744"/>
      <c r="E27" s="1744"/>
      <c r="F27" s="1744"/>
      <c r="G27" s="1744"/>
      <c r="H27" s="1744"/>
      <c r="I27" s="1744"/>
      <c r="J27" s="1744"/>
      <c r="K27" s="1744"/>
      <c r="L27" s="1744"/>
      <c r="M27" s="1744"/>
      <c r="N27" s="1744"/>
      <c r="O27" s="1744"/>
      <c r="P27" s="1744"/>
      <c r="Q27" s="1744"/>
      <c r="R27" s="1744"/>
      <c r="S27" s="1744"/>
      <c r="T27" s="1744"/>
      <c r="U27" s="1744"/>
      <c r="V27" s="1744"/>
      <c r="W27" s="1744"/>
      <c r="X27" s="1744"/>
      <c r="Y27" s="1744"/>
      <c r="Z27" s="1744"/>
      <c r="AA27" s="1744"/>
      <c r="AB27" s="1744"/>
      <c r="AC27" s="1744"/>
      <c r="AD27" s="1744"/>
      <c r="AE27" s="1744"/>
      <c r="AF27" s="1744"/>
      <c r="AG27" s="1744"/>
      <c r="AH27" s="1744"/>
      <c r="AI27" s="1124"/>
      <c r="AJ27" s="1124"/>
      <c r="AK27" s="1124"/>
      <c r="AL27" s="1124"/>
      <c r="AU27" s="2"/>
      <c r="AV27" s="2"/>
      <c r="AW27" s="2"/>
      <c r="AX27" s="2"/>
      <c r="AY27" s="2"/>
      <c r="AZ27" s="2"/>
      <c r="BA27" s="2"/>
    </row>
    <row r="28" spans="1:53" ht="14.25" customHeight="1">
      <c r="B28" s="1743" t="s">
        <v>423</v>
      </c>
      <c r="C28" s="1520"/>
      <c r="D28" s="1520"/>
      <c r="E28" s="1520"/>
      <c r="F28" s="1520"/>
      <c r="G28" s="1520"/>
      <c r="H28" s="1520"/>
      <c r="I28" s="1520"/>
      <c r="J28" s="1520"/>
      <c r="K28" s="1520"/>
      <c r="L28" s="1520"/>
      <c r="M28" s="1520"/>
      <c r="N28" s="1520"/>
      <c r="O28" s="1520"/>
      <c r="P28" s="1520"/>
      <c r="Q28" s="1520"/>
      <c r="R28" s="1520"/>
      <c r="S28" s="1520"/>
      <c r="T28" s="1520"/>
      <c r="U28" s="1520"/>
      <c r="V28" s="1520"/>
      <c r="W28" s="1520"/>
      <c r="X28" s="1520"/>
      <c r="Y28" s="1520"/>
      <c r="Z28" s="1520"/>
      <c r="AA28" s="1520"/>
      <c r="AB28" s="1520"/>
      <c r="AC28" s="1520"/>
      <c r="AD28" s="1520"/>
      <c r="AE28" s="1520"/>
      <c r="AF28" s="1520"/>
      <c r="AG28" s="1520"/>
      <c r="AH28" s="1520"/>
      <c r="AI28" s="1124"/>
      <c r="AJ28" s="1124"/>
      <c r="AK28" s="1124"/>
      <c r="AL28" s="1124"/>
    </row>
    <row r="29" spans="1:53" ht="14.25" customHeight="1">
      <c r="B29" s="1520"/>
      <c r="C29" s="1520"/>
      <c r="D29" s="1520"/>
      <c r="E29" s="1520"/>
      <c r="F29" s="1520"/>
      <c r="G29" s="1520"/>
      <c r="H29" s="1520"/>
      <c r="I29" s="1520"/>
      <c r="J29" s="1520"/>
      <c r="K29" s="1520"/>
      <c r="L29" s="1520"/>
      <c r="M29" s="1520"/>
      <c r="N29" s="1520"/>
      <c r="O29" s="1520"/>
      <c r="P29" s="1520"/>
      <c r="Q29" s="1520"/>
      <c r="R29" s="1520"/>
      <c r="S29" s="1520"/>
      <c r="T29" s="1520"/>
      <c r="U29" s="1520"/>
      <c r="V29" s="1520"/>
      <c r="W29" s="1520"/>
      <c r="X29" s="1520"/>
      <c r="Y29" s="1520"/>
      <c r="Z29" s="1520"/>
      <c r="AA29" s="1520"/>
      <c r="AB29" s="1520"/>
      <c r="AC29" s="1520"/>
      <c r="AD29" s="1520"/>
      <c r="AE29" s="1520"/>
      <c r="AF29" s="1520"/>
      <c r="AG29" s="1520"/>
      <c r="AH29" s="1520"/>
      <c r="AI29" s="1124"/>
      <c r="AJ29" s="1124"/>
      <c r="AK29" s="1124"/>
      <c r="AL29" s="1124"/>
    </row>
    <row r="31" spans="1:53" ht="13.5" customHeight="1">
      <c r="D31" s="591"/>
      <c r="E31" s="592"/>
      <c r="F31" s="591"/>
      <c r="G31" s="591"/>
      <c r="H31" s="591"/>
      <c r="I31" s="591"/>
      <c r="J31" s="591"/>
      <c r="K31" s="591"/>
      <c r="L31" s="591"/>
      <c r="M31" s="591"/>
      <c r="N31" s="591"/>
      <c r="O31" s="591"/>
      <c r="P31" s="591"/>
      <c r="Q31" s="591"/>
      <c r="R31" s="591"/>
      <c r="S31" s="591"/>
      <c r="T31" s="591"/>
      <c r="U31" s="591"/>
      <c r="V31" s="591"/>
      <c r="W31" s="591"/>
      <c r="X31" s="591"/>
      <c r="Y31" s="591"/>
      <c r="Z31" s="591"/>
      <c r="AA31" s="591"/>
      <c r="AB31" s="591"/>
      <c r="AC31" s="591"/>
      <c r="AD31" s="591"/>
      <c r="AE31" s="591"/>
      <c r="AF31" s="591"/>
      <c r="AG31" s="591"/>
      <c r="AH31" s="591"/>
    </row>
    <row r="32" spans="1:53" ht="18" customHeight="1">
      <c r="A32" s="184"/>
      <c r="B32" s="184"/>
      <c r="C32" s="184"/>
      <c r="D32" s="593"/>
      <c r="E32" s="594"/>
      <c r="F32" s="593"/>
      <c r="G32" s="593"/>
      <c r="H32" s="593"/>
      <c r="I32" s="593"/>
      <c r="J32" s="593"/>
      <c r="K32" s="593"/>
      <c r="L32" s="591"/>
      <c r="M32" s="591"/>
      <c r="N32" s="591"/>
      <c r="O32" s="591"/>
      <c r="P32" s="591"/>
      <c r="Q32" s="591"/>
      <c r="R32" s="591"/>
      <c r="S32" s="591"/>
      <c r="T32" s="591"/>
      <c r="U32" s="591"/>
      <c r="V32" s="591"/>
      <c r="W32" s="591"/>
      <c r="X32" s="591"/>
      <c r="Y32" s="591"/>
      <c r="Z32" s="591"/>
      <c r="AA32" s="591"/>
      <c r="AB32" s="591"/>
      <c r="AC32" s="591"/>
      <c r="AD32" s="591"/>
      <c r="AE32" s="591"/>
      <c r="AF32" s="591"/>
      <c r="AG32" s="591"/>
      <c r="AH32" s="591"/>
    </row>
    <row r="33" spans="1:34" ht="18" customHeight="1">
      <c r="A33" s="184"/>
      <c r="B33" s="184"/>
      <c r="C33" s="184"/>
      <c r="D33" s="593"/>
      <c r="E33" s="594"/>
      <c r="F33" s="593"/>
      <c r="G33" s="593"/>
      <c r="H33" s="593"/>
      <c r="I33" s="593"/>
      <c r="J33" s="593"/>
      <c r="K33" s="593"/>
      <c r="L33" s="591"/>
      <c r="M33" s="591"/>
      <c r="N33" s="591"/>
      <c r="O33" s="591"/>
      <c r="P33" s="591"/>
      <c r="Q33" s="591"/>
      <c r="R33" s="591"/>
      <c r="S33" s="591"/>
      <c r="T33" s="591"/>
      <c r="U33" s="591"/>
      <c r="V33" s="591"/>
      <c r="W33" s="591"/>
      <c r="X33" s="591"/>
      <c r="Y33" s="591"/>
      <c r="Z33" s="591"/>
      <c r="AA33" s="591"/>
      <c r="AB33" s="591"/>
      <c r="AC33" s="591"/>
      <c r="AD33" s="591"/>
      <c r="AE33" s="591"/>
      <c r="AF33" s="591"/>
      <c r="AG33" s="591"/>
      <c r="AH33" s="591"/>
    </row>
    <row r="34" spans="1:34" ht="18" customHeight="1">
      <c r="A34" s="184"/>
      <c r="B34" s="184"/>
      <c r="C34" s="595"/>
      <c r="D34" s="184"/>
      <c r="E34" s="595"/>
      <c r="F34" s="595"/>
      <c r="G34" s="595"/>
      <c r="H34" s="595"/>
      <c r="I34" s="595"/>
      <c r="J34" s="596"/>
      <c r="K34" s="596"/>
      <c r="L34" s="145"/>
      <c r="M34" s="145"/>
      <c r="N34" s="145"/>
      <c r="O34" s="145"/>
      <c r="P34" s="272"/>
      <c r="Q34" s="272"/>
      <c r="R34" s="272"/>
      <c r="S34" s="146"/>
      <c r="U34" s="272"/>
      <c r="X34" s="44"/>
      <c r="Y34" s="44"/>
    </row>
    <row r="35" spans="1:34" ht="18" customHeight="1">
      <c r="A35" s="184"/>
      <c r="B35" s="184"/>
      <c r="C35" s="595"/>
      <c r="D35" s="184"/>
      <c r="E35" s="595"/>
      <c r="F35" s="595"/>
      <c r="G35" s="595"/>
      <c r="H35" s="595"/>
      <c r="I35" s="595"/>
      <c r="J35" s="596"/>
      <c r="K35" s="596"/>
      <c r="L35" s="145"/>
      <c r="M35" s="145"/>
      <c r="N35" s="145"/>
      <c r="O35" s="145"/>
      <c r="P35" s="272"/>
      <c r="Q35" s="272"/>
      <c r="R35" s="272"/>
      <c r="S35" s="146"/>
      <c r="U35" s="272"/>
      <c r="X35" s="44"/>
      <c r="Y35" s="44"/>
    </row>
    <row r="36" spans="1:34" ht="18" customHeight="1">
      <c r="A36" s="184"/>
      <c r="B36" s="184"/>
      <c r="C36" s="595"/>
      <c r="D36" s="184"/>
      <c r="E36" s="595"/>
      <c r="F36" s="595"/>
      <c r="G36" s="595"/>
      <c r="H36" s="595"/>
      <c r="I36" s="595"/>
      <c r="J36" s="596"/>
      <c r="K36" s="596"/>
      <c r="L36" s="145"/>
      <c r="M36" s="145"/>
      <c r="N36" s="145"/>
      <c r="O36" s="145"/>
      <c r="P36" s="272"/>
      <c r="Q36" s="272"/>
      <c r="R36" s="272"/>
      <c r="S36" s="146"/>
      <c r="U36" s="272"/>
      <c r="X36" s="44"/>
      <c r="Y36" s="44"/>
    </row>
    <row r="37" spans="1:34" ht="18" customHeight="1">
      <c r="A37" s="184"/>
      <c r="B37" s="184"/>
      <c r="C37" s="595"/>
      <c r="D37" s="184"/>
      <c r="E37" s="595"/>
      <c r="F37" s="595"/>
      <c r="G37" s="595"/>
      <c r="H37" s="595"/>
      <c r="I37" s="595"/>
      <c r="J37" s="596"/>
      <c r="K37" s="596"/>
      <c r="M37" s="120"/>
      <c r="N37" s="261"/>
      <c r="O37" s="597"/>
      <c r="P37" s="20"/>
      <c r="Q37" s="20"/>
      <c r="R37" s="39"/>
      <c r="S37" s="20"/>
      <c r="T37" s="30"/>
      <c r="U37" s="20"/>
      <c r="X37" s="598"/>
      <c r="Y37" s="599"/>
    </row>
    <row r="38" spans="1:34" ht="18" customHeight="1">
      <c r="A38" s="184"/>
      <c r="B38" s="184"/>
      <c r="C38" s="595"/>
      <c r="D38" s="184"/>
      <c r="E38" s="595"/>
      <c r="F38" s="595"/>
      <c r="G38" s="595"/>
      <c r="H38" s="595"/>
      <c r="I38" s="595"/>
      <c r="J38" s="596"/>
      <c r="K38" s="596"/>
      <c r="L38" s="145"/>
      <c r="M38" s="145"/>
      <c r="N38" s="145"/>
      <c r="O38" s="145"/>
      <c r="P38" s="272"/>
      <c r="Q38" s="272"/>
      <c r="R38" s="272"/>
      <c r="S38" s="146"/>
      <c r="U38" s="272"/>
      <c r="X38" s="44"/>
      <c r="Y38" s="44"/>
    </row>
    <row r="39" spans="1:34" ht="18" customHeight="1">
      <c r="A39" s="184"/>
      <c r="B39" s="184"/>
      <c r="C39" s="595"/>
      <c r="D39" s="184"/>
      <c r="E39" s="595"/>
      <c r="F39" s="595"/>
      <c r="G39" s="595"/>
      <c r="H39" s="595"/>
      <c r="I39" s="595"/>
      <c r="J39" s="600"/>
      <c r="K39" s="600"/>
      <c r="M39" s="120"/>
      <c r="N39" s="261"/>
      <c r="O39" s="598"/>
      <c r="P39" s="601"/>
      <c r="Q39" s="601"/>
      <c r="R39" s="601"/>
      <c r="S39" s="601"/>
      <c r="T39" s="30"/>
      <c r="U39" s="601"/>
      <c r="X39" s="598"/>
      <c r="Y39" s="598"/>
    </row>
    <row r="40" spans="1:34" ht="18" customHeight="1">
      <c r="A40" s="184"/>
      <c r="B40" s="184"/>
      <c r="C40" s="595"/>
      <c r="D40" s="195"/>
      <c r="E40" s="595"/>
      <c r="F40" s="595"/>
      <c r="G40" s="595"/>
      <c r="H40" s="595"/>
      <c r="I40" s="595"/>
      <c r="J40" s="600"/>
      <c r="K40" s="600"/>
      <c r="M40" s="120"/>
      <c r="N40" s="261"/>
      <c r="O40" s="598"/>
      <c r="P40" s="601"/>
      <c r="Q40" s="601"/>
      <c r="R40" s="601"/>
      <c r="S40" s="601"/>
      <c r="T40" s="30"/>
      <c r="U40" s="601"/>
      <c r="X40" s="598"/>
      <c r="Y40" s="598"/>
    </row>
    <row r="41" spans="1:34" ht="13.5" customHeight="1">
      <c r="A41" s="184"/>
      <c r="B41" s="184"/>
      <c r="C41" s="184"/>
      <c r="D41" s="184"/>
      <c r="E41" s="595"/>
      <c r="F41" s="595"/>
      <c r="G41" s="595"/>
      <c r="H41" s="595"/>
      <c r="I41" s="595"/>
      <c r="J41" s="600"/>
      <c r="K41" s="600"/>
      <c r="M41" s="73"/>
      <c r="N41" s="261"/>
      <c r="O41" s="598"/>
      <c r="P41" s="601"/>
      <c r="Q41" s="601"/>
      <c r="R41" s="601"/>
      <c r="S41" s="601"/>
      <c r="T41" s="30"/>
      <c r="U41" s="601"/>
      <c r="X41" s="598"/>
      <c r="Y41" s="598"/>
    </row>
    <row r="42" spans="1:34" ht="13.5" customHeight="1">
      <c r="C42" s="602"/>
      <c r="D42" s="30"/>
      <c r="E42" s="602"/>
      <c r="F42" s="602"/>
      <c r="G42" s="602"/>
      <c r="H42" s="602"/>
      <c r="I42" s="602"/>
      <c r="J42" s="82"/>
      <c r="K42" s="82"/>
      <c r="M42" s="73"/>
      <c r="N42" s="261"/>
      <c r="O42" s="598"/>
      <c r="P42" s="20"/>
      <c r="Q42" s="20"/>
      <c r="R42" s="20"/>
      <c r="S42" s="20"/>
      <c r="U42" s="20"/>
      <c r="X42" s="598"/>
      <c r="Y42" s="598"/>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382</v>
      </c>
    </row>
    <row r="2" spans="1:47" s="30" customFormat="1" ht="18" customHeight="1">
      <c r="A2" s="152" t="s">
        <v>424</v>
      </c>
      <c r="AM2" s="2"/>
      <c r="AN2" s="2"/>
      <c r="AO2" s="2"/>
      <c r="AS2" s="152" t="s">
        <v>424</v>
      </c>
      <c r="AT2" s="2"/>
    </row>
    <row r="3" spans="1:47" ht="18" customHeight="1">
      <c r="B3" s="603"/>
      <c r="C3" s="603"/>
      <c r="D3" s="603"/>
      <c r="E3" s="603"/>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4"/>
      <c r="AI3" s="604"/>
      <c r="AJ3" s="604"/>
      <c r="AK3" s="604"/>
      <c r="AP3" s="604"/>
      <c r="AQ3" s="604"/>
      <c r="AR3" s="604"/>
    </row>
    <row r="4" spans="1:47" ht="18" customHeight="1">
      <c r="B4" s="130" t="s">
        <v>425</v>
      </c>
      <c r="C4" s="48"/>
      <c r="D4" s="48"/>
      <c r="E4" s="48"/>
      <c r="F4" s="48"/>
      <c r="G4" s="48"/>
      <c r="H4" s="48"/>
      <c r="I4" s="48"/>
      <c r="J4" s="48"/>
      <c r="K4" s="48"/>
      <c r="L4" s="48"/>
      <c r="M4" s="48"/>
      <c r="N4" s="48"/>
      <c r="O4" s="48"/>
      <c r="P4" s="48"/>
      <c r="Q4" s="48"/>
      <c r="R4" s="48"/>
      <c r="U4" s="48"/>
      <c r="V4" s="48"/>
      <c r="W4" s="48"/>
      <c r="X4" s="48"/>
      <c r="Y4" s="48"/>
      <c r="Z4" s="48"/>
      <c r="AT4" s="130" t="s">
        <v>425</v>
      </c>
    </row>
    <row r="5" spans="1:47" ht="18" customHeight="1">
      <c r="B5" s="51" t="s">
        <v>426</v>
      </c>
      <c r="D5" s="48"/>
      <c r="E5" s="48"/>
      <c r="F5" s="48"/>
      <c r="G5" s="48"/>
      <c r="H5" s="48"/>
      <c r="I5" s="48"/>
      <c r="J5" s="48"/>
      <c r="K5" s="48"/>
      <c r="L5" s="48"/>
      <c r="M5" s="48"/>
      <c r="N5" s="48"/>
      <c r="O5" s="48"/>
      <c r="P5" s="48"/>
      <c r="Q5" s="48"/>
      <c r="R5" s="48"/>
      <c r="U5" s="48"/>
      <c r="V5" s="48"/>
      <c r="W5" s="48"/>
      <c r="X5" s="48"/>
      <c r="Y5" s="48"/>
      <c r="Z5" s="48"/>
    </row>
    <row r="6" spans="1:47" ht="18" customHeight="1">
      <c r="B6" s="51" t="s">
        <v>427</v>
      </c>
      <c r="D6" s="48"/>
      <c r="E6" s="48"/>
      <c r="F6" s="48"/>
      <c r="G6" s="48"/>
      <c r="H6" s="48"/>
      <c r="I6" s="48"/>
      <c r="J6" s="48"/>
      <c r="K6" s="48"/>
      <c r="L6" s="48"/>
      <c r="M6" s="48"/>
      <c r="N6" s="48"/>
      <c r="O6" s="48"/>
      <c r="P6" s="48"/>
      <c r="Q6" s="48"/>
      <c r="R6" s="48"/>
      <c r="U6" s="48"/>
      <c r="V6" s="48"/>
      <c r="W6" s="48"/>
      <c r="X6" s="48"/>
      <c r="Y6" s="48"/>
      <c r="Z6" s="48"/>
    </row>
    <row r="7" spans="1:47" ht="18" customHeight="1">
      <c r="B7" s="51" t="s">
        <v>428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2" t="s">
        <v>55</v>
      </c>
      <c r="C9" s="1213"/>
      <c r="D9" s="1213"/>
      <c r="E9" s="1213"/>
      <c r="F9" s="1213"/>
      <c r="G9" s="1213"/>
      <c r="H9" s="1213"/>
      <c r="I9" s="1213"/>
      <c r="J9" s="1213"/>
      <c r="K9" s="1213"/>
      <c r="L9" s="1410"/>
      <c r="M9" s="1146" t="s">
        <v>270</v>
      </c>
      <c r="N9" s="1147"/>
      <c r="O9" s="1147"/>
      <c r="P9" s="1147"/>
      <c r="Q9" s="1147"/>
      <c r="R9" s="1147"/>
      <c r="S9" s="1147"/>
      <c r="T9" s="1147"/>
      <c r="U9" s="1154" t="s">
        <v>301</v>
      </c>
      <c r="V9" s="1543"/>
      <c r="W9" s="1544"/>
      <c r="X9" s="605"/>
      <c r="Y9" s="606"/>
      <c r="Z9" s="606"/>
      <c r="AA9" s="606"/>
      <c r="AB9" s="606"/>
      <c r="AC9" s="606"/>
      <c r="AD9" s="606"/>
      <c r="AE9" s="606"/>
      <c r="AF9" s="606"/>
      <c r="AG9" s="606"/>
      <c r="AH9" s="259"/>
      <c r="AI9" s="259"/>
      <c r="AT9" s="1511" t="s">
        <v>55</v>
      </c>
      <c r="AU9" s="1528" t="s">
        <v>385</v>
      </c>
    </row>
    <row r="10" spans="1:47" ht="12.95" customHeight="1">
      <c r="B10" s="1215"/>
      <c r="C10" s="1216"/>
      <c r="D10" s="1216"/>
      <c r="E10" s="1216"/>
      <c r="F10" s="1216"/>
      <c r="G10" s="1216"/>
      <c r="H10" s="1216"/>
      <c r="I10" s="1216"/>
      <c r="J10" s="1216"/>
      <c r="K10" s="1216"/>
      <c r="L10" s="1256"/>
      <c r="M10" s="1764"/>
      <c r="N10" s="1354"/>
      <c r="O10" s="1354"/>
      <c r="P10" s="1354"/>
      <c r="Q10" s="1354"/>
      <c r="R10" s="1354"/>
      <c r="S10" s="1354"/>
      <c r="T10" s="1354"/>
      <c r="U10" s="1545"/>
      <c r="V10" s="1546"/>
      <c r="W10" s="1547"/>
      <c r="X10" s="606"/>
      <c r="Y10" s="606"/>
      <c r="Z10" s="606"/>
      <c r="AA10" s="606"/>
      <c r="AB10" s="606"/>
      <c r="AC10" s="606"/>
      <c r="AD10" s="606"/>
      <c r="AE10" s="606"/>
      <c r="AF10" s="606"/>
      <c r="AG10" s="606"/>
      <c r="AH10" s="259"/>
      <c r="AI10" s="259"/>
      <c r="AT10" s="1511"/>
      <c r="AU10" s="1529"/>
    </row>
    <row r="11" spans="1:47" ht="14.25" customHeight="1" thickBot="1">
      <c r="B11" s="1218"/>
      <c r="C11" s="1219"/>
      <c r="D11" s="1219"/>
      <c r="E11" s="1219"/>
      <c r="F11" s="1219"/>
      <c r="G11" s="1219"/>
      <c r="H11" s="1219"/>
      <c r="I11" s="1219"/>
      <c r="J11" s="1219"/>
      <c r="K11" s="1219"/>
      <c r="L11" s="1248"/>
      <c r="M11" s="1504"/>
      <c r="N11" s="1657"/>
      <c r="O11" s="1657"/>
      <c r="P11" s="1657"/>
      <c r="Q11" s="1657"/>
      <c r="R11" s="1657"/>
      <c r="S11" s="1657"/>
      <c r="T11" s="1657"/>
      <c r="U11" s="1765"/>
      <c r="V11" s="1766"/>
      <c r="W11" s="1767"/>
      <c r="X11" s="606"/>
      <c r="Y11" s="606"/>
      <c r="Z11" s="606"/>
      <c r="AA11" s="606"/>
      <c r="AB11" s="606"/>
      <c r="AC11" s="606"/>
      <c r="AD11" s="606"/>
      <c r="AE11" s="606"/>
      <c r="AF11" s="606"/>
      <c r="AG11" s="606"/>
      <c r="AH11" s="259"/>
      <c r="AI11" s="259"/>
      <c r="AT11" s="1511"/>
      <c r="AU11" s="1530"/>
    </row>
    <row r="12" spans="1:47" ht="30" customHeight="1" thickTop="1" thickBot="1">
      <c r="B12" s="1450" t="s">
        <v>306</v>
      </c>
      <c r="C12" s="1451"/>
      <c r="D12" s="1451"/>
      <c r="E12" s="1451"/>
      <c r="F12" s="1451"/>
      <c r="G12" s="1451"/>
      <c r="H12" s="1451"/>
      <c r="I12" s="1451"/>
      <c r="J12" s="1451"/>
      <c r="K12" s="1451"/>
      <c r="L12" s="1757"/>
      <c r="M12" s="1758"/>
      <c r="N12" s="1759"/>
      <c r="O12" s="1759"/>
      <c r="P12" s="1759"/>
      <c r="Q12" s="1759"/>
      <c r="R12" s="1759"/>
      <c r="S12" s="1759"/>
      <c r="T12" s="1760"/>
      <c r="U12" s="1761"/>
      <c r="V12" s="1762"/>
      <c r="W12" s="1763"/>
      <c r="X12" s="606"/>
      <c r="Y12" s="606"/>
      <c r="Z12" s="606"/>
      <c r="AA12" s="606"/>
      <c r="AB12" s="606"/>
      <c r="AC12" s="606"/>
      <c r="AD12" s="606"/>
      <c r="AE12" s="606"/>
      <c r="AF12" s="606"/>
      <c r="AG12" s="606"/>
      <c r="AH12" s="259"/>
      <c r="AI12" s="259"/>
      <c r="AT12" s="607" t="s">
        <v>429</v>
      </c>
      <c r="AU12" s="398">
        <f>IF(M12&gt;0,SUM(ROUND(M12*U12%,),AU20:AU22),SUM(AU13:AU22))</f>
        <v>0</v>
      </c>
    </row>
    <row r="13" spans="1:47" ht="30" customHeight="1" thickTop="1">
      <c r="B13" s="608"/>
      <c r="C13" s="1289" t="s">
        <v>430</v>
      </c>
      <c r="D13" s="1243"/>
      <c r="E13" s="1243"/>
      <c r="F13" s="1243"/>
      <c r="G13" s="1243"/>
      <c r="H13" s="1243"/>
      <c r="I13" s="1243"/>
      <c r="J13" s="1243"/>
      <c r="K13" s="1243"/>
      <c r="L13" s="1243"/>
      <c r="M13" s="1753"/>
      <c r="N13" s="1754"/>
      <c r="O13" s="1754"/>
      <c r="P13" s="1754"/>
      <c r="Q13" s="1754"/>
      <c r="R13" s="1754"/>
      <c r="S13" s="1754"/>
      <c r="T13" s="1754"/>
      <c r="U13" s="1755"/>
      <c r="V13" s="1755"/>
      <c r="W13" s="1756"/>
      <c r="X13" s="489"/>
      <c r="Y13" s="609"/>
      <c r="Z13" s="609"/>
      <c r="AA13" s="609"/>
      <c r="AB13" s="609"/>
      <c r="AC13" s="609"/>
      <c r="AD13" s="609"/>
      <c r="AE13" s="609"/>
      <c r="AF13" s="609"/>
      <c r="AG13" s="609"/>
      <c r="AH13" s="610"/>
      <c r="AI13" s="610"/>
      <c r="AT13" s="221" t="s">
        <v>430</v>
      </c>
      <c r="AU13" s="351">
        <f>ROUND(M13*U13%,)</f>
        <v>0</v>
      </c>
    </row>
    <row r="14" spans="1:47" ht="30" customHeight="1">
      <c r="B14" s="611"/>
      <c r="C14" s="1289" t="s">
        <v>431</v>
      </c>
      <c r="D14" s="1243"/>
      <c r="E14" s="1243"/>
      <c r="F14" s="1243"/>
      <c r="G14" s="1243"/>
      <c r="H14" s="1243"/>
      <c r="I14" s="1243"/>
      <c r="J14" s="1243"/>
      <c r="K14" s="1243"/>
      <c r="L14" s="1243"/>
      <c r="M14" s="1768"/>
      <c r="N14" s="1769"/>
      <c r="O14" s="1769"/>
      <c r="P14" s="1769"/>
      <c r="Q14" s="1769"/>
      <c r="R14" s="1769"/>
      <c r="S14" s="1769"/>
      <c r="T14" s="1769"/>
      <c r="U14" s="1770"/>
      <c r="V14" s="1770"/>
      <c r="W14" s="1771"/>
      <c r="X14" s="489"/>
      <c r="Y14" s="609"/>
      <c r="Z14" s="609"/>
      <c r="AA14" s="609"/>
      <c r="AB14" s="609"/>
      <c r="AC14" s="609"/>
      <c r="AD14" s="609"/>
      <c r="AE14" s="609"/>
      <c r="AF14" s="609"/>
      <c r="AG14" s="609"/>
      <c r="AH14" s="610"/>
      <c r="AI14" s="610"/>
      <c r="AT14" s="612" t="s">
        <v>431</v>
      </c>
      <c r="AU14" s="351">
        <f>ROUND(M14*U14%,)</f>
        <v>0</v>
      </c>
    </row>
    <row r="15" spans="1:47" ht="30" customHeight="1">
      <c r="B15" s="608"/>
      <c r="C15" s="1289" t="s">
        <v>432</v>
      </c>
      <c r="D15" s="1243"/>
      <c r="E15" s="1243"/>
      <c r="F15" s="1243"/>
      <c r="G15" s="1243"/>
      <c r="H15" s="1243"/>
      <c r="I15" s="1243"/>
      <c r="J15" s="1243"/>
      <c r="K15" s="1243"/>
      <c r="L15" s="1243"/>
      <c r="M15" s="1772"/>
      <c r="N15" s="1773"/>
      <c r="O15" s="1773"/>
      <c r="P15" s="1773"/>
      <c r="Q15" s="1773"/>
      <c r="R15" s="1773"/>
      <c r="S15" s="1773"/>
      <c r="T15" s="1773"/>
      <c r="U15" s="1774"/>
      <c r="V15" s="1774"/>
      <c r="W15" s="1775"/>
      <c r="X15" s="489"/>
      <c r="Y15" s="381"/>
      <c r="Z15" s="381"/>
      <c r="AA15" s="381"/>
      <c r="AB15" s="381"/>
      <c r="AC15" s="381"/>
      <c r="AD15" s="381"/>
      <c r="AE15" s="381"/>
      <c r="AF15" s="381"/>
      <c r="AG15" s="381"/>
      <c r="AH15" s="340"/>
      <c r="AI15" s="340"/>
      <c r="AT15" s="612" t="s">
        <v>432</v>
      </c>
      <c r="AU15" s="351">
        <f t="shared" ref="AU15:AU19" si="0">ROUND(M15*U15%,)</f>
        <v>0</v>
      </c>
    </row>
    <row r="16" spans="1:47" ht="30" customHeight="1">
      <c r="B16" s="613"/>
      <c r="C16" s="1289" t="s">
        <v>433</v>
      </c>
      <c r="D16" s="1243"/>
      <c r="E16" s="1243"/>
      <c r="F16" s="1243"/>
      <c r="G16" s="1243"/>
      <c r="H16" s="1243"/>
      <c r="I16" s="1243"/>
      <c r="J16" s="1243"/>
      <c r="K16" s="1243"/>
      <c r="L16" s="1243"/>
      <c r="M16" s="1768"/>
      <c r="N16" s="1769"/>
      <c r="O16" s="1769"/>
      <c r="P16" s="1769"/>
      <c r="Q16" s="1769"/>
      <c r="R16" s="1769"/>
      <c r="S16" s="1769"/>
      <c r="T16" s="1769"/>
      <c r="U16" s="1770"/>
      <c r="V16" s="1770"/>
      <c r="W16" s="1771"/>
      <c r="X16" s="489"/>
      <c r="Y16" s="381"/>
      <c r="Z16" s="381"/>
      <c r="AA16" s="381"/>
      <c r="AB16" s="381"/>
      <c r="AC16" s="381"/>
      <c r="AD16" s="381"/>
      <c r="AE16" s="381"/>
      <c r="AF16" s="381"/>
      <c r="AG16" s="381"/>
      <c r="AH16" s="340"/>
      <c r="AI16" s="340"/>
      <c r="AT16" s="221" t="s">
        <v>433</v>
      </c>
      <c r="AU16" s="351">
        <f t="shared" si="0"/>
        <v>0</v>
      </c>
    </row>
    <row r="17" spans="1:47" ht="30" customHeight="1">
      <c r="B17" s="608"/>
      <c r="C17" s="1289" t="s">
        <v>434</v>
      </c>
      <c r="D17" s="1243"/>
      <c r="E17" s="1243"/>
      <c r="F17" s="1243"/>
      <c r="G17" s="1243"/>
      <c r="H17" s="1243"/>
      <c r="I17" s="1243"/>
      <c r="J17" s="1243"/>
      <c r="K17" s="1243"/>
      <c r="L17" s="1243"/>
      <c r="M17" s="1772"/>
      <c r="N17" s="1773"/>
      <c r="O17" s="1773"/>
      <c r="P17" s="1773"/>
      <c r="Q17" s="1773"/>
      <c r="R17" s="1773"/>
      <c r="S17" s="1773"/>
      <c r="T17" s="1773"/>
      <c r="U17" s="1774"/>
      <c r="V17" s="1774"/>
      <c r="W17" s="1775"/>
      <c r="X17" s="489"/>
      <c r="Y17" s="381"/>
      <c r="Z17" s="381"/>
      <c r="AA17" s="381"/>
      <c r="AB17" s="381"/>
      <c r="AC17" s="381"/>
      <c r="AD17" s="381"/>
      <c r="AE17" s="381"/>
      <c r="AF17" s="381"/>
      <c r="AG17" s="381"/>
      <c r="AH17" s="340"/>
      <c r="AI17" s="340"/>
      <c r="AT17" s="221" t="s">
        <v>434</v>
      </c>
      <c r="AU17" s="351">
        <f t="shared" si="0"/>
        <v>0</v>
      </c>
    </row>
    <row r="18" spans="1:47" ht="30" customHeight="1">
      <c r="B18" s="608"/>
      <c r="C18" s="1289" t="s">
        <v>435</v>
      </c>
      <c r="D18" s="1243"/>
      <c r="E18" s="1243"/>
      <c r="F18" s="1243"/>
      <c r="G18" s="1243"/>
      <c r="H18" s="1243"/>
      <c r="I18" s="1243"/>
      <c r="J18" s="1243"/>
      <c r="K18" s="1243"/>
      <c r="L18" s="1243"/>
      <c r="M18" s="1768"/>
      <c r="N18" s="1769"/>
      <c r="O18" s="1769"/>
      <c r="P18" s="1769"/>
      <c r="Q18" s="1769"/>
      <c r="R18" s="1769"/>
      <c r="S18" s="1769"/>
      <c r="T18" s="1769"/>
      <c r="U18" s="1770"/>
      <c r="V18" s="1770"/>
      <c r="W18" s="1771"/>
      <c r="X18" s="489"/>
      <c r="Y18" s="381"/>
      <c r="Z18" s="381"/>
      <c r="AA18" s="381"/>
      <c r="AB18" s="381"/>
      <c r="AC18" s="381"/>
      <c r="AD18" s="381"/>
      <c r="AE18" s="381"/>
      <c r="AF18" s="381"/>
      <c r="AG18" s="381"/>
      <c r="AH18" s="340"/>
      <c r="AI18" s="340"/>
      <c r="AT18" s="612" t="s">
        <v>435</v>
      </c>
      <c r="AU18" s="351">
        <f t="shared" si="0"/>
        <v>0</v>
      </c>
    </row>
    <row r="19" spans="1:47" ht="30" customHeight="1" thickBot="1">
      <c r="B19" s="614"/>
      <c r="C19" s="1300" t="s">
        <v>436</v>
      </c>
      <c r="D19" s="1456"/>
      <c r="E19" s="1456"/>
      <c r="F19" s="1456"/>
      <c r="G19" s="1456"/>
      <c r="H19" s="1456"/>
      <c r="I19" s="1456"/>
      <c r="J19" s="1456"/>
      <c r="K19" s="1456"/>
      <c r="L19" s="1456"/>
      <c r="M19" s="1782"/>
      <c r="N19" s="1783"/>
      <c r="O19" s="1783"/>
      <c r="P19" s="1783"/>
      <c r="Q19" s="1783"/>
      <c r="R19" s="1783"/>
      <c r="S19" s="1783"/>
      <c r="T19" s="1783"/>
      <c r="U19" s="1784"/>
      <c r="V19" s="1784"/>
      <c r="W19" s="1785"/>
      <c r="X19" s="489"/>
      <c r="Y19" s="381"/>
      <c r="Z19" s="381"/>
      <c r="AA19" s="381"/>
      <c r="AB19" s="381"/>
      <c r="AC19" s="381"/>
      <c r="AD19" s="381"/>
      <c r="AE19" s="381"/>
      <c r="AF19" s="381"/>
      <c r="AG19" s="381"/>
      <c r="AH19" s="340"/>
      <c r="AI19" s="340"/>
      <c r="AT19" s="221" t="s">
        <v>436</v>
      </c>
      <c r="AU19" s="351">
        <f t="shared" si="0"/>
        <v>0</v>
      </c>
    </row>
    <row r="20" spans="1:47" ht="30" customHeight="1">
      <c r="B20" s="1786" t="s">
        <v>437</v>
      </c>
      <c r="C20" s="1786"/>
      <c r="D20" s="1786"/>
      <c r="E20" s="1786"/>
      <c r="F20" s="1786"/>
      <c r="G20" s="1786"/>
      <c r="H20" s="1786"/>
      <c r="I20" s="1786"/>
      <c r="J20" s="1786"/>
      <c r="K20" s="1786"/>
      <c r="L20" s="1786"/>
      <c r="M20" s="1786"/>
      <c r="N20" s="1786"/>
      <c r="O20" s="1786"/>
      <c r="P20" s="1786"/>
      <c r="Q20" s="1786"/>
      <c r="R20" s="1786"/>
      <c r="S20" s="1786"/>
      <c r="T20" s="1786"/>
      <c r="U20" s="1786"/>
      <c r="V20" s="1786"/>
      <c r="W20" s="1786"/>
      <c r="X20" s="1786"/>
      <c r="Y20" s="1786"/>
      <c r="Z20" s="340"/>
      <c r="AA20" s="340"/>
      <c r="AB20" s="340"/>
      <c r="AC20" s="340"/>
      <c r="AD20" s="340"/>
      <c r="AE20" s="340"/>
      <c r="AF20" s="340"/>
      <c r="AG20" s="340"/>
      <c r="AH20" s="340"/>
      <c r="AI20" s="340"/>
      <c r="AT20" s="221" t="s">
        <v>438</v>
      </c>
      <c r="AU20" s="351">
        <f>【８】自動車!AU17+【９】農業機械!AW14</f>
        <v>0</v>
      </c>
    </row>
    <row r="21" spans="1:47" ht="30" customHeight="1">
      <c r="B21" s="289"/>
      <c r="C21" s="147"/>
      <c r="D21" s="147"/>
      <c r="E21" s="147"/>
      <c r="F21" s="147"/>
      <c r="G21" s="147"/>
      <c r="H21" s="147"/>
      <c r="I21" s="147"/>
      <c r="J21" s="147"/>
      <c r="K21" s="147"/>
      <c r="L21" s="127"/>
      <c r="M21" s="236"/>
      <c r="N21" s="236"/>
      <c r="O21" s="236"/>
      <c r="P21" s="236"/>
      <c r="Q21" s="236"/>
      <c r="R21" s="236"/>
      <c r="S21" s="236"/>
      <c r="T21" s="236"/>
      <c r="U21" s="236"/>
      <c r="V21" s="236"/>
      <c r="W21" s="236"/>
      <c r="X21" s="340"/>
      <c r="Y21" s="340"/>
      <c r="Z21" s="340"/>
      <c r="AA21" s="340"/>
      <c r="AB21" s="340"/>
      <c r="AC21" s="340"/>
      <c r="AD21" s="340"/>
      <c r="AE21" s="340"/>
      <c r="AF21" s="340"/>
      <c r="AG21" s="340"/>
      <c r="AH21" s="340"/>
      <c r="AI21" s="340"/>
      <c r="AT21" s="221" t="s">
        <v>439</v>
      </c>
      <c r="AU21" s="351">
        <f>【８】自動車!AS17</f>
        <v>0</v>
      </c>
    </row>
    <row r="22" spans="1:47" ht="30" customHeight="1">
      <c r="B22" s="289"/>
      <c r="C22" s="147"/>
      <c r="D22" s="147"/>
      <c r="E22" s="147"/>
      <c r="F22" s="147"/>
      <c r="G22" s="147"/>
      <c r="H22" s="147"/>
      <c r="I22" s="147"/>
      <c r="J22" s="147"/>
      <c r="K22" s="147"/>
      <c r="L22" s="127"/>
      <c r="M22" s="236"/>
      <c r="N22" s="236"/>
      <c r="O22" s="236"/>
      <c r="P22" s="236"/>
      <c r="Q22" s="236"/>
      <c r="R22" s="236"/>
      <c r="S22" s="236"/>
      <c r="T22" s="236"/>
      <c r="U22" s="236"/>
      <c r="V22" s="236"/>
      <c r="W22" s="236"/>
      <c r="X22" s="340"/>
      <c r="Y22" s="340"/>
      <c r="Z22" s="340"/>
      <c r="AA22" s="340"/>
      <c r="AB22" s="340"/>
      <c r="AC22" s="340"/>
      <c r="AD22" s="340"/>
      <c r="AE22" s="340"/>
      <c r="AF22" s="340"/>
      <c r="AG22" s="340"/>
      <c r="AH22" s="340"/>
      <c r="AI22" s="340"/>
      <c r="AP22" s="184"/>
      <c r="AQ22" s="184"/>
      <c r="AR22" s="184"/>
      <c r="AS22" s="184"/>
      <c r="AT22" s="221" t="s">
        <v>440</v>
      </c>
      <c r="AU22" s="351">
        <f>【８】自動車!AT17+【９】農業機械!AV14</f>
        <v>0</v>
      </c>
    </row>
    <row r="23" spans="1:47" ht="30" customHeight="1">
      <c r="B23" s="289"/>
      <c r="C23" s="147"/>
      <c r="D23" s="147"/>
      <c r="E23" s="147"/>
      <c r="F23" s="147"/>
      <c r="G23" s="147"/>
      <c r="H23" s="147"/>
      <c r="I23" s="147"/>
      <c r="J23" s="147"/>
      <c r="K23" s="147"/>
      <c r="L23" s="127"/>
      <c r="M23" s="236"/>
      <c r="N23" s="236"/>
      <c r="O23" s="236"/>
      <c r="P23" s="236"/>
      <c r="Q23" s="236"/>
      <c r="R23" s="236"/>
      <c r="S23" s="236"/>
      <c r="T23" s="236"/>
      <c r="U23" s="236"/>
      <c r="V23" s="236"/>
      <c r="W23" s="236"/>
      <c r="X23" s="340"/>
      <c r="Y23" s="340"/>
      <c r="Z23" s="340"/>
      <c r="AA23" s="340"/>
      <c r="AB23" s="340"/>
      <c r="AC23" s="340"/>
      <c r="AD23" s="340"/>
      <c r="AE23" s="340"/>
      <c r="AF23" s="340"/>
      <c r="AG23" s="340"/>
      <c r="AH23" s="340"/>
      <c r="AI23" s="340"/>
      <c r="AP23" s="184"/>
      <c r="AQ23" s="184"/>
      <c r="AR23" s="184"/>
      <c r="AS23" s="184"/>
    </row>
    <row r="24" spans="1:47" ht="14.25" customHeight="1">
      <c r="B24" s="108" t="s">
        <v>441</v>
      </c>
      <c r="C24" s="615"/>
      <c r="D24" s="46"/>
      <c r="AC24" s="340"/>
      <c r="AD24" s="340"/>
      <c r="AE24" s="340"/>
      <c r="AF24" s="340"/>
      <c r="AG24" s="340"/>
      <c r="AH24" s="340"/>
      <c r="AI24" s="340"/>
      <c r="AP24" s="184"/>
      <c r="AQ24" s="184"/>
      <c r="AR24" s="184"/>
      <c r="AS24" s="184"/>
      <c r="AT24" s="108" t="s">
        <v>441</v>
      </c>
    </row>
    <row r="25" spans="1:47" ht="18" customHeight="1">
      <c r="B25" s="51" t="s">
        <v>442</v>
      </c>
      <c r="C25" s="46"/>
      <c r="D25" s="46"/>
      <c r="E25" s="46"/>
      <c r="F25" s="46"/>
      <c r="G25" s="46"/>
      <c r="H25" s="46"/>
      <c r="I25" s="46"/>
      <c r="J25" s="46"/>
      <c r="K25" s="48"/>
      <c r="L25" s="48"/>
      <c r="M25" s="48"/>
      <c r="N25" s="48"/>
      <c r="O25" s="48"/>
      <c r="P25" s="48"/>
      <c r="Q25" s="48"/>
      <c r="R25" s="48"/>
      <c r="U25" s="48"/>
      <c r="V25" s="48"/>
      <c r="W25" s="48"/>
      <c r="AC25" s="340"/>
      <c r="AD25" s="340"/>
      <c r="AE25" s="340"/>
      <c r="AF25" s="340"/>
      <c r="AG25" s="340"/>
      <c r="AH25" s="340"/>
      <c r="AI25" s="340"/>
      <c r="AP25" s="184"/>
      <c r="AQ25" s="184"/>
      <c r="AR25" s="184"/>
      <c r="AS25" s="184"/>
      <c r="AT25" s="184"/>
    </row>
    <row r="26" spans="1:47" ht="18" customHeight="1">
      <c r="B26" s="51" t="s">
        <v>443</v>
      </c>
      <c r="C26" s="46"/>
      <c r="D26" s="46"/>
      <c r="E26" s="46"/>
      <c r="F26" s="46"/>
      <c r="G26" s="46"/>
      <c r="H26" s="46"/>
      <c r="I26" s="46"/>
      <c r="J26" s="46"/>
      <c r="K26" s="48"/>
      <c r="L26" s="48"/>
      <c r="M26" s="48"/>
      <c r="N26" s="48"/>
      <c r="O26" s="48"/>
      <c r="P26" s="48"/>
      <c r="Q26" s="48"/>
      <c r="R26" s="48"/>
      <c r="U26" s="48"/>
      <c r="V26" s="48"/>
      <c r="W26" s="48"/>
      <c r="AC26" s="340"/>
      <c r="AD26" s="340"/>
      <c r="AE26" s="340"/>
      <c r="AF26" s="340"/>
      <c r="AG26" s="340"/>
      <c r="AH26" s="340"/>
      <c r="AI26" s="340"/>
      <c r="AP26" s="184"/>
      <c r="AQ26" s="184"/>
      <c r="AR26" s="184"/>
      <c r="AS26" s="184"/>
      <c r="AT26" s="184"/>
    </row>
    <row r="27" spans="1:47" ht="18" customHeight="1">
      <c r="B27" s="51" t="s">
        <v>444</v>
      </c>
      <c r="C27" s="46"/>
      <c r="D27" s="46"/>
      <c r="E27" s="46"/>
      <c r="F27" s="46"/>
      <c r="G27" s="46"/>
      <c r="H27" s="46"/>
      <c r="I27" s="46"/>
      <c r="J27" s="46"/>
      <c r="K27" s="48"/>
      <c r="L27" s="48"/>
      <c r="M27" s="48"/>
      <c r="N27" s="48"/>
      <c r="O27" s="48"/>
      <c r="P27" s="48"/>
      <c r="Q27" s="48"/>
      <c r="R27" s="48"/>
      <c r="U27" s="48"/>
      <c r="V27" s="48"/>
      <c r="W27" s="48"/>
      <c r="AC27" s="340"/>
      <c r="AD27" s="340"/>
      <c r="AE27" s="340"/>
      <c r="AF27" s="340"/>
      <c r="AG27" s="340"/>
      <c r="AH27" s="340"/>
      <c r="AI27" s="340"/>
      <c r="AP27" s="184"/>
      <c r="AQ27" s="184"/>
      <c r="AR27" s="184"/>
      <c r="AS27" s="184"/>
      <c r="AT27" s="184"/>
    </row>
    <row r="28" spans="1:47" ht="14.25" customHeight="1" thickBot="1">
      <c r="B28" s="289"/>
      <c r="C28" s="147"/>
      <c r="D28" s="147"/>
      <c r="E28" s="147"/>
      <c r="F28" s="147"/>
      <c r="G28" s="147"/>
      <c r="H28" s="147"/>
      <c r="I28" s="147"/>
      <c r="J28" s="147"/>
      <c r="K28" s="147"/>
      <c r="L28" s="127"/>
      <c r="M28" s="236"/>
      <c r="N28" s="236"/>
      <c r="O28" s="236"/>
      <c r="P28" s="236"/>
      <c r="Q28" s="236"/>
      <c r="R28" s="236"/>
      <c r="S28" s="236"/>
      <c r="T28" s="236"/>
      <c r="U28" s="236"/>
      <c r="V28" s="236"/>
      <c r="W28" s="236"/>
      <c r="X28" s="340"/>
      <c r="Y28" s="340"/>
      <c r="Z28" s="340"/>
      <c r="AA28" s="340"/>
      <c r="AB28" s="340"/>
      <c r="AC28" s="340"/>
      <c r="AD28" s="340"/>
      <c r="AE28" s="340"/>
      <c r="AF28" s="340"/>
      <c r="AG28" s="340"/>
      <c r="AH28" s="340"/>
      <c r="AI28" s="340"/>
      <c r="AP28" s="184"/>
      <c r="AQ28" s="184"/>
      <c r="AR28" s="184"/>
      <c r="AS28" s="184"/>
      <c r="AT28" s="184"/>
    </row>
    <row r="29" spans="1:47" ht="12.75" customHeight="1">
      <c r="B29" s="1212" t="s">
        <v>55</v>
      </c>
      <c r="C29" s="1213"/>
      <c r="D29" s="1213"/>
      <c r="E29" s="1213"/>
      <c r="F29" s="1213"/>
      <c r="G29" s="1213"/>
      <c r="H29" s="1213"/>
      <c r="I29" s="1213"/>
      <c r="J29" s="1213"/>
      <c r="K29" s="1213"/>
      <c r="L29" s="1410"/>
      <c r="M29" s="1147" t="s">
        <v>270</v>
      </c>
      <c r="N29" s="1147"/>
      <c r="O29" s="1147"/>
      <c r="P29" s="1147"/>
      <c r="Q29" s="1147"/>
      <c r="R29" s="1147"/>
      <c r="S29" s="1147"/>
      <c r="T29" s="1147"/>
      <c r="U29" s="1154" t="s">
        <v>301</v>
      </c>
      <c r="V29" s="1543"/>
      <c r="W29" s="1544"/>
      <c r="AP29" s="184"/>
      <c r="AQ29" s="184"/>
      <c r="AR29" s="184"/>
      <c r="AS29" s="184"/>
      <c r="AT29" s="1511" t="s">
        <v>55</v>
      </c>
      <c r="AU29" s="1528" t="s">
        <v>385</v>
      </c>
    </row>
    <row r="30" spans="1:47" ht="12.75" customHeight="1">
      <c r="A30" s="130" t="s">
        <v>445</v>
      </c>
      <c r="B30" s="1215"/>
      <c r="C30" s="1216"/>
      <c r="D30" s="1216"/>
      <c r="E30" s="1216"/>
      <c r="F30" s="1216"/>
      <c r="G30" s="1216"/>
      <c r="H30" s="1216"/>
      <c r="I30" s="1216"/>
      <c r="J30" s="1216"/>
      <c r="K30" s="1216"/>
      <c r="L30" s="1256"/>
      <c r="M30" s="1354"/>
      <c r="N30" s="1354"/>
      <c r="O30" s="1354"/>
      <c r="P30" s="1354"/>
      <c r="Q30" s="1354"/>
      <c r="R30" s="1354"/>
      <c r="S30" s="1354"/>
      <c r="T30" s="1354"/>
      <c r="U30" s="1545"/>
      <c r="V30" s="1546"/>
      <c r="W30" s="1547"/>
      <c r="X30" s="48"/>
      <c r="Y30" s="48"/>
      <c r="Z30" s="48"/>
      <c r="AP30" s="184"/>
      <c r="AQ30" s="184"/>
      <c r="AR30" s="184"/>
      <c r="AS30" s="184"/>
      <c r="AT30" s="1511"/>
      <c r="AU30" s="1529"/>
    </row>
    <row r="31" spans="1:47" ht="12.75" customHeight="1" thickBot="1">
      <c r="B31" s="1218"/>
      <c r="C31" s="1219"/>
      <c r="D31" s="1219"/>
      <c r="E31" s="1219"/>
      <c r="F31" s="1219"/>
      <c r="G31" s="1219"/>
      <c r="H31" s="1219"/>
      <c r="I31" s="1219"/>
      <c r="J31" s="1219"/>
      <c r="K31" s="1219"/>
      <c r="L31" s="1248"/>
      <c r="M31" s="1354"/>
      <c r="N31" s="1354"/>
      <c r="O31" s="1354"/>
      <c r="P31" s="1354"/>
      <c r="Q31" s="1354"/>
      <c r="R31" s="1354"/>
      <c r="S31" s="1354"/>
      <c r="T31" s="1354"/>
      <c r="U31" s="1548"/>
      <c r="V31" s="1546"/>
      <c r="W31" s="1547"/>
      <c r="AT31" s="1511"/>
      <c r="AU31" s="1530"/>
    </row>
    <row r="32" spans="1:47" ht="30.75" customHeight="1" thickTop="1" thickBot="1">
      <c r="B32" s="1787" t="s">
        <v>306</v>
      </c>
      <c r="C32" s="1788"/>
      <c r="D32" s="1788"/>
      <c r="E32" s="1788"/>
      <c r="F32" s="1788"/>
      <c r="G32" s="1788"/>
      <c r="H32" s="1788"/>
      <c r="I32" s="1788"/>
      <c r="J32" s="1788"/>
      <c r="K32" s="1788"/>
      <c r="L32" s="1788"/>
      <c r="M32" s="1789"/>
      <c r="N32" s="1790"/>
      <c r="O32" s="1790"/>
      <c r="P32" s="1790"/>
      <c r="Q32" s="1790"/>
      <c r="R32" s="1790"/>
      <c r="S32" s="1790"/>
      <c r="T32" s="1791"/>
      <c r="U32" s="1792"/>
      <c r="V32" s="1635"/>
      <c r="W32" s="1793"/>
      <c r="AT32" s="607" t="s">
        <v>446</v>
      </c>
      <c r="AU32" s="398">
        <f>IF(M32&gt;0,SUM(ROUND(M32*U32%,),AU37),SUM(AU33:AU37))</f>
        <v>0</v>
      </c>
    </row>
    <row r="33" spans="2:47" ht="30" customHeight="1" thickTop="1">
      <c r="B33" s="616"/>
      <c r="C33" s="1776" t="s">
        <v>447</v>
      </c>
      <c r="D33" s="1777"/>
      <c r="E33" s="1777"/>
      <c r="F33" s="1777"/>
      <c r="G33" s="1777"/>
      <c r="H33" s="1777"/>
      <c r="I33" s="1777"/>
      <c r="J33" s="1777"/>
      <c r="K33" s="1777"/>
      <c r="L33" s="617"/>
      <c r="M33" s="1778"/>
      <c r="N33" s="1779"/>
      <c r="O33" s="1779"/>
      <c r="P33" s="1779"/>
      <c r="Q33" s="1779"/>
      <c r="R33" s="1779"/>
      <c r="S33" s="1779"/>
      <c r="T33" s="1779"/>
      <c r="U33" s="1780"/>
      <c r="V33" s="1780"/>
      <c r="W33" s="1781"/>
      <c r="X33" s="489"/>
      <c r="Y33" s="605"/>
      <c r="Z33" s="184"/>
      <c r="AA33" s="184"/>
      <c r="AB33" s="184"/>
      <c r="AC33" s="184"/>
      <c r="AD33" s="184"/>
      <c r="AE33" s="184"/>
      <c r="AF33" s="184"/>
      <c r="AG33" s="184"/>
      <c r="AT33" s="612" t="s">
        <v>448</v>
      </c>
      <c r="AU33" s="351">
        <f>ROUND(M33*U33%,)</f>
        <v>0</v>
      </c>
    </row>
    <row r="34" spans="2:47" ht="30" customHeight="1">
      <c r="B34" s="618"/>
      <c r="C34" s="1479" t="s">
        <v>449</v>
      </c>
      <c r="D34" s="1479"/>
      <c r="E34" s="1479"/>
      <c r="F34" s="1479"/>
      <c r="G34" s="1479"/>
      <c r="H34" s="1479"/>
      <c r="I34" s="1479"/>
      <c r="J34" s="1479"/>
      <c r="K34" s="1479"/>
      <c r="L34" s="617"/>
      <c r="M34" s="1768"/>
      <c r="N34" s="1769"/>
      <c r="O34" s="1769"/>
      <c r="P34" s="1769"/>
      <c r="Q34" s="1769"/>
      <c r="R34" s="1769"/>
      <c r="S34" s="1769"/>
      <c r="T34" s="1769"/>
      <c r="U34" s="1770"/>
      <c r="V34" s="1770"/>
      <c r="W34" s="1771"/>
      <c r="X34" s="489"/>
      <c r="Y34" s="605"/>
      <c r="Z34" s="184"/>
      <c r="AA34" s="184"/>
      <c r="AB34" s="184"/>
      <c r="AC34" s="184"/>
      <c r="AD34" s="184"/>
      <c r="AE34" s="184"/>
      <c r="AF34" s="184"/>
      <c r="AG34" s="184"/>
      <c r="AT34" s="221" t="s">
        <v>449</v>
      </c>
      <c r="AU34" s="351">
        <f>ROUND(M34*U34%,)</f>
        <v>0</v>
      </c>
    </row>
    <row r="35" spans="2:47" ht="30" customHeight="1">
      <c r="B35" s="618"/>
      <c r="C35" s="1777" t="s">
        <v>450</v>
      </c>
      <c r="D35" s="1777"/>
      <c r="E35" s="1777"/>
      <c r="F35" s="1777"/>
      <c r="G35" s="1777"/>
      <c r="H35" s="1777"/>
      <c r="I35" s="1777"/>
      <c r="J35" s="1777"/>
      <c r="K35" s="1777"/>
      <c r="L35" s="617"/>
      <c r="M35" s="1768"/>
      <c r="N35" s="1769"/>
      <c r="O35" s="1769"/>
      <c r="P35" s="1769"/>
      <c r="Q35" s="1769"/>
      <c r="R35" s="1769"/>
      <c r="S35" s="1769"/>
      <c r="T35" s="1769"/>
      <c r="U35" s="1770"/>
      <c r="V35" s="1770"/>
      <c r="W35" s="1771"/>
      <c r="X35" s="489"/>
      <c r="Y35" s="619"/>
      <c r="Z35" s="184"/>
      <c r="AA35" s="184"/>
      <c r="AB35" s="184"/>
      <c r="AC35" s="184"/>
      <c r="AD35" s="184"/>
      <c r="AE35" s="184"/>
      <c r="AF35" s="184"/>
      <c r="AG35" s="184"/>
      <c r="AT35" s="612" t="s">
        <v>451</v>
      </c>
      <c r="AU35" s="351">
        <f>ROUND(M35*U35%,)</f>
        <v>0</v>
      </c>
    </row>
    <row r="36" spans="2:47" ht="30" customHeight="1" thickBot="1">
      <c r="B36" s="620"/>
      <c r="C36" s="1512" t="s">
        <v>452</v>
      </c>
      <c r="D36" s="1512"/>
      <c r="E36" s="1512"/>
      <c r="F36" s="1512"/>
      <c r="G36" s="1512"/>
      <c r="H36" s="1512"/>
      <c r="I36" s="1512"/>
      <c r="J36" s="1512"/>
      <c r="K36" s="1512"/>
      <c r="L36" s="621"/>
      <c r="M36" s="1782"/>
      <c r="N36" s="1783"/>
      <c r="O36" s="1783"/>
      <c r="P36" s="1783"/>
      <c r="Q36" s="1783"/>
      <c r="R36" s="1783"/>
      <c r="S36" s="1783"/>
      <c r="T36" s="1783"/>
      <c r="U36" s="1784"/>
      <c r="V36" s="1784"/>
      <c r="W36" s="1785"/>
      <c r="X36" s="489"/>
      <c r="Y36" s="619"/>
      <c r="Z36" s="184"/>
      <c r="AA36" s="184"/>
      <c r="AB36" s="184"/>
      <c r="AC36" s="184"/>
      <c r="AD36" s="184"/>
      <c r="AE36" s="184"/>
      <c r="AF36" s="184"/>
      <c r="AG36" s="184"/>
      <c r="AT36" s="221" t="s">
        <v>452</v>
      </c>
      <c r="AU36" s="351">
        <f>ROUND(M36*U36%,)</f>
        <v>0</v>
      </c>
    </row>
    <row r="37" spans="2:47" ht="30" customHeight="1">
      <c r="B37" s="622"/>
      <c r="C37" s="147"/>
      <c r="D37" s="147"/>
      <c r="E37" s="147"/>
      <c r="F37" s="147"/>
      <c r="G37" s="147"/>
      <c r="H37" s="147"/>
      <c r="I37" s="147"/>
      <c r="J37" s="147"/>
      <c r="K37" s="147"/>
      <c r="L37" s="120"/>
      <c r="M37" s="236"/>
      <c r="N37" s="236"/>
      <c r="O37" s="236"/>
      <c r="P37" s="236"/>
      <c r="Q37" s="236"/>
      <c r="R37" s="236"/>
      <c r="S37" s="236"/>
      <c r="T37" s="236"/>
      <c r="U37" s="236"/>
      <c r="V37" s="236"/>
      <c r="W37" s="236"/>
      <c r="X37" s="619"/>
      <c r="Y37" s="619"/>
      <c r="Z37" s="184"/>
      <c r="AA37" s="184"/>
      <c r="AB37" s="184"/>
      <c r="AC37" s="184"/>
      <c r="AD37" s="184"/>
      <c r="AE37" s="184"/>
      <c r="AF37" s="184"/>
      <c r="AG37" s="184"/>
      <c r="AT37" s="221" t="s">
        <v>453</v>
      </c>
      <c r="AU37" s="351">
        <f>【８】自動車!AV17+【９】農業機械!AX14</f>
        <v>0</v>
      </c>
    </row>
    <row r="38" spans="2:47" ht="30" customHeight="1">
      <c r="B38" s="178"/>
      <c r="C38" s="147"/>
      <c r="D38" s="147"/>
      <c r="E38" s="147"/>
      <c r="F38" s="147"/>
      <c r="G38" s="147"/>
      <c r="H38" s="147"/>
      <c r="I38" s="147"/>
      <c r="J38" s="147"/>
      <c r="K38" s="147"/>
      <c r="L38" s="20"/>
      <c r="M38" s="236"/>
      <c r="N38" s="236"/>
      <c r="O38" s="236"/>
      <c r="P38" s="236"/>
      <c r="Q38" s="236"/>
      <c r="R38" s="236"/>
      <c r="S38" s="236"/>
      <c r="T38" s="236"/>
      <c r="U38" s="236"/>
      <c r="V38" s="236"/>
      <c r="W38" s="236"/>
      <c r="X38" s="623"/>
      <c r="Y38" s="623"/>
      <c r="Z38" s="623"/>
      <c r="AA38" s="623"/>
      <c r="AB38" s="623"/>
      <c r="AC38" s="623"/>
      <c r="AD38" s="623"/>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511" t="s">
        <v>55</v>
      </c>
      <c r="AU40" s="1528" t="s">
        <v>454</v>
      </c>
    </row>
    <row r="41" spans="2:47" ht="14.25" customHeight="1">
      <c r="B41" s="178"/>
      <c r="X41" s="184"/>
      <c r="Y41" s="184"/>
      <c r="Z41" s="184"/>
      <c r="AA41" s="184"/>
      <c r="AB41" s="184"/>
      <c r="AC41" s="184"/>
      <c r="AD41" s="184"/>
      <c r="AE41" s="184"/>
      <c r="AF41" s="184"/>
      <c r="AG41" s="184"/>
      <c r="AT41" s="1511"/>
      <c r="AU41" s="1529"/>
    </row>
    <row r="42" spans="2:47" ht="14.25" customHeight="1">
      <c r="B42" s="178"/>
      <c r="X42" s="184"/>
      <c r="Y42" s="184"/>
      <c r="Z42" s="184"/>
      <c r="AA42" s="184"/>
      <c r="AB42" s="184"/>
      <c r="AC42" s="184"/>
      <c r="AD42" s="184"/>
      <c r="AE42" s="184"/>
      <c r="AF42" s="184"/>
      <c r="AG42" s="184"/>
      <c r="AT42" s="1511"/>
      <c r="AU42" s="1530"/>
    </row>
    <row r="43" spans="2:47" ht="30" customHeight="1">
      <c r="B43" s="178"/>
      <c r="X43" s="184"/>
      <c r="Y43" s="184"/>
      <c r="Z43" s="184"/>
      <c r="AA43" s="184"/>
      <c r="AB43" s="184"/>
      <c r="AC43" s="184"/>
      <c r="AD43" s="184"/>
      <c r="AE43" s="184"/>
      <c r="AF43" s="184"/>
      <c r="AG43" s="184"/>
      <c r="AT43" s="624" t="s">
        <v>455</v>
      </c>
      <c r="AU43" s="351">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382</v>
      </c>
    </row>
    <row r="2" spans="1:36" s="30" customFormat="1" ht="18" customHeight="1">
      <c r="B2" s="152" t="s">
        <v>456</v>
      </c>
      <c r="J2" s="195"/>
      <c r="AA2" s="152" t="s">
        <v>456</v>
      </c>
      <c r="AG2" s="2"/>
      <c r="AH2" s="2"/>
      <c r="AI2" s="2"/>
      <c r="AJ2" s="2"/>
    </row>
    <row r="3" spans="1:36" ht="18" customHeight="1">
      <c r="A3" s="604"/>
      <c r="C3" s="625" t="s">
        <v>457</v>
      </c>
      <c r="D3" s="626"/>
      <c r="E3" s="627"/>
      <c r="F3" s="627"/>
      <c r="G3" s="627"/>
      <c r="H3" s="627"/>
      <c r="I3" s="627"/>
      <c r="J3" s="628"/>
      <c r="K3" s="627"/>
      <c r="L3" s="627"/>
      <c r="M3" s="627"/>
      <c r="N3" s="627"/>
      <c r="O3" s="627"/>
      <c r="P3" s="627"/>
      <c r="Q3" s="604"/>
      <c r="R3" s="604"/>
      <c r="S3" s="604"/>
      <c r="T3" s="604"/>
      <c r="U3" s="604"/>
      <c r="V3" s="604"/>
      <c r="W3" s="604"/>
      <c r="X3" s="604"/>
      <c r="Y3" s="604"/>
      <c r="Z3" s="604"/>
    </row>
    <row r="4" spans="1:36" ht="18" customHeight="1">
      <c r="C4" s="626" t="s">
        <v>458</v>
      </c>
      <c r="D4" s="626"/>
      <c r="E4" s="627"/>
      <c r="F4" s="627"/>
      <c r="G4" s="627"/>
      <c r="H4" s="627"/>
      <c r="I4" s="627"/>
      <c r="J4" s="628"/>
      <c r="K4" s="627"/>
      <c r="L4" s="627"/>
      <c r="M4" s="627"/>
      <c r="N4" s="627"/>
      <c r="O4" s="627"/>
      <c r="P4" s="627"/>
    </row>
    <row r="5" spans="1:36" ht="18" customHeight="1">
      <c r="C5" s="626" t="s">
        <v>459</v>
      </c>
      <c r="D5" s="626"/>
      <c r="E5" s="627"/>
      <c r="F5" s="627"/>
      <c r="G5" s="627"/>
      <c r="H5" s="627"/>
      <c r="I5" s="627"/>
      <c r="J5" s="628"/>
      <c r="K5" s="627"/>
      <c r="L5" s="627"/>
      <c r="M5" s="627"/>
      <c r="N5" s="627"/>
      <c r="O5" s="627"/>
      <c r="P5" s="627"/>
    </row>
    <row r="6" spans="1:36" ht="18" customHeight="1">
      <c r="C6" s="626"/>
      <c r="D6" s="626"/>
      <c r="E6" s="627"/>
      <c r="F6" s="627"/>
      <c r="G6" s="627"/>
      <c r="H6" s="627"/>
      <c r="I6" s="627"/>
      <c r="J6" s="628"/>
      <c r="K6" s="627"/>
      <c r="L6" s="627"/>
      <c r="M6" s="627"/>
      <c r="N6" s="627"/>
      <c r="O6" s="627"/>
      <c r="P6" s="627"/>
    </row>
    <row r="7" spans="1:36" ht="18" customHeight="1" thickBot="1">
      <c r="C7" s="108" t="s">
        <v>460</v>
      </c>
      <c r="D7" s="108"/>
      <c r="E7" s="110"/>
      <c r="F7" s="110"/>
      <c r="G7" s="110"/>
      <c r="H7" s="30"/>
      <c r="I7" s="30"/>
      <c r="J7" s="195"/>
      <c r="K7" s="30"/>
      <c r="L7" s="30"/>
      <c r="M7" s="30"/>
      <c r="N7" s="30"/>
      <c r="O7" s="30"/>
      <c r="P7" s="30"/>
      <c r="AC7" s="108" t="s">
        <v>460</v>
      </c>
      <c r="AD7" s="108"/>
    </row>
    <row r="8" spans="1:36" ht="12.95" customHeight="1">
      <c r="C8" s="1212" t="s">
        <v>461</v>
      </c>
      <c r="D8" s="1213"/>
      <c r="E8" s="1410"/>
      <c r="F8" s="1451" t="s">
        <v>462</v>
      </c>
      <c r="G8" s="1451"/>
      <c r="H8" s="1795" t="s">
        <v>301</v>
      </c>
      <c r="AC8" s="1539" t="s">
        <v>461</v>
      </c>
      <c r="AD8" s="1540"/>
      <c r="AE8" s="1541"/>
      <c r="AF8" s="1511" t="s">
        <v>463</v>
      </c>
      <c r="AG8" s="1511"/>
    </row>
    <row r="9" spans="1:36" ht="12.95" customHeight="1">
      <c r="C9" s="1215"/>
      <c r="D9" s="1216"/>
      <c r="E9" s="1256"/>
      <c r="F9" s="1794"/>
      <c r="G9" s="1794"/>
      <c r="H9" s="1796"/>
      <c r="AC9" s="1798"/>
      <c r="AD9" s="1799"/>
      <c r="AE9" s="1800"/>
      <c r="AF9" s="1511"/>
      <c r="AG9" s="1511"/>
    </row>
    <row r="10" spans="1:36" ht="14.25" customHeight="1">
      <c r="C10" s="1215"/>
      <c r="D10" s="1216"/>
      <c r="E10" s="1256"/>
      <c r="F10" s="1804" t="s">
        <v>464</v>
      </c>
      <c r="G10" s="1805" t="s">
        <v>465</v>
      </c>
      <c r="H10" s="1796"/>
      <c r="AC10" s="1798"/>
      <c r="AD10" s="1799"/>
      <c r="AE10" s="1800"/>
      <c r="AF10" s="1511" t="s">
        <v>464</v>
      </c>
      <c r="AG10" s="1511" t="s">
        <v>465</v>
      </c>
    </row>
    <row r="11" spans="1:36" ht="13.7" customHeight="1" thickBot="1">
      <c r="C11" s="1218"/>
      <c r="D11" s="1219"/>
      <c r="E11" s="1248"/>
      <c r="F11" s="1804"/>
      <c r="G11" s="1805"/>
      <c r="H11" s="1797"/>
      <c r="AC11" s="1801"/>
      <c r="AD11" s="1802"/>
      <c r="AE11" s="1803"/>
      <c r="AF11" s="1511"/>
      <c r="AG11" s="1511"/>
    </row>
    <row r="12" spans="1:36" ht="30" customHeight="1" thickTop="1">
      <c r="C12" s="1806" t="s">
        <v>466</v>
      </c>
      <c r="D12" s="1807"/>
      <c r="E12" s="1494"/>
      <c r="F12" s="629"/>
      <c r="G12" s="112"/>
      <c r="H12" s="1063"/>
      <c r="J12" s="489"/>
      <c r="AC12" s="1374" t="s">
        <v>466</v>
      </c>
      <c r="AD12" s="1375"/>
      <c r="AE12" s="1376"/>
      <c r="AF12" s="351">
        <f>ROUND(F12*60%*H12%,)</f>
        <v>0</v>
      </c>
      <c r="AG12" s="351">
        <f>ROUND(G12*60%*H12%,)</f>
        <v>0</v>
      </c>
    </row>
    <row r="13" spans="1:36" ht="30" customHeight="1">
      <c r="C13" s="1808" t="s">
        <v>467</v>
      </c>
      <c r="D13" s="1809"/>
      <c r="E13" s="1810"/>
      <c r="F13" s="448"/>
      <c r="G13" s="630"/>
      <c r="H13" s="1064"/>
      <c r="J13" s="489"/>
      <c r="AC13" s="1374" t="s">
        <v>467</v>
      </c>
      <c r="AD13" s="1375"/>
      <c r="AE13" s="1376"/>
      <c r="AF13" s="351">
        <f>ROUND(F13*20%*H13%,)</f>
        <v>0</v>
      </c>
      <c r="AG13" s="351">
        <f>ROUND(G13*20%*H13%,)</f>
        <v>0</v>
      </c>
    </row>
    <row r="14" spans="1:36" ht="30" customHeight="1">
      <c r="C14" s="1811" t="s">
        <v>468</v>
      </c>
      <c r="D14" s="1554"/>
      <c r="E14" s="1497"/>
      <c r="F14" s="631"/>
      <c r="G14" s="632"/>
      <c r="H14" s="1064"/>
      <c r="J14" s="489"/>
      <c r="AC14" s="1374" t="s">
        <v>468</v>
      </c>
      <c r="AD14" s="1375"/>
      <c r="AE14" s="1376"/>
      <c r="AF14" s="351">
        <f>ROUND(F14*50%*H14%,)</f>
        <v>0</v>
      </c>
      <c r="AG14" s="351">
        <f>ROUND(G14*50%*H14%,)</f>
        <v>0</v>
      </c>
    </row>
    <row r="15" spans="1:36" ht="30" customHeight="1">
      <c r="C15" s="1811" t="s">
        <v>469</v>
      </c>
      <c r="D15" s="1554"/>
      <c r="E15" s="1497"/>
      <c r="F15" s="633"/>
      <c r="G15" s="634"/>
      <c r="H15" s="1064"/>
      <c r="J15" s="489"/>
      <c r="AC15" s="1374" t="s">
        <v>469</v>
      </c>
      <c r="AD15" s="1375"/>
      <c r="AE15" s="1376"/>
      <c r="AF15" s="351">
        <f>ROUND(F15*H15%,)</f>
        <v>0</v>
      </c>
      <c r="AG15" s="351">
        <f>ROUND(G15*H15%,)</f>
        <v>0</v>
      </c>
    </row>
    <row r="16" spans="1:36" ht="30" customHeight="1" thickBot="1">
      <c r="C16" s="1814" t="s">
        <v>470</v>
      </c>
      <c r="D16" s="1815"/>
      <c r="E16" s="1499"/>
      <c r="F16" s="635"/>
      <c r="G16" s="636"/>
      <c r="H16" s="1065"/>
      <c r="J16" s="489"/>
      <c r="AC16" s="1816" t="s">
        <v>470</v>
      </c>
      <c r="AD16" s="1817"/>
      <c r="AE16" s="1818"/>
      <c r="AF16" s="351">
        <f>ROUND(F16*H16%,)</f>
        <v>0</v>
      </c>
      <c r="AG16" s="351">
        <f>ROUND(G16*H16%,)</f>
        <v>0</v>
      </c>
    </row>
    <row r="17" spans="2:36" ht="30" customHeight="1">
      <c r="E17" s="637"/>
      <c r="F17" s="257"/>
      <c r="G17" s="638"/>
      <c r="H17" s="602"/>
      <c r="I17" s="257"/>
      <c r="J17" s="639"/>
      <c r="K17" s="257"/>
      <c r="L17" s="257"/>
      <c r="M17" s="257"/>
      <c r="N17" s="257"/>
      <c r="O17" s="120"/>
      <c r="P17" s="209"/>
      <c r="AC17" s="1374" t="s">
        <v>306</v>
      </c>
      <c r="AD17" s="1375"/>
      <c r="AE17" s="1376"/>
      <c r="AF17" s="351">
        <f>SUM(AF12:AF16)</f>
        <v>0</v>
      </c>
      <c r="AG17" s="351">
        <f>SUM(AG12:AG16)</f>
        <v>0</v>
      </c>
    </row>
    <row r="18" spans="2:36" ht="14.1" customHeight="1">
      <c r="E18" s="637"/>
      <c r="F18" s="257"/>
      <c r="G18" s="638"/>
      <c r="H18" s="602"/>
      <c r="I18" s="257"/>
      <c r="J18" s="639"/>
      <c r="K18" s="257"/>
      <c r="L18" s="257"/>
      <c r="M18" s="257"/>
      <c r="N18" s="257"/>
      <c r="O18" s="120"/>
      <c r="P18" s="209"/>
    </row>
    <row r="19" spans="2:36" ht="18" customHeight="1" thickBot="1">
      <c r="C19" s="108" t="s">
        <v>471</v>
      </c>
      <c r="D19" s="108"/>
      <c r="E19" s="110"/>
      <c r="F19" s="110"/>
      <c r="G19" s="110"/>
      <c r="H19" s="30"/>
      <c r="I19" s="30"/>
      <c r="J19" s="195"/>
      <c r="K19" s="30"/>
      <c r="L19" s="30"/>
      <c r="M19" s="30"/>
      <c r="N19" s="30"/>
      <c r="O19" s="30"/>
      <c r="P19" s="30"/>
      <c r="AC19" s="108" t="s">
        <v>471</v>
      </c>
      <c r="AD19" s="108"/>
    </row>
    <row r="20" spans="2:36" ht="14.1" customHeight="1">
      <c r="C20" s="1212" t="s">
        <v>472</v>
      </c>
      <c r="D20" s="1213"/>
      <c r="E20" s="1213"/>
      <c r="F20" s="1819" t="s">
        <v>473</v>
      </c>
      <c r="G20" s="1500" t="s">
        <v>301</v>
      </c>
      <c r="N20" s="640"/>
      <c r="O20" s="640"/>
      <c r="AC20" s="1511" t="s">
        <v>472</v>
      </c>
      <c r="AD20" s="1511"/>
      <c r="AE20" s="1511"/>
      <c r="AF20" s="1528" t="s">
        <v>454</v>
      </c>
      <c r="AI20" s="1799"/>
      <c r="AJ20" s="1799"/>
    </row>
    <row r="21" spans="2:36" ht="14.25" customHeight="1">
      <c r="C21" s="1215"/>
      <c r="D21" s="1216"/>
      <c r="E21" s="1216"/>
      <c r="F21" s="1820"/>
      <c r="G21" s="1501"/>
      <c r="N21" s="640"/>
      <c r="O21" s="640"/>
      <c r="AC21" s="1511"/>
      <c r="AD21" s="1511"/>
      <c r="AE21" s="1511"/>
      <c r="AF21" s="1529"/>
      <c r="AI21" s="1799"/>
      <c r="AJ21" s="1799"/>
    </row>
    <row r="22" spans="2:36" ht="14.1" customHeight="1" thickBot="1">
      <c r="C22" s="1218"/>
      <c r="D22" s="1219"/>
      <c r="E22" s="1219"/>
      <c r="F22" s="1821"/>
      <c r="G22" s="1822"/>
      <c r="H22" s="184"/>
      <c r="I22" s="184"/>
      <c r="K22" s="184"/>
      <c r="L22" s="184"/>
      <c r="M22" s="184"/>
      <c r="N22" s="282"/>
      <c r="O22" s="282"/>
      <c r="P22" s="184"/>
      <c r="Q22" s="184"/>
      <c r="R22" s="184"/>
      <c r="S22" s="184"/>
      <c r="T22" s="184"/>
      <c r="U22" s="184"/>
      <c r="V22" s="184"/>
      <c r="W22" s="184"/>
      <c r="X22" s="184"/>
      <c r="Y22" s="184"/>
      <c r="Z22" s="184"/>
      <c r="AA22" s="184"/>
      <c r="AC22" s="1511"/>
      <c r="AD22" s="1511"/>
      <c r="AE22" s="1511"/>
      <c r="AF22" s="1530"/>
      <c r="AI22" s="1799"/>
      <c r="AJ22" s="1799"/>
    </row>
    <row r="23" spans="2:36" ht="30" customHeight="1" thickTop="1" thickBot="1">
      <c r="C23" s="1823" t="s">
        <v>474</v>
      </c>
      <c r="D23" s="1824"/>
      <c r="E23" s="1825"/>
      <c r="F23" s="629"/>
      <c r="G23" s="1066"/>
      <c r="H23" s="184"/>
      <c r="I23" s="184"/>
      <c r="K23" s="184"/>
      <c r="L23" s="184"/>
      <c r="M23" s="184"/>
      <c r="N23" s="282"/>
      <c r="O23" s="282"/>
      <c r="P23" s="184"/>
      <c r="Q23" s="184"/>
      <c r="R23" s="184"/>
      <c r="S23" s="184"/>
      <c r="T23" s="184"/>
      <c r="U23" s="184"/>
      <c r="V23" s="184"/>
      <c r="W23" s="184"/>
      <c r="X23" s="184"/>
      <c r="Y23" s="184"/>
      <c r="Z23" s="184"/>
      <c r="AA23" s="184"/>
      <c r="AC23" s="1401" t="s">
        <v>474</v>
      </c>
      <c r="AD23" s="1401"/>
      <c r="AE23" s="1401"/>
      <c r="AF23" s="351">
        <f>IF(F23&gt;0,ROUND(F23*G23%,),SUM(AF24:AF26))</f>
        <v>0</v>
      </c>
      <c r="AI23" s="641"/>
      <c r="AJ23" s="537"/>
    </row>
    <row r="24" spans="2:36" ht="30" customHeight="1" thickTop="1">
      <c r="C24" s="642"/>
      <c r="D24" s="1812" t="s">
        <v>475</v>
      </c>
      <c r="E24" s="1813"/>
      <c r="F24" s="643"/>
      <c r="G24" s="1067"/>
      <c r="H24" s="184"/>
      <c r="I24" s="184"/>
      <c r="K24" s="184"/>
      <c r="L24" s="184"/>
      <c r="M24" s="184"/>
      <c r="N24" s="282"/>
      <c r="O24" s="184"/>
      <c r="P24" s="184"/>
      <c r="Q24" s="184"/>
      <c r="R24" s="184"/>
      <c r="S24" s="184"/>
      <c r="T24" s="184"/>
      <c r="U24" s="184"/>
      <c r="V24" s="184"/>
      <c r="W24" s="184"/>
      <c r="X24" s="184"/>
      <c r="Y24" s="184"/>
      <c r="Z24" s="184"/>
      <c r="AA24" s="184"/>
      <c r="AC24" s="1426" t="s">
        <v>475</v>
      </c>
      <c r="AD24" s="1426"/>
      <c r="AE24" s="1426"/>
      <c r="AF24" s="351">
        <f>0</f>
        <v>0</v>
      </c>
      <c r="AI24" s="644" t="s">
        <v>472</v>
      </c>
      <c r="AJ24" s="644" t="s">
        <v>359</v>
      </c>
    </row>
    <row r="25" spans="2:36" ht="30" customHeight="1">
      <c r="C25" s="645"/>
      <c r="D25" s="1496" t="s">
        <v>476</v>
      </c>
      <c r="E25" s="1554"/>
      <c r="F25" s="646"/>
      <c r="G25" s="1068"/>
      <c r="H25" s="184"/>
      <c r="I25" s="184"/>
      <c r="K25" s="184"/>
      <c r="L25" s="184"/>
      <c r="M25" s="184"/>
      <c r="N25" s="282"/>
      <c r="O25" s="184"/>
      <c r="P25" s="184"/>
      <c r="Q25" s="184"/>
      <c r="R25" s="184"/>
      <c r="S25" s="184"/>
      <c r="T25" s="184"/>
      <c r="U25" s="184"/>
      <c r="V25" s="184"/>
      <c r="W25" s="184"/>
      <c r="X25" s="184"/>
      <c r="Y25" s="184"/>
      <c r="Z25" s="184"/>
      <c r="AA25" s="184"/>
      <c r="AC25" s="1426" t="s">
        <v>476</v>
      </c>
      <c r="AD25" s="1426"/>
      <c r="AE25" s="1426"/>
      <c r="AF25" s="351">
        <f>0</f>
        <v>0</v>
      </c>
      <c r="AI25" s="222" t="s">
        <v>477</v>
      </c>
      <c r="AJ25" s="351">
        <f>SUM(AF17,AG17,AF23)</f>
        <v>0</v>
      </c>
    </row>
    <row r="26" spans="2:36" ht="30" customHeight="1" thickBot="1">
      <c r="C26" s="647"/>
      <c r="D26" s="1826" t="s">
        <v>227</v>
      </c>
      <c r="E26" s="1827"/>
      <c r="F26" s="475"/>
      <c r="G26" s="1069"/>
      <c r="H26" s="184"/>
      <c r="I26" s="184"/>
      <c r="K26" s="184"/>
      <c r="L26" s="184"/>
      <c r="M26" s="184"/>
      <c r="N26" s="282"/>
      <c r="O26" s="184"/>
      <c r="P26" s="184"/>
      <c r="Q26" s="184"/>
      <c r="R26" s="184"/>
      <c r="S26" s="184"/>
      <c r="T26" s="184"/>
      <c r="U26" s="184"/>
      <c r="V26" s="184"/>
      <c r="W26" s="184"/>
      <c r="X26" s="184"/>
      <c r="Y26" s="184"/>
      <c r="Z26" s="184"/>
      <c r="AA26" s="184"/>
      <c r="AC26" s="1426" t="s">
        <v>227</v>
      </c>
      <c r="AD26" s="1426"/>
      <c r="AE26" s="1426"/>
      <c r="AF26" s="351">
        <f>ROUND(F26*G26%,)</f>
        <v>0</v>
      </c>
    </row>
    <row r="27" spans="2:36" ht="13.5" customHeight="1"/>
    <row r="29" spans="2:36" ht="18" customHeight="1">
      <c r="B29" s="152" t="s">
        <v>478</v>
      </c>
      <c r="C29" s="30"/>
      <c r="D29" s="30"/>
      <c r="AA29" s="152" t="s">
        <v>478</v>
      </c>
    </row>
    <row r="30" spans="2:36" ht="18" customHeight="1">
      <c r="B30" s="30"/>
      <c r="C30" s="51" t="s">
        <v>479</v>
      </c>
      <c r="D30" s="51"/>
    </row>
    <row r="31" spans="2:36" ht="14.1" customHeight="1">
      <c r="C31" s="51" t="s">
        <v>480</v>
      </c>
      <c r="D31" s="51"/>
      <c r="H31" s="627"/>
      <c r="I31" s="627"/>
      <c r="J31" s="628"/>
      <c r="K31" s="627"/>
      <c r="L31" s="627"/>
      <c r="M31" s="627"/>
      <c r="N31" s="627"/>
      <c r="O31" s="627"/>
      <c r="P31" s="627"/>
    </row>
    <row r="32" spans="2:36" ht="14.1" customHeight="1">
      <c r="B32" s="30"/>
      <c r="C32" s="58" t="s">
        <v>481</v>
      </c>
      <c r="D32" s="58"/>
      <c r="H32" s="627"/>
      <c r="I32" s="627"/>
      <c r="J32" s="628"/>
      <c r="K32" s="627"/>
      <c r="L32" s="627"/>
      <c r="M32" s="627"/>
      <c r="N32" s="627"/>
      <c r="O32" s="627"/>
      <c r="P32" s="627"/>
    </row>
    <row r="33" spans="2:33" ht="14.1" customHeight="1" thickBot="1">
      <c r="B33" s="30"/>
      <c r="C33" s="58" t="s">
        <v>482</v>
      </c>
      <c r="D33" s="58"/>
      <c r="E33" s="627"/>
      <c r="F33" s="627"/>
      <c r="G33" s="627"/>
      <c r="H33" s="627"/>
      <c r="I33" s="627"/>
      <c r="J33" s="628"/>
      <c r="K33" s="627"/>
      <c r="L33" s="627"/>
      <c r="M33" s="627"/>
      <c r="N33" s="627"/>
      <c r="O33" s="627"/>
      <c r="P33" s="627"/>
    </row>
    <row r="34" spans="2:33" ht="14.1" customHeight="1">
      <c r="C34" s="1828" t="s">
        <v>483</v>
      </c>
      <c r="D34" s="1829"/>
      <c r="E34" s="1830"/>
      <c r="F34" s="1654" t="s">
        <v>484</v>
      </c>
      <c r="G34" s="1837" t="s">
        <v>485</v>
      </c>
      <c r="H34" s="1500" t="s">
        <v>301</v>
      </c>
    </row>
    <row r="35" spans="2:33" ht="14.25" customHeight="1">
      <c r="C35" s="1831"/>
      <c r="D35" s="1832"/>
      <c r="E35" s="1833"/>
      <c r="F35" s="1655"/>
      <c r="G35" s="1838"/>
      <c r="H35" s="1501"/>
    </row>
    <row r="36" spans="2:33" ht="14.25" customHeight="1" thickBot="1">
      <c r="C36" s="1834"/>
      <c r="D36" s="1835"/>
      <c r="E36" s="1836"/>
      <c r="F36" s="1404"/>
      <c r="G36" s="1839"/>
      <c r="H36" s="1840"/>
      <c r="AC36" s="1569" t="s">
        <v>483</v>
      </c>
      <c r="AD36" s="1570"/>
      <c r="AE36" s="1571"/>
      <c r="AF36" s="1847" t="s">
        <v>484</v>
      </c>
      <c r="AG36" s="1849" t="s">
        <v>485</v>
      </c>
    </row>
    <row r="37" spans="2:33" ht="30" customHeight="1" thickTop="1" thickBot="1">
      <c r="C37" s="1851" t="s">
        <v>306</v>
      </c>
      <c r="D37" s="1852"/>
      <c r="E37" s="1853"/>
      <c r="F37" s="458"/>
      <c r="G37" s="648"/>
      <c r="H37" s="1053"/>
      <c r="AC37" s="1841"/>
      <c r="AD37" s="1842"/>
      <c r="AE37" s="1843"/>
      <c r="AF37" s="1848"/>
      <c r="AG37" s="1850"/>
    </row>
    <row r="38" spans="2:33" ht="29.25" customHeight="1" thickTop="1">
      <c r="C38" s="649"/>
      <c r="D38" s="1844" t="s">
        <v>486</v>
      </c>
      <c r="E38" s="581"/>
      <c r="F38" s="1854"/>
      <c r="G38" s="1855"/>
      <c r="H38" s="1856"/>
      <c r="I38" s="489"/>
      <c r="K38" s="184"/>
      <c r="L38" s="184"/>
      <c r="M38" s="184"/>
      <c r="N38" s="184"/>
      <c r="O38" s="184"/>
      <c r="P38" s="184"/>
      <c r="Q38" s="184"/>
      <c r="R38" s="184"/>
      <c r="S38" s="184"/>
      <c r="T38" s="184"/>
      <c r="AC38" s="1569" t="s">
        <v>306</v>
      </c>
      <c r="AD38" s="1570"/>
      <c r="AE38" s="1571"/>
      <c r="AF38" s="351">
        <f>IF(F37&gt;0,ROUND(F37*H37%,),SUM(AF39:AF41))</f>
        <v>0</v>
      </c>
      <c r="AG38" s="351">
        <f>IF(G37&gt;0,ROUND(G37*H37%,),SUM(AG39:AG41))</f>
        <v>0</v>
      </c>
    </row>
    <row r="39" spans="2:33" ht="29.25" customHeight="1">
      <c r="C39" s="649"/>
      <c r="D39" s="1349"/>
      <c r="E39" s="650"/>
      <c r="F39" s="466"/>
      <c r="G39" s="278"/>
      <c r="H39" s="1070"/>
      <c r="I39" s="489"/>
      <c r="K39" s="184"/>
      <c r="L39" s="184"/>
      <c r="M39" s="184"/>
      <c r="N39" s="184"/>
      <c r="O39" s="184"/>
      <c r="P39" s="184"/>
      <c r="Q39" s="184"/>
      <c r="R39" s="184"/>
      <c r="S39" s="184"/>
      <c r="T39" s="184"/>
      <c r="AC39" s="1857" t="s">
        <v>486</v>
      </c>
      <c r="AD39" s="1858"/>
      <c r="AE39" s="1859"/>
      <c r="AF39" s="651">
        <f>SUMPRODUCT(ROUND((F39:F68)*(H39:H68)/100,))</f>
        <v>0</v>
      </c>
      <c r="AG39" s="651">
        <f>SUMPRODUCT(ROUND((G39:G68)*(H39:H68)/100,))</f>
        <v>0</v>
      </c>
    </row>
    <row r="40" spans="2:33" ht="29.25" customHeight="1">
      <c r="C40" s="649"/>
      <c r="D40" s="1349"/>
      <c r="E40" s="650"/>
      <c r="F40" s="352"/>
      <c r="G40" s="235"/>
      <c r="H40" s="1071"/>
      <c r="I40" s="489"/>
      <c r="K40" s="184"/>
      <c r="L40" s="184"/>
      <c r="M40" s="184"/>
      <c r="N40" s="184"/>
      <c r="O40" s="184"/>
      <c r="P40" s="184"/>
      <c r="Q40" s="184"/>
      <c r="R40" s="184"/>
      <c r="S40" s="184"/>
      <c r="T40" s="184"/>
      <c r="AC40" s="1857" t="s">
        <v>487</v>
      </c>
      <c r="AD40" s="1858"/>
      <c r="AE40" s="1859"/>
      <c r="AF40" s="651">
        <f>SUMPRODUCT(ROUND((F70:F99)*(H70:H99)/100,))</f>
        <v>0</v>
      </c>
      <c r="AG40" s="651">
        <f>SUMPRODUCT(ROUND((G70:G99)*(H70:H99)/100,))</f>
        <v>0</v>
      </c>
    </row>
    <row r="41" spans="2:33" ht="29.25" customHeight="1">
      <c r="C41" s="649"/>
      <c r="D41" s="1349"/>
      <c r="E41" s="650"/>
      <c r="F41" s="466"/>
      <c r="G41" s="278"/>
      <c r="H41" s="1070"/>
      <c r="I41" s="489"/>
      <c r="K41" s="184"/>
      <c r="L41" s="184"/>
      <c r="M41" s="184"/>
      <c r="N41" s="184"/>
      <c r="O41" s="184"/>
      <c r="P41" s="184"/>
      <c r="Q41" s="184"/>
      <c r="R41" s="184"/>
      <c r="S41" s="184"/>
      <c r="T41" s="184"/>
      <c r="AC41" s="1857" t="s">
        <v>488</v>
      </c>
      <c r="AD41" s="1858"/>
      <c r="AE41" s="1859"/>
      <c r="AF41" s="651">
        <f>ROUND(F100*H100%,)</f>
        <v>0</v>
      </c>
      <c r="AG41" s="651">
        <f>ROUND(G100*H100%,)</f>
        <v>0</v>
      </c>
    </row>
    <row r="42" spans="2:33" ht="29.25" customHeight="1" collapsed="1">
      <c r="C42" s="649"/>
      <c r="D42" s="1349"/>
      <c r="E42" s="650"/>
      <c r="F42" s="425"/>
      <c r="G42" s="652"/>
      <c r="H42" s="1068"/>
      <c r="I42" s="489"/>
      <c r="K42" s="184"/>
      <c r="L42" s="184"/>
      <c r="M42" s="184"/>
      <c r="N42" s="184"/>
      <c r="O42" s="184"/>
      <c r="P42" s="184"/>
      <c r="Q42" s="184"/>
      <c r="R42" s="184"/>
      <c r="S42" s="184"/>
      <c r="T42" s="184"/>
    </row>
    <row r="43" spans="2:33" ht="29.25" hidden="1" customHeight="1" outlineLevel="1">
      <c r="C43" s="649"/>
      <c r="D43" s="1349"/>
      <c r="E43" s="650"/>
      <c r="F43" s="425"/>
      <c r="G43" s="652"/>
      <c r="H43" s="1068"/>
      <c r="I43" s="489"/>
      <c r="K43" s="184"/>
      <c r="L43" s="184"/>
      <c r="M43" s="184"/>
      <c r="N43" s="184"/>
      <c r="O43" s="184"/>
      <c r="P43" s="184"/>
      <c r="Q43" s="184"/>
      <c r="R43" s="184"/>
      <c r="S43" s="184"/>
      <c r="T43" s="184"/>
    </row>
    <row r="44" spans="2:33" ht="29.25" hidden="1" customHeight="1" outlineLevel="1">
      <c r="C44" s="649"/>
      <c r="D44" s="1349"/>
      <c r="E44" s="650"/>
      <c r="F44" s="425"/>
      <c r="G44" s="652"/>
      <c r="H44" s="1068"/>
      <c r="I44" s="489"/>
      <c r="K44" s="184"/>
      <c r="L44" s="184"/>
      <c r="M44" s="184"/>
      <c r="N44" s="184"/>
      <c r="O44" s="184"/>
      <c r="P44" s="184"/>
      <c r="Q44" s="184"/>
      <c r="R44" s="184"/>
      <c r="S44" s="184"/>
      <c r="T44" s="184"/>
    </row>
    <row r="45" spans="2:33" ht="29.25" hidden="1" customHeight="1" outlineLevel="1">
      <c r="C45" s="649"/>
      <c r="D45" s="1349"/>
      <c r="E45" s="650"/>
      <c r="F45" s="425"/>
      <c r="G45" s="652"/>
      <c r="H45" s="1068"/>
      <c r="I45" s="489"/>
      <c r="K45" s="184"/>
      <c r="L45" s="184"/>
      <c r="M45" s="184"/>
      <c r="N45" s="184"/>
      <c r="O45" s="184"/>
      <c r="P45" s="184"/>
      <c r="Q45" s="184"/>
      <c r="R45" s="184"/>
      <c r="S45" s="184"/>
      <c r="T45" s="184"/>
    </row>
    <row r="46" spans="2:33" ht="29.25" hidden="1" customHeight="1" outlineLevel="1">
      <c r="C46" s="649"/>
      <c r="D46" s="1349"/>
      <c r="E46" s="650"/>
      <c r="F46" s="425"/>
      <c r="G46" s="652"/>
      <c r="H46" s="1068"/>
      <c r="I46" s="489"/>
      <c r="K46" s="184"/>
      <c r="L46" s="184"/>
      <c r="M46" s="184"/>
      <c r="N46" s="184"/>
      <c r="O46" s="184"/>
      <c r="P46" s="184"/>
      <c r="Q46" s="184"/>
      <c r="R46" s="184"/>
      <c r="S46" s="184"/>
      <c r="T46" s="184"/>
    </row>
    <row r="47" spans="2:33" ht="29.25" hidden="1" customHeight="1" outlineLevel="1">
      <c r="C47" s="649"/>
      <c r="D47" s="1349"/>
      <c r="E47" s="650"/>
      <c r="F47" s="425"/>
      <c r="G47" s="652"/>
      <c r="H47" s="1068"/>
      <c r="I47" s="489"/>
      <c r="K47" s="184"/>
      <c r="L47" s="184"/>
      <c r="M47" s="184"/>
      <c r="N47" s="184"/>
      <c r="O47" s="184"/>
      <c r="P47" s="184"/>
      <c r="Q47" s="184"/>
      <c r="R47" s="184"/>
      <c r="S47" s="184"/>
      <c r="T47" s="184"/>
    </row>
    <row r="48" spans="2:33" ht="29.25" hidden="1" customHeight="1" outlineLevel="1">
      <c r="C48" s="649"/>
      <c r="D48" s="1349"/>
      <c r="E48" s="650"/>
      <c r="F48" s="425"/>
      <c r="G48" s="652"/>
      <c r="H48" s="1068"/>
      <c r="I48" s="489"/>
      <c r="K48" s="184"/>
      <c r="L48" s="184"/>
      <c r="M48" s="184"/>
      <c r="N48" s="184"/>
      <c r="O48" s="184"/>
      <c r="P48" s="184"/>
      <c r="Q48" s="184"/>
      <c r="R48" s="184"/>
      <c r="S48" s="184"/>
      <c r="T48" s="184"/>
    </row>
    <row r="49" spans="3:20" ht="29.25" hidden="1" customHeight="1" outlineLevel="1">
      <c r="C49" s="649"/>
      <c r="D49" s="1349"/>
      <c r="E49" s="650"/>
      <c r="F49" s="425"/>
      <c r="G49" s="652"/>
      <c r="H49" s="1068"/>
      <c r="I49" s="489"/>
      <c r="K49" s="184"/>
      <c r="L49" s="184"/>
      <c r="M49" s="184"/>
      <c r="N49" s="184"/>
      <c r="O49" s="184"/>
      <c r="P49" s="184"/>
      <c r="Q49" s="184"/>
      <c r="R49" s="184"/>
      <c r="S49" s="184"/>
      <c r="T49" s="184"/>
    </row>
    <row r="50" spans="3:20" ht="29.25" hidden="1" customHeight="1" outlineLevel="1">
      <c r="C50" s="649"/>
      <c r="D50" s="1349"/>
      <c r="E50" s="650"/>
      <c r="F50" s="425"/>
      <c r="G50" s="652"/>
      <c r="H50" s="1068"/>
      <c r="I50" s="489"/>
      <c r="K50" s="184"/>
      <c r="L50" s="184"/>
      <c r="M50" s="184"/>
      <c r="N50" s="184"/>
      <c r="O50" s="184"/>
      <c r="P50" s="184"/>
      <c r="Q50" s="184"/>
      <c r="R50" s="184"/>
      <c r="S50" s="184"/>
      <c r="T50" s="184"/>
    </row>
    <row r="51" spans="3:20" ht="29.25" hidden="1" customHeight="1" outlineLevel="1">
      <c r="C51" s="649"/>
      <c r="D51" s="1349"/>
      <c r="E51" s="650"/>
      <c r="F51" s="425"/>
      <c r="G51" s="652"/>
      <c r="H51" s="1068"/>
      <c r="I51" s="489"/>
      <c r="K51" s="184"/>
      <c r="L51" s="184"/>
      <c r="M51" s="184"/>
      <c r="N51" s="184"/>
      <c r="O51" s="184"/>
      <c r="P51" s="184"/>
      <c r="Q51" s="184"/>
      <c r="R51" s="184"/>
      <c r="S51" s="184"/>
      <c r="T51" s="184"/>
    </row>
    <row r="52" spans="3:20" ht="29.25" hidden="1" customHeight="1" outlineLevel="1">
      <c r="C52" s="649"/>
      <c r="D52" s="1349"/>
      <c r="E52" s="650"/>
      <c r="F52" s="425"/>
      <c r="G52" s="652"/>
      <c r="H52" s="1068"/>
      <c r="I52" s="489"/>
      <c r="K52" s="184"/>
      <c r="L52" s="184"/>
      <c r="M52" s="184"/>
      <c r="N52" s="184"/>
      <c r="O52" s="184"/>
      <c r="P52" s="184"/>
      <c r="Q52" s="184"/>
      <c r="R52" s="184"/>
      <c r="S52" s="184"/>
      <c r="T52" s="184"/>
    </row>
    <row r="53" spans="3:20" ht="29.25" hidden="1" customHeight="1" outlineLevel="1">
      <c r="C53" s="649"/>
      <c r="D53" s="1349"/>
      <c r="E53" s="650"/>
      <c r="F53" s="425"/>
      <c r="G53" s="652"/>
      <c r="H53" s="1068"/>
      <c r="I53" s="489"/>
      <c r="K53" s="184"/>
      <c r="L53" s="184"/>
      <c r="M53" s="184"/>
      <c r="N53" s="184"/>
      <c r="O53" s="184"/>
      <c r="P53" s="184"/>
      <c r="Q53" s="184"/>
      <c r="R53" s="184"/>
      <c r="S53" s="184"/>
      <c r="T53" s="184"/>
    </row>
    <row r="54" spans="3:20" ht="29.25" hidden="1" customHeight="1" outlineLevel="1">
      <c r="C54" s="649"/>
      <c r="D54" s="1349"/>
      <c r="E54" s="650"/>
      <c r="F54" s="425"/>
      <c r="G54" s="652"/>
      <c r="H54" s="1068"/>
      <c r="I54" s="489"/>
      <c r="K54" s="184"/>
      <c r="L54" s="184"/>
      <c r="M54" s="184"/>
      <c r="N54" s="184"/>
      <c r="O54" s="184"/>
      <c r="P54" s="184"/>
      <c r="Q54" s="184"/>
      <c r="R54" s="184"/>
      <c r="S54" s="184"/>
      <c r="T54" s="184"/>
    </row>
    <row r="55" spans="3:20" ht="29.25" hidden="1" customHeight="1" outlineLevel="1">
      <c r="C55" s="649"/>
      <c r="D55" s="1349"/>
      <c r="E55" s="650"/>
      <c r="F55" s="425"/>
      <c r="G55" s="652"/>
      <c r="H55" s="1068"/>
      <c r="I55" s="489"/>
      <c r="K55" s="184"/>
      <c r="L55" s="184"/>
      <c r="M55" s="184"/>
      <c r="N55" s="184"/>
      <c r="O55" s="184"/>
      <c r="P55" s="184"/>
      <c r="Q55" s="184"/>
      <c r="R55" s="184"/>
      <c r="S55" s="184"/>
      <c r="T55" s="184"/>
    </row>
    <row r="56" spans="3:20" ht="29.25" hidden="1" customHeight="1" outlineLevel="1">
      <c r="C56" s="649"/>
      <c r="D56" s="1349"/>
      <c r="E56" s="650"/>
      <c r="F56" s="425"/>
      <c r="G56" s="652"/>
      <c r="H56" s="1068"/>
      <c r="I56" s="489"/>
      <c r="K56" s="184"/>
      <c r="L56" s="184"/>
      <c r="M56" s="184"/>
      <c r="N56" s="184"/>
      <c r="O56" s="184"/>
      <c r="P56" s="184"/>
      <c r="Q56" s="184"/>
      <c r="R56" s="184"/>
      <c r="S56" s="184"/>
      <c r="T56" s="184"/>
    </row>
    <row r="57" spans="3:20" ht="29.25" hidden="1" customHeight="1" outlineLevel="1">
      <c r="C57" s="649"/>
      <c r="D57" s="1349"/>
      <c r="E57" s="650"/>
      <c r="F57" s="425"/>
      <c r="G57" s="652"/>
      <c r="H57" s="1068"/>
      <c r="I57" s="489"/>
      <c r="K57" s="184"/>
      <c r="L57" s="184"/>
      <c r="M57" s="184"/>
      <c r="N57" s="184"/>
      <c r="O57" s="184"/>
      <c r="P57" s="184"/>
      <c r="Q57" s="184"/>
      <c r="R57" s="184"/>
      <c r="S57" s="184"/>
      <c r="T57" s="184"/>
    </row>
    <row r="58" spans="3:20" ht="29.25" hidden="1" customHeight="1" outlineLevel="1">
      <c r="C58" s="649"/>
      <c r="D58" s="1349"/>
      <c r="E58" s="650"/>
      <c r="F58" s="425"/>
      <c r="G58" s="652"/>
      <c r="H58" s="1068"/>
      <c r="I58" s="489"/>
      <c r="K58" s="184"/>
      <c r="L58" s="184"/>
      <c r="M58" s="184"/>
      <c r="N58" s="184"/>
      <c r="O58" s="184"/>
      <c r="P58" s="184"/>
      <c r="Q58" s="184"/>
      <c r="R58" s="184"/>
      <c r="S58" s="184"/>
      <c r="T58" s="184"/>
    </row>
    <row r="59" spans="3:20" ht="29.25" hidden="1" customHeight="1" outlineLevel="1">
      <c r="C59" s="649"/>
      <c r="D59" s="1349"/>
      <c r="E59" s="650"/>
      <c r="F59" s="425"/>
      <c r="G59" s="652"/>
      <c r="H59" s="1068"/>
      <c r="I59" s="489"/>
      <c r="K59" s="184"/>
      <c r="L59" s="184"/>
      <c r="M59" s="184"/>
      <c r="N59" s="184"/>
      <c r="O59" s="184"/>
      <c r="P59" s="184"/>
      <c r="Q59" s="184"/>
      <c r="R59" s="184"/>
      <c r="S59" s="184"/>
      <c r="T59" s="184"/>
    </row>
    <row r="60" spans="3:20" ht="29.25" hidden="1" customHeight="1" outlineLevel="1">
      <c r="C60" s="649"/>
      <c r="D60" s="1349"/>
      <c r="E60" s="650"/>
      <c r="F60" s="425"/>
      <c r="G60" s="652"/>
      <c r="H60" s="1068"/>
      <c r="I60" s="489"/>
      <c r="K60" s="184"/>
      <c r="L60" s="184"/>
      <c r="M60" s="184"/>
      <c r="N60" s="184"/>
      <c r="O60" s="184"/>
      <c r="P60" s="184"/>
      <c r="Q60" s="184"/>
      <c r="R60" s="184"/>
      <c r="S60" s="184"/>
      <c r="T60" s="184"/>
    </row>
    <row r="61" spans="3:20" ht="29.25" hidden="1" customHeight="1" outlineLevel="1">
      <c r="C61" s="649"/>
      <c r="D61" s="1349"/>
      <c r="E61" s="650"/>
      <c r="F61" s="425"/>
      <c r="G61" s="652"/>
      <c r="H61" s="1068"/>
      <c r="I61" s="489"/>
      <c r="K61" s="184"/>
      <c r="L61" s="184"/>
      <c r="M61" s="184"/>
      <c r="N61" s="184"/>
      <c r="O61" s="184"/>
      <c r="P61" s="184"/>
      <c r="Q61" s="184"/>
      <c r="R61" s="184"/>
      <c r="S61" s="184"/>
      <c r="T61" s="184"/>
    </row>
    <row r="62" spans="3:20" ht="29.25" hidden="1" customHeight="1" outlineLevel="1">
      <c r="C62" s="649"/>
      <c r="D62" s="1349"/>
      <c r="E62" s="650"/>
      <c r="F62" s="425"/>
      <c r="G62" s="652"/>
      <c r="H62" s="1068"/>
      <c r="I62" s="489"/>
      <c r="K62" s="184"/>
      <c r="L62" s="184"/>
      <c r="M62" s="184"/>
      <c r="N62" s="184"/>
      <c r="O62" s="184"/>
      <c r="P62" s="184"/>
      <c r="Q62" s="184"/>
      <c r="R62" s="184"/>
      <c r="S62" s="184"/>
      <c r="T62" s="184"/>
    </row>
    <row r="63" spans="3:20" ht="29.25" hidden="1" customHeight="1" outlineLevel="1">
      <c r="C63" s="649"/>
      <c r="D63" s="1349"/>
      <c r="E63" s="650"/>
      <c r="F63" s="425"/>
      <c r="G63" s="652"/>
      <c r="H63" s="1068"/>
      <c r="I63" s="489"/>
      <c r="K63" s="184"/>
      <c r="L63" s="184"/>
      <c r="M63" s="184"/>
      <c r="N63" s="184"/>
      <c r="O63" s="184"/>
      <c r="P63" s="184"/>
      <c r="Q63" s="184"/>
      <c r="R63" s="184"/>
      <c r="S63" s="184"/>
      <c r="T63" s="184"/>
    </row>
    <row r="64" spans="3:20" ht="29.25" hidden="1" customHeight="1" outlineLevel="1">
      <c r="C64" s="649"/>
      <c r="D64" s="1349"/>
      <c r="E64" s="650"/>
      <c r="F64" s="425"/>
      <c r="G64" s="652"/>
      <c r="H64" s="1068"/>
      <c r="I64" s="489"/>
      <c r="K64" s="184"/>
      <c r="L64" s="184"/>
      <c r="M64" s="184"/>
      <c r="N64" s="184"/>
      <c r="O64" s="184"/>
      <c r="P64" s="184"/>
      <c r="Q64" s="184"/>
      <c r="R64" s="184"/>
      <c r="S64" s="184"/>
      <c r="T64" s="184"/>
    </row>
    <row r="65" spans="3:20" ht="29.25" hidden="1" customHeight="1" outlineLevel="1">
      <c r="C65" s="649"/>
      <c r="D65" s="1349"/>
      <c r="E65" s="650"/>
      <c r="F65" s="425"/>
      <c r="G65" s="652"/>
      <c r="H65" s="1068"/>
      <c r="I65" s="489"/>
      <c r="K65" s="184"/>
      <c r="L65" s="184"/>
      <c r="M65" s="184"/>
      <c r="N65" s="184"/>
      <c r="O65" s="184"/>
      <c r="P65" s="184"/>
      <c r="Q65" s="184"/>
      <c r="R65" s="184"/>
      <c r="S65" s="184"/>
      <c r="T65" s="184"/>
    </row>
    <row r="66" spans="3:20" ht="29.25" hidden="1" customHeight="1" outlineLevel="1">
      <c r="C66" s="649"/>
      <c r="D66" s="1349"/>
      <c r="E66" s="650"/>
      <c r="F66" s="425"/>
      <c r="G66" s="652"/>
      <c r="H66" s="1068"/>
      <c r="I66" s="489"/>
      <c r="K66" s="184"/>
      <c r="L66" s="184"/>
      <c r="M66" s="184"/>
      <c r="N66" s="184"/>
      <c r="O66" s="184"/>
      <c r="P66" s="184"/>
      <c r="Q66" s="184"/>
      <c r="R66" s="184"/>
      <c r="S66" s="184"/>
      <c r="T66" s="184"/>
    </row>
    <row r="67" spans="3:20" ht="29.25" hidden="1" customHeight="1" outlineLevel="1">
      <c r="C67" s="649"/>
      <c r="D67" s="1349"/>
      <c r="E67" s="650"/>
      <c r="F67" s="425"/>
      <c r="G67" s="652"/>
      <c r="H67" s="1068"/>
      <c r="I67" s="489"/>
      <c r="K67" s="184"/>
      <c r="L67" s="184"/>
      <c r="M67" s="184"/>
      <c r="N67" s="184"/>
      <c r="O67" s="184"/>
      <c r="P67" s="184"/>
      <c r="Q67" s="184"/>
      <c r="R67" s="184"/>
      <c r="S67" s="184"/>
      <c r="T67" s="184"/>
    </row>
    <row r="68" spans="3:20" ht="29.25" hidden="1" customHeight="1" outlineLevel="1">
      <c r="C68" s="649"/>
      <c r="D68" s="1349"/>
      <c r="E68" s="650"/>
      <c r="F68" s="423"/>
      <c r="G68" s="652"/>
      <c r="H68" s="1068"/>
      <c r="I68" s="489"/>
      <c r="K68" s="184"/>
      <c r="L68" s="184"/>
      <c r="M68" s="184"/>
      <c r="N68" s="184"/>
      <c r="O68" s="184"/>
      <c r="P68" s="184"/>
      <c r="Q68" s="184"/>
      <c r="R68" s="184"/>
      <c r="S68" s="184"/>
      <c r="T68" s="184"/>
    </row>
    <row r="69" spans="3:20" ht="29.25" customHeight="1">
      <c r="C69" s="649"/>
      <c r="D69" s="1844" t="s">
        <v>489</v>
      </c>
      <c r="E69" s="653"/>
      <c r="F69" s="1612"/>
      <c r="G69" s="1613"/>
      <c r="H69" s="1614"/>
      <c r="I69" s="489"/>
      <c r="K69" s="184"/>
      <c r="L69" s="184"/>
      <c r="M69" s="184"/>
      <c r="N69" s="184"/>
      <c r="O69" s="184"/>
      <c r="P69" s="184"/>
      <c r="Q69" s="184"/>
      <c r="R69" s="184"/>
      <c r="S69" s="184"/>
      <c r="T69" s="184"/>
    </row>
    <row r="70" spans="3:20" ht="29.25" customHeight="1">
      <c r="C70" s="649"/>
      <c r="D70" s="1845"/>
      <c r="E70" s="650"/>
      <c r="F70" s="466"/>
      <c r="G70" s="278"/>
      <c r="H70" s="1070"/>
      <c r="I70" s="489"/>
      <c r="K70" s="184"/>
      <c r="L70" s="184"/>
      <c r="M70" s="184"/>
      <c r="N70" s="184"/>
      <c r="O70" s="184"/>
      <c r="P70" s="184"/>
      <c r="Q70" s="184"/>
      <c r="R70" s="184"/>
      <c r="S70" s="184"/>
      <c r="T70" s="184"/>
    </row>
    <row r="71" spans="3:20" ht="29.25" customHeight="1">
      <c r="C71" s="649"/>
      <c r="D71" s="1845"/>
      <c r="E71" s="650"/>
      <c r="F71" s="466"/>
      <c r="G71" s="652"/>
      <c r="H71" s="1071"/>
      <c r="I71" s="489"/>
      <c r="K71" s="184"/>
      <c r="L71" s="184"/>
      <c r="M71" s="184"/>
      <c r="N71" s="184"/>
      <c r="O71" s="184"/>
      <c r="P71" s="184"/>
      <c r="Q71" s="184"/>
      <c r="R71" s="184"/>
      <c r="S71" s="184"/>
      <c r="T71" s="184"/>
    </row>
    <row r="72" spans="3:20" ht="29.25" customHeight="1">
      <c r="C72" s="649"/>
      <c r="D72" s="1845"/>
      <c r="E72" s="650"/>
      <c r="F72" s="352"/>
      <c r="G72" s="235"/>
      <c r="H72" s="1070"/>
      <c r="I72" s="489"/>
      <c r="K72" s="184"/>
      <c r="L72" s="184"/>
      <c r="M72" s="184"/>
      <c r="N72" s="184"/>
      <c r="O72" s="184"/>
      <c r="P72" s="184"/>
      <c r="Q72" s="184"/>
      <c r="R72" s="184"/>
      <c r="S72" s="184"/>
      <c r="T72" s="184"/>
    </row>
    <row r="73" spans="3:20" ht="29.25" customHeight="1" collapsed="1">
      <c r="C73" s="649"/>
      <c r="D73" s="1845"/>
      <c r="E73" s="650"/>
      <c r="F73" s="466"/>
      <c r="G73" s="652"/>
      <c r="H73" s="1068"/>
      <c r="I73" s="489"/>
      <c r="K73" s="184"/>
      <c r="L73" s="184"/>
      <c r="M73" s="184"/>
      <c r="N73" s="184"/>
      <c r="O73" s="184"/>
      <c r="P73" s="184"/>
      <c r="Q73" s="184"/>
      <c r="R73" s="184"/>
      <c r="S73" s="184"/>
      <c r="T73" s="184"/>
    </row>
    <row r="74" spans="3:20" ht="29.25" hidden="1" customHeight="1" outlineLevel="1">
      <c r="C74" s="649"/>
      <c r="D74" s="1845"/>
      <c r="E74" s="650"/>
      <c r="F74" s="352"/>
      <c r="G74" s="235"/>
      <c r="H74" s="1068"/>
      <c r="I74" s="489"/>
      <c r="K74" s="184"/>
      <c r="L74" s="184"/>
      <c r="M74" s="184"/>
      <c r="N74" s="184"/>
      <c r="O74" s="184"/>
      <c r="P74" s="184"/>
      <c r="Q74" s="184"/>
      <c r="R74" s="184"/>
      <c r="S74" s="184"/>
      <c r="T74" s="184"/>
    </row>
    <row r="75" spans="3:20" ht="29.25" hidden="1" customHeight="1" outlineLevel="1">
      <c r="C75" s="649"/>
      <c r="D75" s="1845"/>
      <c r="E75" s="650"/>
      <c r="F75" s="466"/>
      <c r="G75" s="652"/>
      <c r="H75" s="1068"/>
      <c r="I75" s="489"/>
      <c r="K75" s="184"/>
      <c r="L75" s="184"/>
      <c r="M75" s="184"/>
      <c r="N75" s="184"/>
      <c r="O75" s="184"/>
      <c r="P75" s="184"/>
      <c r="Q75" s="184"/>
      <c r="R75" s="184"/>
      <c r="S75" s="184"/>
      <c r="T75" s="184"/>
    </row>
    <row r="76" spans="3:20" ht="29.25" hidden="1" customHeight="1" outlineLevel="1">
      <c r="C76" s="649"/>
      <c r="D76" s="1845"/>
      <c r="E76" s="650"/>
      <c r="F76" s="352"/>
      <c r="G76" s="235"/>
      <c r="H76" s="1068"/>
      <c r="I76" s="489"/>
      <c r="K76" s="184"/>
      <c r="L76" s="184"/>
      <c r="M76" s="184"/>
      <c r="N76" s="184"/>
      <c r="O76" s="184"/>
      <c r="P76" s="184"/>
      <c r="Q76" s="184"/>
      <c r="R76" s="184"/>
      <c r="S76" s="184"/>
      <c r="T76" s="184"/>
    </row>
    <row r="77" spans="3:20" ht="29.25" hidden="1" customHeight="1" outlineLevel="1">
      <c r="C77" s="649"/>
      <c r="D77" s="1845"/>
      <c r="E77" s="650"/>
      <c r="F77" s="466"/>
      <c r="G77" s="652"/>
      <c r="H77" s="1068"/>
      <c r="I77" s="489"/>
      <c r="K77" s="184"/>
      <c r="L77" s="184"/>
      <c r="M77" s="184"/>
      <c r="N77" s="184"/>
      <c r="O77" s="184"/>
      <c r="P77" s="184"/>
      <c r="Q77" s="184"/>
      <c r="R77" s="184"/>
      <c r="S77" s="184"/>
      <c r="T77" s="184"/>
    </row>
    <row r="78" spans="3:20" ht="29.25" hidden="1" customHeight="1" outlineLevel="1">
      <c r="C78" s="649"/>
      <c r="D78" s="1845"/>
      <c r="E78" s="650"/>
      <c r="F78" s="352"/>
      <c r="G78" s="235"/>
      <c r="H78" s="1068"/>
      <c r="I78" s="489"/>
      <c r="K78" s="184"/>
      <c r="L78" s="184"/>
      <c r="M78" s="184"/>
      <c r="N78" s="184"/>
      <c r="O78" s="184"/>
      <c r="P78" s="184"/>
      <c r="Q78" s="184"/>
      <c r="R78" s="184"/>
      <c r="S78" s="184"/>
      <c r="T78" s="184"/>
    </row>
    <row r="79" spans="3:20" ht="29.25" hidden="1" customHeight="1" outlineLevel="1">
      <c r="C79" s="649"/>
      <c r="D79" s="1845"/>
      <c r="E79" s="650"/>
      <c r="F79" s="466"/>
      <c r="G79" s="652"/>
      <c r="H79" s="1068"/>
      <c r="I79" s="489"/>
      <c r="K79" s="184"/>
      <c r="L79" s="184"/>
      <c r="M79" s="184"/>
      <c r="N79" s="184"/>
      <c r="O79" s="184"/>
      <c r="P79" s="184"/>
      <c r="Q79" s="184"/>
      <c r="R79" s="184"/>
      <c r="S79" s="184"/>
      <c r="T79" s="184"/>
    </row>
    <row r="80" spans="3:20" ht="29.25" hidden="1" customHeight="1" outlineLevel="1">
      <c r="C80" s="649"/>
      <c r="D80" s="1845"/>
      <c r="E80" s="650"/>
      <c r="F80" s="352"/>
      <c r="G80" s="235"/>
      <c r="H80" s="1068"/>
      <c r="I80" s="489"/>
      <c r="K80" s="184"/>
      <c r="L80" s="184"/>
      <c r="M80" s="184"/>
      <c r="N80" s="184"/>
      <c r="O80" s="184"/>
      <c r="P80" s="184"/>
      <c r="Q80" s="184"/>
      <c r="R80" s="184"/>
      <c r="S80" s="184"/>
      <c r="T80" s="184"/>
    </row>
    <row r="81" spans="3:20" ht="29.25" hidden="1" customHeight="1" outlineLevel="1">
      <c r="C81" s="649"/>
      <c r="D81" s="1845"/>
      <c r="E81" s="650"/>
      <c r="F81" s="466"/>
      <c r="G81" s="652"/>
      <c r="H81" s="1068"/>
      <c r="I81" s="489"/>
      <c r="K81" s="184"/>
      <c r="L81" s="184"/>
      <c r="M81" s="184"/>
      <c r="N81" s="184"/>
      <c r="O81" s="184"/>
      <c r="P81" s="184"/>
      <c r="Q81" s="184"/>
      <c r="R81" s="184"/>
      <c r="S81" s="184"/>
      <c r="T81" s="184"/>
    </row>
    <row r="82" spans="3:20" ht="29.25" hidden="1" customHeight="1" outlineLevel="1">
      <c r="C82" s="649"/>
      <c r="D82" s="1845"/>
      <c r="E82" s="650"/>
      <c r="F82" s="352"/>
      <c r="G82" s="235"/>
      <c r="H82" s="1068"/>
      <c r="I82" s="489"/>
      <c r="K82" s="184"/>
      <c r="L82" s="184"/>
      <c r="M82" s="184"/>
      <c r="N82" s="184"/>
      <c r="O82" s="184"/>
      <c r="P82" s="184"/>
      <c r="Q82" s="184"/>
      <c r="R82" s="184"/>
      <c r="S82" s="184"/>
      <c r="T82" s="184"/>
    </row>
    <row r="83" spans="3:20" ht="29.25" hidden="1" customHeight="1" outlineLevel="1">
      <c r="C83" s="649"/>
      <c r="D83" s="1845"/>
      <c r="E83" s="650"/>
      <c r="F83" s="466"/>
      <c r="G83" s="652"/>
      <c r="H83" s="1068"/>
      <c r="I83" s="489"/>
      <c r="K83" s="184"/>
      <c r="L83" s="184"/>
      <c r="M83" s="184"/>
      <c r="N83" s="184"/>
      <c r="O83" s="184"/>
      <c r="P83" s="184"/>
      <c r="Q83" s="184"/>
      <c r="R83" s="184"/>
      <c r="S83" s="184"/>
      <c r="T83" s="184"/>
    </row>
    <row r="84" spans="3:20" ht="29.25" hidden="1" customHeight="1" outlineLevel="1">
      <c r="C84" s="649"/>
      <c r="D84" s="1845"/>
      <c r="E84" s="650"/>
      <c r="F84" s="352"/>
      <c r="G84" s="235"/>
      <c r="H84" s="1068"/>
      <c r="I84" s="489"/>
      <c r="K84" s="184"/>
      <c r="L84" s="184"/>
      <c r="M84" s="184"/>
      <c r="N84" s="184"/>
      <c r="O84" s="184"/>
      <c r="P84" s="184"/>
      <c r="Q84" s="184"/>
      <c r="R84" s="184"/>
      <c r="S84" s="184"/>
      <c r="T84" s="184"/>
    </row>
    <row r="85" spans="3:20" ht="29.25" hidden="1" customHeight="1" outlineLevel="1">
      <c r="C85" s="649"/>
      <c r="D85" s="1845"/>
      <c r="E85" s="650"/>
      <c r="F85" s="466"/>
      <c r="G85" s="652"/>
      <c r="H85" s="1068"/>
      <c r="I85" s="489"/>
      <c r="K85" s="184"/>
      <c r="L85" s="184"/>
      <c r="M85" s="184"/>
      <c r="N85" s="184"/>
      <c r="O85" s="184"/>
      <c r="P85" s="184"/>
      <c r="Q85" s="184"/>
      <c r="R85" s="184"/>
      <c r="S85" s="184"/>
      <c r="T85" s="184"/>
    </row>
    <row r="86" spans="3:20" ht="29.25" hidden="1" customHeight="1" outlineLevel="1">
      <c r="C86" s="649"/>
      <c r="D86" s="1845"/>
      <c r="E86" s="650"/>
      <c r="F86" s="352"/>
      <c r="G86" s="235"/>
      <c r="H86" s="1068"/>
      <c r="I86" s="489"/>
      <c r="K86" s="184"/>
      <c r="L86" s="184"/>
      <c r="M86" s="184"/>
      <c r="N86" s="184"/>
      <c r="O86" s="184"/>
      <c r="P86" s="184"/>
      <c r="Q86" s="184"/>
      <c r="R86" s="184"/>
      <c r="S86" s="184"/>
      <c r="T86" s="184"/>
    </row>
    <row r="87" spans="3:20" ht="29.25" hidden="1" customHeight="1" outlineLevel="1">
      <c r="C87" s="649"/>
      <c r="D87" s="1845"/>
      <c r="E87" s="650"/>
      <c r="F87" s="466"/>
      <c r="G87" s="652"/>
      <c r="H87" s="1068"/>
      <c r="I87" s="489"/>
      <c r="K87" s="184"/>
      <c r="L87" s="184"/>
      <c r="M87" s="184"/>
      <c r="N87" s="184"/>
      <c r="O87" s="184"/>
      <c r="P87" s="184"/>
      <c r="Q87" s="184"/>
      <c r="R87" s="184"/>
      <c r="S87" s="184"/>
      <c r="T87" s="184"/>
    </row>
    <row r="88" spans="3:20" ht="29.25" hidden="1" customHeight="1" outlineLevel="1">
      <c r="C88" s="649"/>
      <c r="D88" s="1845"/>
      <c r="E88" s="650"/>
      <c r="F88" s="352"/>
      <c r="G88" s="235"/>
      <c r="H88" s="1068"/>
      <c r="I88" s="489"/>
      <c r="K88" s="184"/>
      <c r="L88" s="184"/>
      <c r="M88" s="184"/>
      <c r="N88" s="184"/>
      <c r="O88" s="184"/>
      <c r="P88" s="184"/>
      <c r="Q88" s="184"/>
      <c r="R88" s="184"/>
      <c r="S88" s="184"/>
      <c r="T88" s="184"/>
    </row>
    <row r="89" spans="3:20" ht="29.25" hidden="1" customHeight="1" outlineLevel="1">
      <c r="C89" s="649"/>
      <c r="D89" s="1845"/>
      <c r="E89" s="650"/>
      <c r="F89" s="466"/>
      <c r="G89" s="652"/>
      <c r="H89" s="1068"/>
      <c r="I89" s="489"/>
      <c r="K89" s="184"/>
      <c r="L89" s="184"/>
      <c r="M89" s="184"/>
      <c r="N89" s="184"/>
      <c r="O89" s="184"/>
      <c r="P89" s="184"/>
      <c r="Q89" s="184"/>
      <c r="R89" s="184"/>
      <c r="S89" s="184"/>
      <c r="T89" s="184"/>
    </row>
    <row r="90" spans="3:20" ht="29.25" hidden="1" customHeight="1" outlineLevel="1">
      <c r="C90" s="649"/>
      <c r="D90" s="1845"/>
      <c r="E90" s="650"/>
      <c r="F90" s="352"/>
      <c r="G90" s="235"/>
      <c r="H90" s="1068"/>
      <c r="I90" s="489"/>
      <c r="K90" s="184"/>
      <c r="L90" s="184"/>
      <c r="M90" s="184"/>
      <c r="N90" s="184"/>
      <c r="O90" s="184"/>
      <c r="P90" s="184"/>
      <c r="Q90" s="184"/>
      <c r="R90" s="184"/>
      <c r="S90" s="184"/>
      <c r="T90" s="184"/>
    </row>
    <row r="91" spans="3:20" ht="29.25" hidden="1" customHeight="1" outlineLevel="1">
      <c r="C91" s="649"/>
      <c r="D91" s="1845"/>
      <c r="E91" s="650"/>
      <c r="F91" s="466"/>
      <c r="G91" s="652"/>
      <c r="H91" s="1068"/>
      <c r="I91" s="489"/>
      <c r="K91" s="184"/>
      <c r="L91" s="184"/>
      <c r="M91" s="184"/>
      <c r="N91" s="184"/>
      <c r="O91" s="184"/>
      <c r="P91" s="184"/>
      <c r="Q91" s="184"/>
      <c r="R91" s="184"/>
      <c r="S91" s="184"/>
      <c r="T91" s="184"/>
    </row>
    <row r="92" spans="3:20" ht="29.25" hidden="1" customHeight="1" outlineLevel="1">
      <c r="C92" s="649"/>
      <c r="D92" s="1845"/>
      <c r="E92" s="650"/>
      <c r="F92" s="352"/>
      <c r="G92" s="235"/>
      <c r="H92" s="1068"/>
      <c r="I92" s="489"/>
      <c r="K92" s="184"/>
      <c r="L92" s="184"/>
      <c r="M92" s="184"/>
      <c r="N92" s="184"/>
      <c r="O92" s="184"/>
      <c r="P92" s="184"/>
      <c r="Q92" s="184"/>
      <c r="R92" s="184"/>
      <c r="S92" s="184"/>
      <c r="T92" s="184"/>
    </row>
    <row r="93" spans="3:20" ht="29.25" hidden="1" customHeight="1" outlineLevel="1">
      <c r="C93" s="649"/>
      <c r="D93" s="1845"/>
      <c r="E93" s="650"/>
      <c r="F93" s="466"/>
      <c r="G93" s="652"/>
      <c r="H93" s="1068"/>
      <c r="I93" s="489"/>
      <c r="K93" s="184"/>
      <c r="L93" s="184"/>
      <c r="M93" s="184"/>
      <c r="N93" s="184"/>
      <c r="O93" s="184"/>
      <c r="P93" s="184"/>
      <c r="Q93" s="184"/>
      <c r="R93" s="184"/>
      <c r="S93" s="184"/>
      <c r="T93" s="184"/>
    </row>
    <row r="94" spans="3:20" ht="29.25" hidden="1" customHeight="1" outlineLevel="1">
      <c r="C94" s="649"/>
      <c r="D94" s="1845"/>
      <c r="E94" s="650"/>
      <c r="F94" s="352"/>
      <c r="G94" s="235"/>
      <c r="H94" s="1068"/>
      <c r="I94" s="489"/>
      <c r="K94" s="184"/>
      <c r="L94" s="184"/>
      <c r="M94" s="184"/>
      <c r="N94" s="184"/>
      <c r="O94" s="184"/>
      <c r="P94" s="184"/>
      <c r="Q94" s="184"/>
      <c r="R94" s="184"/>
      <c r="S94" s="184"/>
      <c r="T94" s="184"/>
    </row>
    <row r="95" spans="3:20" ht="29.25" hidden="1" customHeight="1" outlineLevel="1">
      <c r="C95" s="649"/>
      <c r="D95" s="1845"/>
      <c r="E95" s="650"/>
      <c r="F95" s="466"/>
      <c r="G95" s="652"/>
      <c r="H95" s="1068"/>
      <c r="I95" s="489"/>
      <c r="K95" s="184"/>
      <c r="L95" s="184"/>
      <c r="M95" s="184"/>
      <c r="N95" s="184"/>
      <c r="O95" s="184"/>
      <c r="P95" s="184"/>
      <c r="Q95" s="184"/>
      <c r="R95" s="184"/>
      <c r="S95" s="184"/>
      <c r="T95" s="184"/>
    </row>
    <row r="96" spans="3:20" ht="29.25" hidden="1" customHeight="1" outlineLevel="1">
      <c r="C96" s="649"/>
      <c r="D96" s="1845"/>
      <c r="E96" s="650"/>
      <c r="F96" s="352"/>
      <c r="G96" s="235"/>
      <c r="H96" s="1068"/>
      <c r="I96" s="489"/>
      <c r="K96" s="184"/>
      <c r="L96" s="184"/>
      <c r="M96" s="184"/>
      <c r="N96" s="184"/>
      <c r="O96" s="184"/>
      <c r="P96" s="184"/>
      <c r="Q96" s="184"/>
      <c r="R96" s="184"/>
      <c r="S96" s="184"/>
      <c r="T96" s="184"/>
    </row>
    <row r="97" spans="3:20" ht="29.25" hidden="1" customHeight="1" outlineLevel="1">
      <c r="C97" s="649"/>
      <c r="D97" s="1845"/>
      <c r="E97" s="650"/>
      <c r="F97" s="466"/>
      <c r="G97" s="652"/>
      <c r="H97" s="1068"/>
      <c r="I97" s="489"/>
      <c r="K97" s="184"/>
      <c r="L97" s="184"/>
      <c r="M97" s="184"/>
      <c r="N97" s="184"/>
      <c r="O97" s="184"/>
      <c r="P97" s="184"/>
      <c r="Q97" s="184"/>
      <c r="R97" s="184"/>
      <c r="S97" s="184"/>
      <c r="T97" s="184"/>
    </row>
    <row r="98" spans="3:20" ht="29.25" hidden="1" customHeight="1" outlineLevel="1">
      <c r="C98" s="649"/>
      <c r="D98" s="1845"/>
      <c r="E98" s="650"/>
      <c r="F98" s="352"/>
      <c r="G98" s="235"/>
      <c r="H98" s="1068"/>
      <c r="I98" s="489"/>
      <c r="K98" s="184"/>
      <c r="L98" s="184"/>
      <c r="M98" s="184"/>
      <c r="N98" s="184"/>
      <c r="O98" s="184"/>
      <c r="P98" s="184"/>
      <c r="Q98" s="184"/>
      <c r="R98" s="184"/>
      <c r="S98" s="184"/>
      <c r="T98" s="184"/>
    </row>
    <row r="99" spans="3:20" ht="29.25" hidden="1" customHeight="1" outlineLevel="1">
      <c r="C99" s="649"/>
      <c r="D99" s="1846"/>
      <c r="E99" s="650"/>
      <c r="F99" s="348"/>
      <c r="G99" s="652"/>
      <c r="H99" s="1068"/>
      <c r="I99" s="489"/>
      <c r="K99" s="184"/>
      <c r="L99" s="184"/>
      <c r="M99" s="184"/>
      <c r="N99" s="184"/>
      <c r="O99" s="184"/>
      <c r="P99" s="184"/>
      <c r="Q99" s="184"/>
      <c r="R99" s="184"/>
      <c r="S99" s="184"/>
      <c r="T99" s="184"/>
    </row>
    <row r="100" spans="3:20" ht="29.25" customHeight="1" thickBot="1">
      <c r="C100" s="654"/>
      <c r="D100" s="1498" t="s">
        <v>488</v>
      </c>
      <c r="E100" s="1815"/>
      <c r="F100" s="655"/>
      <c r="G100" s="656"/>
      <c r="H100" s="1072"/>
      <c r="I100" s="489"/>
      <c r="K100" s="184"/>
      <c r="L100" s="184"/>
      <c r="M100" s="184"/>
      <c r="N100" s="184"/>
      <c r="O100" s="184"/>
      <c r="P100" s="184"/>
      <c r="Q100" s="184"/>
      <c r="R100" s="184"/>
      <c r="S100" s="184"/>
      <c r="T100" s="184"/>
    </row>
    <row r="101" spans="3:20" ht="18" customHeight="1">
      <c r="C101" s="289" t="s">
        <v>490</v>
      </c>
      <c r="D101" s="289"/>
      <c r="E101" s="207"/>
      <c r="F101" s="20"/>
      <c r="G101" s="20"/>
      <c r="H101" s="74"/>
      <c r="I101" s="74"/>
      <c r="J101" s="208"/>
      <c r="K101" s="209"/>
      <c r="L101" s="207"/>
      <c r="M101" s="74"/>
      <c r="N101" s="209"/>
      <c r="O101" s="20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3" r:id="rId4" name="Label1">
          <controlPr defaultSize="0" print="0" autoLine="0" r:id="rId5">
            <anchor moveWithCells="1">
              <from>
                <xdr:col>8</xdr:col>
                <xdr:colOff>133350</xdr:colOff>
                <xdr:row>36</xdr:row>
                <xdr:rowOff>0</xdr:rowOff>
              </from>
              <to>
                <xdr:col>12</xdr:col>
                <xdr:colOff>57150</xdr:colOff>
                <xdr:row>36</xdr:row>
                <xdr:rowOff>342900</xdr:rowOff>
              </to>
            </anchor>
          </controlPr>
        </control>
      </mc:Choice>
      <mc:Fallback>
        <control shapeId="13313" r:id="rId4" name="Label1"/>
      </mc:Fallback>
    </mc:AlternateContent>
    <mc:AlternateContent xmlns:mc="http://schemas.openxmlformats.org/markup-compatibility/2006">
      <mc:Choice Requires="x14">
        <control shapeId="13314" r:id="rId6" name="Label2">
          <controlPr defaultSize="0" print="0" autoLine="0" r:id="rId7">
            <anchor moveWithCells="1">
              <from>
                <xdr:col>8</xdr:col>
                <xdr:colOff>161925</xdr:colOff>
                <xdr:row>36</xdr:row>
                <xdr:rowOff>104775</xdr:rowOff>
              </from>
              <to>
                <xdr:col>12</xdr:col>
                <xdr:colOff>0</xdr:colOff>
                <xdr:row>36</xdr:row>
                <xdr:rowOff>238125</xdr:rowOff>
              </to>
            </anchor>
          </controlPr>
        </control>
      </mc:Choice>
      <mc:Fallback>
        <control shapeId="13314" r:id="rId6" name="Label2"/>
      </mc:Fallback>
    </mc:AlternateContent>
    <mc:AlternateContent xmlns:mc="http://schemas.openxmlformats.org/markup-compatibility/2006">
      <mc:Choice Requires="x14">
        <control shapeId="13315" r:id="rId8" name="Label3">
          <controlPr defaultSize="0" print="0" autoLine="0" r:id="rId9">
            <anchor moveWithCells="1">
              <from>
                <xdr:col>12</xdr:col>
                <xdr:colOff>57150</xdr:colOff>
                <xdr:row>36</xdr:row>
                <xdr:rowOff>0</xdr:rowOff>
              </from>
              <to>
                <xdr:col>14</xdr:col>
                <xdr:colOff>190500</xdr:colOff>
                <xdr:row>36</xdr:row>
                <xdr:rowOff>171450</xdr:rowOff>
              </to>
            </anchor>
          </controlPr>
        </control>
      </mc:Choice>
      <mc:Fallback>
        <control shapeId="13315" r:id="rId8" name="Label3"/>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57150</xdr:colOff>
                <xdr:row>36</xdr:row>
                <xdr:rowOff>171450</xdr:rowOff>
              </from>
              <to>
                <xdr:col>14</xdr:col>
                <xdr:colOff>190500</xdr:colOff>
                <xdr:row>36</xdr:row>
                <xdr:rowOff>342900</xdr:rowOff>
              </to>
            </anchor>
          </controlPr>
        </control>
      </mc:Choice>
      <mc:Fallback>
        <control shapeId="13316" r:id="rId10" name="txt_tanki"/>
      </mc:Fallback>
    </mc:AlternateContent>
    <mc:AlternateContent xmlns:mc="http://schemas.openxmlformats.org/markup-compatibility/2006">
      <mc:Choice Requires="x14">
        <control shapeId="13317" r:id="rId12" name="btnKoushin1">
          <controlPr defaultSize="0" print="0" autoLine="0" r:id="rId13">
            <anchor moveWithCells="1">
              <from>
                <xdr:col>8</xdr:col>
                <xdr:colOff>104775</xdr:colOff>
                <xdr:row>36</xdr:row>
                <xdr:rowOff>352425</xdr:rowOff>
              </from>
              <to>
                <xdr:col>17</xdr:col>
                <xdr:colOff>104775</xdr:colOff>
                <xdr:row>37</xdr:row>
                <xdr:rowOff>314325</xdr:rowOff>
              </to>
            </anchor>
          </controlPr>
        </control>
      </mc:Choice>
      <mc:Fallback>
        <control shapeId="13317" r:id="rId12" name="btnKoushin1"/>
      </mc:Fallback>
    </mc:AlternateContent>
    <mc:AlternateContent xmlns:mc="http://schemas.openxmlformats.org/markup-compatibility/2006">
      <mc:Choice Requires="x14">
        <control shapeId="13318" r:id="rId14" name="Label4">
          <controlPr defaultSize="0" print="0" autoLine="0" r:id="rId15">
            <anchor moveWithCells="1">
              <from>
                <xdr:col>14</xdr:col>
                <xdr:colOff>180975</xdr:colOff>
                <xdr:row>36</xdr:row>
                <xdr:rowOff>0</xdr:rowOff>
              </from>
              <to>
                <xdr:col>17</xdr:col>
                <xdr:colOff>114300</xdr:colOff>
                <xdr:row>36</xdr:row>
                <xdr:rowOff>171450</xdr:rowOff>
              </to>
            </anchor>
          </controlPr>
        </control>
      </mc:Choice>
      <mc:Fallback>
        <control shapeId="13318" r:id="rId14" name="Label4"/>
      </mc:Fallback>
    </mc:AlternateContent>
    <mc:AlternateContent xmlns:mc="http://schemas.openxmlformats.org/markup-compatibility/2006">
      <mc:Choice Requires="x14">
        <control shapeId="13319" r:id="rId16" name="txt_chouki">
          <controlPr locked="0" defaultSize="0" print="0" autoLine="0" r:id="rId17">
            <anchor moveWithCells="1">
              <from>
                <xdr:col>14</xdr:col>
                <xdr:colOff>180975</xdr:colOff>
                <xdr:row>36</xdr:row>
                <xdr:rowOff>171450</xdr:rowOff>
              </from>
              <to>
                <xdr:col>17</xdr:col>
                <xdr:colOff>114300</xdr:colOff>
                <xdr:row>36</xdr:row>
                <xdr:rowOff>342900</xdr:rowOff>
              </to>
            </anchor>
          </controlPr>
        </control>
      </mc:Choice>
      <mc:Fallback>
        <control shapeId="13319"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4" outlineLevel="1"/>
    <col min="24" max="24" width="2.625" style="145" customWidth="1" outlineLevel="1"/>
    <col min="25" max="32" width="10.625" style="657" customWidth="1" outlineLevel="1"/>
    <col min="33" max="33" width="14.625" style="657" customWidth="1" outlineLevel="1"/>
    <col min="34" max="36" width="14.5" style="657" customWidth="1" outlineLevel="1"/>
    <col min="37" max="37" width="10.625" style="657" customWidth="1" outlineLevel="1"/>
    <col min="38" max="38" width="14.5" style="657" customWidth="1" outlineLevel="1"/>
    <col min="39" max="40" width="10.625" style="657" customWidth="1" outlineLevel="1"/>
    <col min="41" max="44" width="14.5" style="657" customWidth="1" outlineLevel="1"/>
    <col min="45" max="47" width="10.625" style="657" customWidth="1" outlineLevel="1"/>
    <col min="48" max="48" width="2.625" style="184" outlineLevel="1"/>
    <col min="49" max="52" width="2.625" style="184"/>
    <col min="53" max="16384" width="2.625" style="2"/>
  </cols>
  <sheetData>
    <row r="1" spans="1:54" ht="14.25" customHeight="1">
      <c r="T1" s="46"/>
      <c r="V1" s="2" t="s">
        <v>117</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491</v>
      </c>
      <c r="V2" s="107" t="s">
        <v>491</v>
      </c>
    </row>
    <row r="3" spans="1:54" ht="14.25" customHeight="1">
      <c r="A3" s="107"/>
    </row>
    <row r="4" spans="1:54" ht="14.25" customHeight="1">
      <c r="A4" s="107" t="s">
        <v>492</v>
      </c>
      <c r="C4" s="626" t="s">
        <v>493</v>
      </c>
    </row>
    <row r="5" spans="1:54" ht="14.25" customHeight="1">
      <c r="A5" s="107"/>
      <c r="C5" s="46" t="s">
        <v>494</v>
      </c>
      <c r="D5" s="626"/>
    </row>
    <row r="6" spans="1:54" ht="14.25" customHeight="1">
      <c r="A6" s="107"/>
      <c r="C6" s="46" t="s">
        <v>249</v>
      </c>
    </row>
    <row r="7" spans="1:54" ht="14.25" customHeight="1">
      <c r="A7" s="107"/>
      <c r="C7" s="46"/>
      <c r="D7" s="658"/>
      <c r="E7" s="659"/>
      <c r="F7" s="660"/>
      <c r="G7" s="658"/>
      <c r="H7" s="658"/>
      <c r="I7" s="658"/>
      <c r="J7" s="658"/>
      <c r="K7" s="658"/>
      <c r="L7" s="658"/>
      <c r="V7" s="2" t="s">
        <v>495</v>
      </c>
      <c r="X7" s="661"/>
    </row>
    <row r="8" spans="1:54" ht="14.25" customHeight="1" thickBot="1">
      <c r="A8" s="107"/>
      <c r="C8" s="46"/>
      <c r="D8" s="660"/>
      <c r="E8" s="658"/>
      <c r="F8" s="660"/>
      <c r="G8" s="658"/>
      <c r="H8" s="658"/>
      <c r="I8" s="658"/>
      <c r="J8" s="658"/>
      <c r="K8" s="658"/>
      <c r="L8" s="658"/>
      <c r="V8" s="1887" t="s">
        <v>496</v>
      </c>
      <c r="W8" s="2"/>
      <c r="X8" s="2"/>
      <c r="Y8" s="1399" t="s">
        <v>497</v>
      </c>
      <c r="Z8" s="1399"/>
      <c r="AA8" s="1399"/>
      <c r="AB8" s="1399"/>
      <c r="AC8" s="1399"/>
      <c r="AD8" s="1399"/>
      <c r="AE8" s="1399"/>
      <c r="AF8" s="1399"/>
      <c r="AG8" s="1393" t="s">
        <v>498</v>
      </c>
      <c r="AH8" s="1394"/>
      <c r="AI8" s="1395"/>
      <c r="AJ8" s="1890" t="s">
        <v>499</v>
      </c>
      <c r="AK8" s="1891"/>
      <c r="AL8" s="1569" t="s">
        <v>500</v>
      </c>
      <c r="AM8" s="1571"/>
      <c r="AN8" s="1894"/>
      <c r="AO8" s="1393" t="s">
        <v>501</v>
      </c>
      <c r="AP8" s="1394"/>
      <c r="AQ8" s="1394"/>
      <c r="AR8" s="1394"/>
      <c r="AS8" s="1394"/>
      <c r="AT8" s="1394"/>
      <c r="AU8" s="1395"/>
      <c r="AV8" s="2"/>
      <c r="AW8" s="2"/>
      <c r="BA8" s="184"/>
      <c r="BB8" s="184"/>
    </row>
    <row r="9" spans="1:54" s="46" customFormat="1" ht="14.25" customHeight="1">
      <c r="C9" s="1860" t="s">
        <v>502</v>
      </c>
      <c r="D9" s="1863" t="s">
        <v>503</v>
      </c>
      <c r="E9" s="1866" t="s">
        <v>504</v>
      </c>
      <c r="F9" s="1869" t="s">
        <v>505</v>
      </c>
      <c r="G9" s="1872" t="s">
        <v>506</v>
      </c>
      <c r="H9" s="1873"/>
      <c r="I9" s="1876" t="s">
        <v>507</v>
      </c>
      <c r="J9" s="1879" t="s">
        <v>508</v>
      </c>
      <c r="K9" s="1880"/>
      <c r="L9" s="1883" t="s">
        <v>509</v>
      </c>
      <c r="M9" s="1885" t="s">
        <v>510</v>
      </c>
      <c r="N9" s="1903" t="s">
        <v>511</v>
      </c>
      <c r="O9" s="1903" t="s">
        <v>512</v>
      </c>
      <c r="P9" s="1905" t="s">
        <v>513</v>
      </c>
      <c r="Q9" s="1908" t="s">
        <v>514</v>
      </c>
      <c r="R9" s="1910" t="s">
        <v>515</v>
      </c>
      <c r="S9" s="1911"/>
      <c r="U9" s="2"/>
      <c r="V9" s="1888"/>
      <c r="X9" s="2"/>
      <c r="Y9" s="1400"/>
      <c r="Z9" s="1400"/>
      <c r="AA9" s="1400"/>
      <c r="AB9" s="1400"/>
      <c r="AC9" s="1400"/>
      <c r="AD9" s="1400"/>
      <c r="AE9" s="1400"/>
      <c r="AF9" s="1400"/>
      <c r="AG9" s="1396"/>
      <c r="AH9" s="1397"/>
      <c r="AI9" s="1398"/>
      <c r="AJ9" s="1892"/>
      <c r="AK9" s="1893"/>
      <c r="AL9" s="1841"/>
      <c r="AM9" s="1843"/>
      <c r="AN9" s="1895"/>
      <c r="AO9" s="1396"/>
      <c r="AP9" s="1397"/>
      <c r="AQ9" s="1397"/>
      <c r="AR9" s="1397"/>
      <c r="AS9" s="1397"/>
      <c r="AT9" s="1397"/>
      <c r="AU9" s="1398"/>
      <c r="AV9" s="2"/>
      <c r="AW9" s="2"/>
      <c r="AX9" s="184"/>
    </row>
    <row r="10" spans="1:54" s="46" customFormat="1" ht="18.75" customHeight="1">
      <c r="C10" s="1861"/>
      <c r="D10" s="1864"/>
      <c r="E10" s="1867"/>
      <c r="F10" s="1870"/>
      <c r="G10" s="1874"/>
      <c r="H10" s="1875"/>
      <c r="I10" s="1877"/>
      <c r="J10" s="1881"/>
      <c r="K10" s="1882"/>
      <c r="L10" s="1884"/>
      <c r="M10" s="1886"/>
      <c r="N10" s="1904"/>
      <c r="O10" s="1904"/>
      <c r="P10" s="1906"/>
      <c r="Q10" s="1557"/>
      <c r="R10" s="1912"/>
      <c r="S10" s="1913"/>
      <c r="U10" s="2"/>
      <c r="V10" s="1888"/>
      <c r="X10" s="2"/>
      <c r="Y10" s="1897" t="s">
        <v>516</v>
      </c>
      <c r="Z10" s="1897" t="s">
        <v>517</v>
      </c>
      <c r="AA10" s="1897" t="s">
        <v>518</v>
      </c>
      <c r="AB10" s="1897" t="s">
        <v>519</v>
      </c>
      <c r="AC10" s="1897" t="s">
        <v>520</v>
      </c>
      <c r="AD10" s="1897" t="s">
        <v>521</v>
      </c>
      <c r="AE10" s="1897" t="s">
        <v>522</v>
      </c>
      <c r="AF10" s="1897" t="s">
        <v>523</v>
      </c>
      <c r="AG10" s="1897" t="s">
        <v>524</v>
      </c>
      <c r="AH10" s="1900" t="s">
        <v>525</v>
      </c>
      <c r="AI10" s="662"/>
      <c r="AJ10" s="1897" t="s">
        <v>526</v>
      </c>
      <c r="AK10" s="1897" t="s">
        <v>527</v>
      </c>
      <c r="AL10" s="1897" t="s">
        <v>528</v>
      </c>
      <c r="AM10" s="1897" t="s">
        <v>529</v>
      </c>
      <c r="AN10" s="1895"/>
      <c r="AO10" s="1916" t="s">
        <v>526</v>
      </c>
      <c r="AP10" s="1932" t="s">
        <v>530</v>
      </c>
      <c r="AQ10" s="663"/>
      <c r="AR10" s="1916" t="s">
        <v>531</v>
      </c>
      <c r="AS10" s="1916" t="s">
        <v>532</v>
      </c>
      <c r="AT10" s="1916" t="s">
        <v>512</v>
      </c>
      <c r="AU10" s="1916" t="s">
        <v>533</v>
      </c>
      <c r="AV10" s="2"/>
      <c r="AW10" s="2"/>
      <c r="AX10" s="184"/>
    </row>
    <row r="11" spans="1:54" s="46" customFormat="1" ht="18.75" customHeight="1">
      <c r="C11" s="1861"/>
      <c r="D11" s="1864"/>
      <c r="E11" s="1867"/>
      <c r="F11" s="1870"/>
      <c r="G11" s="1918" t="s">
        <v>534</v>
      </c>
      <c r="H11" s="1918" t="s">
        <v>535</v>
      </c>
      <c r="I11" s="1877"/>
      <c r="J11" s="1920" t="s">
        <v>536</v>
      </c>
      <c r="K11" s="1923" t="s">
        <v>537</v>
      </c>
      <c r="L11" s="664" t="s">
        <v>538</v>
      </c>
      <c r="M11" s="665" t="s">
        <v>538</v>
      </c>
      <c r="N11" s="664" t="s">
        <v>538</v>
      </c>
      <c r="O11" s="664" t="s">
        <v>538</v>
      </c>
      <c r="P11" s="1906"/>
      <c r="Q11" s="1557"/>
      <c r="R11" s="1925" t="s">
        <v>539</v>
      </c>
      <c r="S11" s="1929" t="s">
        <v>540</v>
      </c>
      <c r="U11" s="2"/>
      <c r="V11" s="1888"/>
      <c r="X11" s="2"/>
      <c r="Y11" s="1898"/>
      <c r="Z11" s="1898"/>
      <c r="AA11" s="1898"/>
      <c r="AB11" s="1898"/>
      <c r="AC11" s="1898"/>
      <c r="AD11" s="1898"/>
      <c r="AE11" s="1898" t="s">
        <v>541</v>
      </c>
      <c r="AF11" s="1898"/>
      <c r="AG11" s="1898" t="s">
        <v>542</v>
      </c>
      <c r="AH11" s="1898" t="s">
        <v>543</v>
      </c>
      <c r="AI11" s="1897" t="s">
        <v>544</v>
      </c>
      <c r="AJ11" s="1898" t="s">
        <v>542</v>
      </c>
      <c r="AK11" s="1898" t="s">
        <v>541</v>
      </c>
      <c r="AL11" s="1898"/>
      <c r="AM11" s="1898"/>
      <c r="AN11" s="1895"/>
      <c r="AO11" s="1906"/>
      <c r="AP11" s="1906" t="s">
        <v>542</v>
      </c>
      <c r="AQ11" s="1916" t="s">
        <v>544</v>
      </c>
      <c r="AR11" s="1906" t="s">
        <v>542</v>
      </c>
      <c r="AS11" s="1906"/>
      <c r="AT11" s="1906"/>
      <c r="AU11" s="1906"/>
      <c r="AV11" s="2"/>
      <c r="AW11" s="2"/>
      <c r="AX11" s="184"/>
    </row>
    <row r="12" spans="1:54" s="46" customFormat="1" ht="18.75" customHeight="1">
      <c r="C12" s="1861"/>
      <c r="D12" s="1864"/>
      <c r="E12" s="1867"/>
      <c r="F12" s="1870"/>
      <c r="G12" s="1919"/>
      <c r="H12" s="1919"/>
      <c r="I12" s="1877"/>
      <c r="J12" s="1921"/>
      <c r="K12" s="1924"/>
      <c r="L12" s="666"/>
      <c r="M12" s="667"/>
      <c r="N12" s="668"/>
      <c r="O12" s="669"/>
      <c r="P12" s="1906"/>
      <c r="Q12" s="1557"/>
      <c r="R12" s="1926"/>
      <c r="S12" s="1930"/>
      <c r="U12" s="2"/>
      <c r="V12" s="1888"/>
      <c r="X12" s="2"/>
      <c r="Y12" s="1898"/>
      <c r="Z12" s="1898"/>
      <c r="AA12" s="1898"/>
      <c r="AB12" s="1898"/>
      <c r="AC12" s="1898"/>
      <c r="AD12" s="1898"/>
      <c r="AE12" s="1898"/>
      <c r="AF12" s="1898"/>
      <c r="AG12" s="1898"/>
      <c r="AH12" s="1898"/>
      <c r="AI12" s="1898"/>
      <c r="AJ12" s="1898"/>
      <c r="AK12" s="1898"/>
      <c r="AL12" s="1898"/>
      <c r="AM12" s="1898"/>
      <c r="AN12" s="1896"/>
      <c r="AO12" s="1917"/>
      <c r="AP12" s="1917"/>
      <c r="AQ12" s="1917"/>
      <c r="AR12" s="1917"/>
      <c r="AS12" s="1917"/>
      <c r="AT12" s="1917"/>
      <c r="AU12" s="1917"/>
      <c r="AV12" s="2"/>
      <c r="AW12" s="2"/>
      <c r="AX12" s="184"/>
    </row>
    <row r="13" spans="1:54" s="46" customFormat="1" ht="28.5" customHeight="1">
      <c r="C13" s="1861"/>
      <c r="D13" s="1864"/>
      <c r="E13" s="1867"/>
      <c r="F13" s="1870"/>
      <c r="G13" s="1919"/>
      <c r="H13" s="1919"/>
      <c r="I13" s="1877"/>
      <c r="J13" s="1921"/>
      <c r="K13" s="1924"/>
      <c r="L13" s="666"/>
      <c r="M13" s="667"/>
      <c r="N13" s="668"/>
      <c r="O13" s="669"/>
      <c r="P13" s="1906"/>
      <c r="Q13" s="1557"/>
      <c r="R13" s="1926"/>
      <c r="S13" s="1930"/>
      <c r="U13" s="2"/>
      <c r="V13" s="1888"/>
      <c r="X13" s="2"/>
      <c r="Y13" s="1898"/>
      <c r="Z13" s="1898"/>
      <c r="AA13" s="1898"/>
      <c r="AB13" s="1898"/>
      <c r="AC13" s="1898"/>
      <c r="AD13" s="1898"/>
      <c r="AE13" s="1898"/>
      <c r="AF13" s="1898"/>
      <c r="AG13" s="1898"/>
      <c r="AH13" s="1898"/>
      <c r="AI13" s="1898"/>
      <c r="AJ13" s="1898"/>
      <c r="AK13" s="1898"/>
      <c r="AL13" s="1898"/>
      <c r="AM13" s="1898"/>
      <c r="AN13" s="222" t="s">
        <v>306</v>
      </c>
      <c r="AO13" s="408">
        <f t="shared" ref="AO13:AT13" si="0">SUM(AO14:AO15)</f>
        <v>0</v>
      </c>
      <c r="AP13" s="408">
        <f t="shared" si="0"/>
        <v>0</v>
      </c>
      <c r="AQ13" s="408">
        <f>SUM(AQ14:AQ15)</f>
        <v>0</v>
      </c>
      <c r="AR13" s="408">
        <f t="shared" si="0"/>
        <v>0</v>
      </c>
      <c r="AS13" s="408">
        <f t="shared" si="0"/>
        <v>0</v>
      </c>
      <c r="AT13" s="408">
        <f t="shared" si="0"/>
        <v>0</v>
      </c>
      <c r="AU13" s="670">
        <f>ROUND(SUM(AS13:AT13),)</f>
        <v>0</v>
      </c>
      <c r="AV13" s="2"/>
      <c r="AW13" s="2"/>
      <c r="AX13" s="184"/>
    </row>
    <row r="14" spans="1:54" s="46" customFormat="1" ht="28.5" customHeight="1">
      <c r="C14" s="1861"/>
      <c r="D14" s="1864"/>
      <c r="E14" s="1867"/>
      <c r="F14" s="1870"/>
      <c r="G14" s="1919"/>
      <c r="H14" s="1919"/>
      <c r="I14" s="1877"/>
      <c r="J14" s="1922"/>
      <c r="K14" s="1924"/>
      <c r="L14" s="666"/>
      <c r="M14" s="667"/>
      <c r="N14" s="668"/>
      <c r="O14" s="669"/>
      <c r="P14" s="1906"/>
      <c r="Q14" s="1557"/>
      <c r="R14" s="1927"/>
      <c r="S14" s="1930"/>
      <c r="U14" s="2"/>
      <c r="V14" s="1888"/>
      <c r="X14" s="2"/>
      <c r="Y14" s="1899"/>
      <c r="Z14" s="1899"/>
      <c r="AA14" s="1899"/>
      <c r="AB14" s="1899"/>
      <c r="AC14" s="1899"/>
      <c r="AD14" s="1899"/>
      <c r="AE14" s="1899"/>
      <c r="AF14" s="1899"/>
      <c r="AG14" s="1899"/>
      <c r="AH14" s="1899"/>
      <c r="AI14" s="1899"/>
      <c r="AJ14" s="1899"/>
      <c r="AK14" s="1899"/>
      <c r="AL14" s="1899"/>
      <c r="AM14" s="1899"/>
      <c r="AN14" s="671" t="s">
        <v>545</v>
      </c>
      <c r="AO14" s="670">
        <f>SUM(SUMIFS(AO16:AO115,$E$16:$E$115,"&lt;&gt;",$E$16:$E$115,"&lt;&gt;[15]コンクリートけい畔",$E$16:$E$115,"&lt;&gt;[16]暗きょ排水施設",$E$16:$E$115,"&lt;&gt;[17]客土",$E$16:$E$115,"&lt;&gt;[19]用水路"))</f>
        <v>0</v>
      </c>
      <c r="AP14" s="670">
        <f>SUM(SUMIFS(AP16:AP115,$E$16:$E$115,"&lt;&gt;",$E$16:$E$115,"&lt;&gt;[15]コンクリートけい畔",$E$16:$E$115,"&lt;&gt;[16]暗きょ排水施設",$E$16:$E$115,"&lt;&gt;[17]客土",$E$16:$E$115,"&lt;&gt;[19]用水路"))</f>
        <v>0</v>
      </c>
      <c r="AQ14" s="670">
        <f>SUM(SUMIFS(AQ16:AQ115,$E$16:$E$115,"&lt;&gt;",$E$16:$E$115,"&lt;&gt;[15]コンクリートけい畔",$E$16:$E$115,"&lt;&gt;[16]暗きょ排水施設",$E$16:$E$115,"&lt;&gt;[17]客土",$E$16:$E$115,"&lt;&gt;[19]用水路"))</f>
        <v>0</v>
      </c>
      <c r="AR14" s="670">
        <f>ROUND(SUM(SUMIFS(AR16:AR115,$E$16:$E$115,"&lt;&gt;",$E$16:$E$115,"&lt;&gt;[15]コンクリートけい畔",$E$16:$E$115,"&lt;&gt;[16]暗きょ排水施設",$E$16:$E$115,"&lt;&gt;[17]客土",$E$16:$E$115,"&lt;&gt;[19]用水路")),)</f>
        <v>0</v>
      </c>
      <c r="AS14" s="670">
        <f>SUM(SUMIFS(AS16:AS115,$E$16:$E$115,"&lt;&gt;",$E$16:$E$115,"&lt;&gt;[15]コンクリートけい畔",$E$16:$E$115,"&lt;&gt;[16]暗きょ排水施設",$E$16:$E$115,"&lt;&gt;[17]客土",$E$16:$E$115,"&lt;&gt;[19]用水路"))</f>
        <v>0</v>
      </c>
      <c r="AT14" s="670">
        <f>SUM(SUMIFS(AT16:AT115,$E$16:$E$115,"&lt;&gt;",$E$16:$E$115,"&lt;&gt;[15]コンクリートけい畔",$E$16:$E$115,"&lt;&gt;[16]暗きょ排水施設",$E$16:$E$115,"&lt;&gt;[17]客土",$E$16:$E$115,"&lt;&gt;[19]用水路"))</f>
        <v>0</v>
      </c>
      <c r="AU14" s="672"/>
      <c r="AV14" s="2"/>
      <c r="AW14" s="2"/>
      <c r="AX14" s="184"/>
    </row>
    <row r="15" spans="1:54" s="46" customFormat="1" ht="29.25" customHeight="1" thickBot="1">
      <c r="C15" s="1862"/>
      <c r="D15" s="1865"/>
      <c r="E15" s="1868"/>
      <c r="F15" s="1871"/>
      <c r="G15" s="1919"/>
      <c r="H15" s="1919"/>
      <c r="I15" s="1878"/>
      <c r="J15" s="1922"/>
      <c r="K15" s="1924"/>
      <c r="L15" s="666"/>
      <c r="M15" s="667"/>
      <c r="N15" s="668"/>
      <c r="O15" s="669"/>
      <c r="P15" s="1907"/>
      <c r="Q15" s="1909"/>
      <c r="R15" s="1928"/>
      <c r="S15" s="1931"/>
      <c r="U15" s="2"/>
      <c r="V15" s="1889"/>
      <c r="X15" s="2"/>
      <c r="Y15" s="673"/>
      <c r="Z15" s="673"/>
      <c r="AA15" s="673"/>
      <c r="AB15" s="673"/>
      <c r="AC15" s="673"/>
      <c r="AD15" s="673"/>
      <c r="AE15" s="673"/>
      <c r="AF15" s="673"/>
      <c r="AG15" s="673"/>
      <c r="AH15" s="673"/>
      <c r="AI15" s="673"/>
      <c r="AJ15" s="673"/>
      <c r="AK15" s="673"/>
      <c r="AL15" s="673"/>
      <c r="AM15" s="673"/>
      <c r="AN15" s="674" t="s">
        <v>546</v>
      </c>
      <c r="AO15" s="675">
        <f>SUM(SUMIFS(AO16:AO115,$E$16:$E$115,{"[15]コンクリートけい畔","[16]暗きょ排水施設","[17]客土","[19]用水路"}))</f>
        <v>0</v>
      </c>
      <c r="AP15" s="675">
        <f>SUM(SUMIFS(AP16:AP115,$E$16:$E$115,{"[15]コンクリートけい畔","[16]暗きょ排水施設","[17]客土","[19]用水路"}))</f>
        <v>0</v>
      </c>
      <c r="AQ15" s="675">
        <f>SUM(SUMIFS(AQ16:AQ115,$E$16:$E$115,{"[15]コンクリートけい畔","[16]暗きょ排水施設","[17]客土","[19]用水路"}))</f>
        <v>0</v>
      </c>
      <c r="AR15" s="675">
        <f>ROUND(SUM(SUMIFS(AR16:AR115,$E$16:$E$115,{"[15]コンクリートけい畔","[16]暗きょ排水施設","[17]客土","[19]用水路"})),)</f>
        <v>0</v>
      </c>
      <c r="AS15" s="675">
        <f>SUM(SUMIFS(AS16:AS115,$E$16:$E$115,{"[15]コンクリートけい畔","[16]暗きょ排水施設","[17]客土","[19]用水路"}))</f>
        <v>0</v>
      </c>
      <c r="AT15" s="675">
        <f>SUM(SUMIFS(AT16:AT115,$E$16:$E$115,{"[15]コンクリートけい畔","[16]暗きょ排水施設","[17]客土","[19]用水路"}))</f>
        <v>0</v>
      </c>
      <c r="AU15" s="676"/>
      <c r="AV15" s="2"/>
      <c r="AW15" s="2"/>
      <c r="AX15" s="184"/>
    </row>
    <row r="16" spans="1:54" s="46" customFormat="1" ht="30" customHeight="1" thickTop="1">
      <c r="C16" s="677">
        <v>1</v>
      </c>
      <c r="D16" s="678"/>
      <c r="E16" s="679"/>
      <c r="F16" s="680"/>
      <c r="G16" s="1914"/>
      <c r="H16" s="1915"/>
      <c r="I16" s="681"/>
      <c r="J16" s="682"/>
      <c r="K16" s="683"/>
      <c r="L16" s="684"/>
      <c r="M16" s="685"/>
      <c r="N16" s="686"/>
      <c r="O16" s="686"/>
      <c r="P16" s="1073"/>
      <c r="Q16" s="687"/>
      <c r="R16" s="688"/>
      <c r="S16" s="686"/>
      <c r="T16" s="689"/>
      <c r="U16" s="2"/>
      <c r="V16" s="1081"/>
      <c r="W16" s="690"/>
      <c r="X16" s="2"/>
      <c r="Y16" s="1040">
        <f>IF(AND(E16&gt;0,F16&gt;0),"["&amp;RIGHT(LEFT(E16,3),2)&amp;RIGHT(LEFT(F16,FIND("]",F16)-1),IF(FIND("]",F16)-1&gt;2,2,1))&amp;"]",)</f>
        <v>0</v>
      </c>
      <c r="Z16" s="691">
        <f>IF(Y16=0,,IF(L16+M16&lt;100000,1,0))</f>
        <v>0</v>
      </c>
      <c r="AA16" s="691">
        <f>IF(Y16=0,,IF(AND(Z16=0,L16+M16&lt;200000),1,))</f>
        <v>0</v>
      </c>
      <c r="AB16" s="691">
        <f>IF(Y16=0,,VLOOKUP(Y16,リスト!CX:CY,2,0))</f>
        <v>0</v>
      </c>
      <c r="AC16" s="691">
        <f t="shared" ref="AC16:AC79" si="1">IF(AA16=1,3,
IF(OR(G16="[2]中古",
F16="[8]その他",
E16="[13]その他の建築物",
AND(OR(E16="[14]稲架",E16="[15]コンクリートけい畔",E16="[16]暗きょ排水施設",E16="[19]用水路",E16="[25]たい肥盤"),F16="[7]その他")),
MIN(AB16,I16),AB16))</f>
        <v>0</v>
      </c>
      <c r="AD16" s="692">
        <f>IF(AC16=0,,VLOOKUP(AC16,リスト!DK:DL,2,0))</f>
        <v>0</v>
      </c>
      <c r="AE16" s="691">
        <f>IF(Y16=0,,
IF(OR(リスト!$C$21="小麦",リスト!$C$21="二条大麦",リスト!$C$21="六条大麦",リスト!$C$21="はだか麦",リスト!$C$21="なたね"),IF(K16&lt;9,調査年-J16,調査年-J16-1),
IF(リスト!$C$21="さとうきび",IF(K16&gt;=4,調査年-J16,調査年-J16+1),
調査年-J16)))</f>
        <v>0</v>
      </c>
      <c r="AF16" s="408">
        <f t="shared" ref="AF16:AF47" si="2">IF(OR(Y16=0,Z16=1),,
IF(AND(AC16&gt;0,AE16&lt;AC16,AG16&lt;=ROUND((L16-1)*AD16,0)),ROUND(AG16*IF(R16="[2]部分取り壊し",IFERROR(1-(V16%),1),1),0),
IF(AND(AC16&gt;0,AE16&lt;AC16),ROUND((L16-1)*AD16*IF(R16="[2]部分取り壊し",IFERROR(1-(V16%),1),1),0),)))</f>
        <v>0</v>
      </c>
      <c r="AG16" s="693">
        <f t="shared" ref="AG16:AG79" si="3">IF(OR(Y16=0,Z16=1),,
IF(AND(AC16&gt;0,AE16&lt;AC16),L16-ROUND((L16-1)*AD16*AE16,0),1
))</f>
        <v>0</v>
      </c>
      <c r="AH16" s="693">
        <f t="shared" ref="AH16:AH79" si="4">IF(OR(Y16=0,Z16=1),,
IF(R16=0,AF16,
IF(R16="[1]取り壊し",SUM(AG16,S16),
IF(R16="[3]売　却",AG16-S16,
IF(AND(R16="[2]部分取り壊し",AG16&gt;1),SUM(ROUND(AG16*(V16%),0),S16,AF16),
IF(AND(S16=0,AF16=0),,SUM(S16,AF16)))))))</f>
        <v>0</v>
      </c>
      <c r="AI16" s="693">
        <f t="shared" ref="AI16:AI79" si="5">IF(AND(AH16=0,AF16=0),,
IF(OR(R16="[1]取り壊し",R16="[2]部分取り壊し",R16="[3]売　却"),SUM(AH16)-SUM(AF16),))</f>
        <v>0</v>
      </c>
      <c r="AJ16" s="693">
        <f t="shared" ref="AJ16:AJ79" si="6">IF(OR(Z16=1,M16=0),,
IF(AND(AC16&gt;0,M16&gt;0,AE16&lt;AC16),M16-ROUND(M16*AD16*AE16,0),))</f>
        <v>0</v>
      </c>
      <c r="AK16" s="693">
        <f>IF(OR(Y16=0,Z16=1),IF(AND(Z16=1,AE16=0),M16,),
IF(AND(AC16&gt;0,AE16&lt;AC16,SUM(AJ16)&gt;0,AJ16&lt;=ROUND(M16*AD16,0)),ROUND(AJ16*IF(R16="[2]部分取り壊し",IFERROR(1-(V16%),1),1),),
IF(AND(AC16&gt;0,AE16&lt;AC16,SUM(M16)&gt;0),ROUND(M16*AD16*IF(R16="[2]部分取り壊し",IFERROR(1-(V16%),1),1),0),)))</f>
        <v>0</v>
      </c>
      <c r="AL16" s="693">
        <f t="shared" ref="AL16:AL79" si="7">IF(AND(L16&gt;0,R16="[2]部分取り壊し"),ROUND(L16*(1-V16%),0),)</f>
        <v>0</v>
      </c>
      <c r="AM16" s="693">
        <f t="shared" ref="AM16:AM79" si="8">IF(AND(M16&gt;0,R16="[2]部分取り壊し"),ROUND(M16*(1-V16%),0),)</f>
        <v>0</v>
      </c>
      <c r="AN16" s="694"/>
      <c r="AO16" s="69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3">
        <f t="shared" ref="AP16:AP79" si="9">IF(P16=0,,IF(AH16=0,,ROUND(AH16*P16%,0)))</f>
        <v>0</v>
      </c>
      <c r="AQ16" s="693">
        <f t="shared" ref="AQ16:AQ79" si="10">IF(P16=0,,IF(AI16=0,,ROUND(AI16*P16%,0)))</f>
        <v>0</v>
      </c>
      <c r="AR16" s="693">
        <f t="shared" ref="AR16:AR79" si="11">IF(P16=0,,IF(AG16=0,,ROUND(AG16*P16%,0)))</f>
        <v>0</v>
      </c>
      <c r="AS16" s="408">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408">
        <f t="shared" ref="AT16:AT79" si="12">IF(P16=0,,IF(O16=0,,ROUND(O16*P16%,0)))</f>
        <v>0</v>
      </c>
      <c r="AU16" s="693" t="str">
        <f t="shared" ref="AU16:AU79" si="13">IF(OR(AS16&gt;0,AT16&gt;0),SUM(AS16:AT16),"")</f>
        <v/>
      </c>
      <c r="AV16" s="184"/>
      <c r="AW16" s="184"/>
      <c r="AX16" s="184"/>
      <c r="AY16" s="184"/>
      <c r="AZ16" s="184"/>
      <c r="BA16" s="2"/>
    </row>
    <row r="17" spans="3:52" s="46" customFormat="1" ht="30" customHeight="1">
      <c r="C17" s="695">
        <v>2</v>
      </c>
      <c r="D17" s="696"/>
      <c r="E17" s="697"/>
      <c r="F17" s="698"/>
      <c r="G17" s="1901"/>
      <c r="H17" s="1902"/>
      <c r="I17" s="699"/>
      <c r="J17" s="700"/>
      <c r="K17" s="701"/>
      <c r="L17" s="702"/>
      <c r="M17" s="702"/>
      <c r="N17" s="702"/>
      <c r="O17" s="702"/>
      <c r="P17" s="1074"/>
      <c r="Q17" s="703"/>
      <c r="R17" s="704"/>
      <c r="S17" s="702"/>
      <c r="T17" s="689"/>
      <c r="U17" s="2"/>
      <c r="V17" s="1082"/>
      <c r="W17" s="690"/>
      <c r="X17" s="2"/>
      <c r="Y17" s="705">
        <f>IF(AND(E17&gt;0,F17&gt;0),"["&amp;RIGHT(LEFT(E17,3),2)&amp;RIGHT(LEFT(F17,FIND("]",F17)-1),IF(FIND("]",F17)-1&gt;2,2,1))&amp;"]",)</f>
        <v>0</v>
      </c>
      <c r="Z17" s="691">
        <f t="shared" ref="Z17:Z80" si="14">IF(Y17=0,,IF(L17+M17&lt;100000,1,0))</f>
        <v>0</v>
      </c>
      <c r="AA17" s="691">
        <f t="shared" ref="AA17:AA80" si="15">IF(Y17=0,,IF(AND(Z17=0,L17+M17&lt;200000),1,))</f>
        <v>0</v>
      </c>
      <c r="AB17" s="705">
        <f>IF(Y17=0,,VLOOKUP(Y17,リスト!CX:CY,2,0))</f>
        <v>0</v>
      </c>
      <c r="AC17" s="705">
        <f t="shared" si="1"/>
        <v>0</v>
      </c>
      <c r="AD17" s="706">
        <f>IF(AC17=0,,VLOOKUP(AC17,リスト!DK:DL,2,0))</f>
        <v>0</v>
      </c>
      <c r="AE17" s="691">
        <f>IF(Y17=0,,
IF(OR(リスト!$C$21="小麦",リスト!$C$21="二条大麦",リスト!$C$21="六条大麦",リスト!$C$21="はだか麦",リスト!$C$21="なたね"),IF(K17&lt;9,調査年-J17,調査年-J17-1),
IF(リスト!$C$21="さとうきび",IF(K17&gt;=4,調査年-J17,調査年-J17+1),
調査年-J17)))</f>
        <v>0</v>
      </c>
      <c r="AF17" s="408">
        <f t="shared" si="2"/>
        <v>0</v>
      </c>
      <c r="AG17" s="408">
        <f t="shared" si="3"/>
        <v>0</v>
      </c>
      <c r="AH17" s="408">
        <f t="shared" si="4"/>
        <v>0</v>
      </c>
      <c r="AI17" s="408">
        <f t="shared" si="5"/>
        <v>0</v>
      </c>
      <c r="AJ17" s="408">
        <f t="shared" si="6"/>
        <v>0</v>
      </c>
      <c r="AK17" s="408">
        <f t="shared" ref="AK17:AK80" si="16">IF(OR(Y17=0,Z17=1),IF(AND(Z17=1,AE17=0),M17,),
IF(AND(AC17&gt;0,AE17&lt;AC17,SUM(AJ17)&gt;0,AJ17&lt;=ROUND(M17*AD17,0)),ROUND(AJ17*IF(R17="[2]部分取り壊し",IFERROR(1-(V17%),1),1),),
IF(AND(AC17&gt;0,AE17&lt;AC17,SUM(M17)&gt;0),ROUND(M17*AD17*IF(R17="[2]部分取り壊し",IFERROR(1-(V17%),1),1),0),)))</f>
        <v>0</v>
      </c>
      <c r="AL17" s="408">
        <f t="shared" si="7"/>
        <v>0</v>
      </c>
      <c r="AM17" s="408">
        <f t="shared" si="8"/>
        <v>0</v>
      </c>
      <c r="AN17" s="417"/>
      <c r="AO17" s="69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3">
        <f t="shared" si="9"/>
        <v>0</v>
      </c>
      <c r="AQ17" s="408">
        <f t="shared" si="10"/>
        <v>0</v>
      </c>
      <c r="AR17" s="693">
        <f t="shared" si="11"/>
        <v>0</v>
      </c>
      <c r="AS17" s="408">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408">
        <f t="shared" si="12"/>
        <v>0</v>
      </c>
      <c r="AU17" s="408" t="str">
        <f t="shared" si="13"/>
        <v/>
      </c>
      <c r="AV17" s="707"/>
      <c r="AW17" s="707"/>
      <c r="AX17" s="707"/>
      <c r="AY17" s="707"/>
      <c r="AZ17" s="707"/>
    </row>
    <row r="18" spans="3:52" s="46" customFormat="1" ht="30" customHeight="1">
      <c r="C18" s="695">
        <v>3</v>
      </c>
      <c r="D18" s="708"/>
      <c r="E18" s="697"/>
      <c r="F18" s="698"/>
      <c r="G18" s="1901"/>
      <c r="H18" s="1902"/>
      <c r="I18" s="699"/>
      <c r="J18" s="700"/>
      <c r="K18" s="701"/>
      <c r="L18" s="702"/>
      <c r="M18" s="702"/>
      <c r="N18" s="702"/>
      <c r="O18" s="702"/>
      <c r="P18" s="1074"/>
      <c r="Q18" s="703"/>
      <c r="R18" s="704"/>
      <c r="S18" s="702"/>
      <c r="T18" s="689"/>
      <c r="U18" s="2"/>
      <c r="V18" s="1082"/>
      <c r="W18" s="690"/>
      <c r="X18" s="2"/>
      <c r="Y18" s="705">
        <f t="shared" ref="Y18:Y81" si="17">IF(AND(E18&gt;0,F18&gt;0),"["&amp;RIGHT(LEFT(E18,3),2)&amp;RIGHT(LEFT(F18,FIND("]",F18)-1),IF(FIND("]",F18)-1&gt;2,2,1))&amp;"]",)</f>
        <v>0</v>
      </c>
      <c r="Z18" s="691">
        <f t="shared" si="14"/>
        <v>0</v>
      </c>
      <c r="AA18" s="691">
        <f t="shared" si="15"/>
        <v>0</v>
      </c>
      <c r="AB18" s="705">
        <f>IF(Y18=0,,VLOOKUP(Y18,リスト!CX:CY,2,0))</f>
        <v>0</v>
      </c>
      <c r="AC18" s="705">
        <f t="shared" si="1"/>
        <v>0</v>
      </c>
      <c r="AD18" s="706">
        <f>IF(AC18=0,,VLOOKUP(AC18,リスト!DK:DL,2,0))</f>
        <v>0</v>
      </c>
      <c r="AE18" s="691">
        <f>IF(Y18=0,,
IF(OR(リスト!$C$21="小麦",リスト!$C$21="二条大麦",リスト!$C$21="六条大麦",リスト!$C$21="はだか麦",リスト!$C$21="なたね"),IF(K18&lt;9,調査年-J18,調査年-J18-1),
IF(リスト!$C$21="さとうきび",IF(K18&gt;=4,調査年-J18,調査年-J18+1),
調査年-J18)))</f>
        <v>0</v>
      </c>
      <c r="AF18" s="408">
        <f t="shared" si="2"/>
        <v>0</v>
      </c>
      <c r="AG18" s="408">
        <f t="shared" si="3"/>
        <v>0</v>
      </c>
      <c r="AH18" s="408">
        <f t="shared" si="4"/>
        <v>0</v>
      </c>
      <c r="AI18" s="408">
        <f t="shared" si="5"/>
        <v>0</v>
      </c>
      <c r="AJ18" s="408">
        <f t="shared" si="6"/>
        <v>0</v>
      </c>
      <c r="AK18" s="408">
        <f t="shared" si="16"/>
        <v>0</v>
      </c>
      <c r="AL18" s="408">
        <f t="shared" si="7"/>
        <v>0</v>
      </c>
      <c r="AM18" s="408">
        <f t="shared" si="8"/>
        <v>0</v>
      </c>
      <c r="AN18" s="417"/>
      <c r="AO18" s="69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3">
        <f t="shared" si="9"/>
        <v>0</v>
      </c>
      <c r="AQ18" s="408">
        <f t="shared" si="10"/>
        <v>0</v>
      </c>
      <c r="AR18" s="693">
        <f t="shared" si="11"/>
        <v>0</v>
      </c>
      <c r="AS18" s="408">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408">
        <f t="shared" si="12"/>
        <v>0</v>
      </c>
      <c r="AU18" s="408" t="str">
        <f t="shared" si="13"/>
        <v/>
      </c>
      <c r="AV18" s="707"/>
      <c r="AW18" s="707"/>
      <c r="AX18" s="707"/>
      <c r="AY18" s="707"/>
      <c r="AZ18" s="707"/>
    </row>
    <row r="19" spans="3:52" s="46" customFormat="1" ht="30" customHeight="1">
      <c r="C19" s="695">
        <v>4</v>
      </c>
      <c r="D19" s="708"/>
      <c r="E19" s="697"/>
      <c r="F19" s="698"/>
      <c r="G19" s="1901"/>
      <c r="H19" s="1902"/>
      <c r="I19" s="699"/>
      <c r="J19" s="700"/>
      <c r="K19" s="701"/>
      <c r="L19" s="702"/>
      <c r="M19" s="702"/>
      <c r="N19" s="702"/>
      <c r="O19" s="702"/>
      <c r="P19" s="1074"/>
      <c r="Q19" s="703"/>
      <c r="R19" s="704"/>
      <c r="S19" s="702"/>
      <c r="T19" s="689"/>
      <c r="U19" s="2"/>
      <c r="V19" s="1082"/>
      <c r="W19" s="690"/>
      <c r="X19" s="2"/>
      <c r="Y19" s="705">
        <f t="shared" si="17"/>
        <v>0</v>
      </c>
      <c r="Z19" s="691">
        <f t="shared" si="14"/>
        <v>0</v>
      </c>
      <c r="AA19" s="691">
        <f t="shared" si="15"/>
        <v>0</v>
      </c>
      <c r="AB19" s="705">
        <f>IF(Y19=0,,VLOOKUP(Y19,リスト!CX:CY,2,0))</f>
        <v>0</v>
      </c>
      <c r="AC19" s="705">
        <f t="shared" si="1"/>
        <v>0</v>
      </c>
      <c r="AD19" s="706">
        <f>IF(AC19=0,,VLOOKUP(AC19,リスト!DK:DL,2,0))</f>
        <v>0</v>
      </c>
      <c r="AE19" s="691">
        <f>IF(Y19=0,,
IF(OR(リスト!$C$21="小麦",リスト!$C$21="二条大麦",リスト!$C$21="六条大麦",リスト!$C$21="はだか麦",リスト!$C$21="なたね"),IF(K19&lt;9,調査年-J19,調査年-J19-1),
IF(リスト!$C$21="さとうきび",IF(K19&gt;=4,調査年-J19,調査年-J19+1),
調査年-J19)))</f>
        <v>0</v>
      </c>
      <c r="AF19" s="408">
        <f t="shared" si="2"/>
        <v>0</v>
      </c>
      <c r="AG19" s="408">
        <f t="shared" si="3"/>
        <v>0</v>
      </c>
      <c r="AH19" s="408">
        <f t="shared" si="4"/>
        <v>0</v>
      </c>
      <c r="AI19" s="408">
        <f t="shared" si="5"/>
        <v>0</v>
      </c>
      <c r="AJ19" s="408">
        <f t="shared" si="6"/>
        <v>0</v>
      </c>
      <c r="AK19" s="408">
        <f t="shared" si="16"/>
        <v>0</v>
      </c>
      <c r="AL19" s="408">
        <f t="shared" si="7"/>
        <v>0</v>
      </c>
      <c r="AM19" s="408">
        <f t="shared" si="8"/>
        <v>0</v>
      </c>
      <c r="AN19" s="417"/>
      <c r="AO19" s="69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3">
        <f t="shared" si="9"/>
        <v>0</v>
      </c>
      <c r="AQ19" s="408">
        <f t="shared" si="10"/>
        <v>0</v>
      </c>
      <c r="AR19" s="693">
        <f t="shared" si="11"/>
        <v>0</v>
      </c>
      <c r="AS19" s="408">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408">
        <f t="shared" si="12"/>
        <v>0</v>
      </c>
      <c r="AU19" s="408" t="str">
        <f t="shared" si="13"/>
        <v/>
      </c>
      <c r="AV19" s="707"/>
      <c r="AW19" s="707"/>
      <c r="AX19" s="707"/>
      <c r="AY19" s="707"/>
      <c r="AZ19" s="707"/>
    </row>
    <row r="20" spans="3:52" s="46" customFormat="1" ht="30" customHeight="1">
      <c r="C20" s="695">
        <v>5</v>
      </c>
      <c r="D20" s="708"/>
      <c r="E20" s="697"/>
      <c r="F20" s="698"/>
      <c r="G20" s="1901"/>
      <c r="H20" s="1902"/>
      <c r="I20" s="699"/>
      <c r="J20" s="700"/>
      <c r="K20" s="701"/>
      <c r="L20" s="702"/>
      <c r="M20" s="702"/>
      <c r="N20" s="702"/>
      <c r="O20" s="702"/>
      <c r="P20" s="1074"/>
      <c r="Q20" s="703"/>
      <c r="R20" s="704"/>
      <c r="S20" s="702"/>
      <c r="T20" s="689"/>
      <c r="U20" s="2"/>
      <c r="V20" s="1082"/>
      <c r="W20" s="690"/>
      <c r="X20" s="2"/>
      <c r="Y20" s="705">
        <f t="shared" si="17"/>
        <v>0</v>
      </c>
      <c r="Z20" s="691">
        <f t="shared" si="14"/>
        <v>0</v>
      </c>
      <c r="AA20" s="691">
        <f t="shared" si="15"/>
        <v>0</v>
      </c>
      <c r="AB20" s="705">
        <f>IF(Y20=0,,VLOOKUP(Y20,リスト!CX:CY,2,0))</f>
        <v>0</v>
      </c>
      <c r="AC20" s="705">
        <f t="shared" si="1"/>
        <v>0</v>
      </c>
      <c r="AD20" s="706">
        <f>IF(AC20=0,,VLOOKUP(AC20,リスト!DK:DL,2,0))</f>
        <v>0</v>
      </c>
      <c r="AE20" s="691">
        <f>IF(Y20=0,,
IF(OR(リスト!$C$21="小麦",リスト!$C$21="二条大麦",リスト!$C$21="六条大麦",リスト!$C$21="はだか麦",リスト!$C$21="なたね"),IF(K20&lt;9,調査年-J20,調査年-J20-1),
IF(リスト!$C$21="さとうきび",IF(K20&gt;=4,調査年-J20,調査年-J20+1),
調査年-J20)))</f>
        <v>0</v>
      </c>
      <c r="AF20" s="408">
        <f t="shared" si="2"/>
        <v>0</v>
      </c>
      <c r="AG20" s="408">
        <f t="shared" si="3"/>
        <v>0</v>
      </c>
      <c r="AH20" s="408">
        <f t="shared" si="4"/>
        <v>0</v>
      </c>
      <c r="AI20" s="408">
        <f t="shared" si="5"/>
        <v>0</v>
      </c>
      <c r="AJ20" s="408">
        <f t="shared" si="6"/>
        <v>0</v>
      </c>
      <c r="AK20" s="408">
        <f t="shared" si="16"/>
        <v>0</v>
      </c>
      <c r="AL20" s="408">
        <f t="shared" si="7"/>
        <v>0</v>
      </c>
      <c r="AM20" s="408">
        <f t="shared" si="8"/>
        <v>0</v>
      </c>
      <c r="AN20" s="417"/>
      <c r="AO20" s="69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3">
        <f t="shared" si="9"/>
        <v>0</v>
      </c>
      <c r="AQ20" s="408">
        <f t="shared" si="10"/>
        <v>0</v>
      </c>
      <c r="AR20" s="693">
        <f t="shared" si="11"/>
        <v>0</v>
      </c>
      <c r="AS20" s="408">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408">
        <f t="shared" si="12"/>
        <v>0</v>
      </c>
      <c r="AU20" s="408" t="str">
        <f t="shared" si="13"/>
        <v/>
      </c>
      <c r="AV20" s="707"/>
      <c r="AW20" s="707"/>
      <c r="AX20" s="707"/>
      <c r="AY20" s="707"/>
      <c r="AZ20" s="707"/>
    </row>
    <row r="21" spans="3:52" s="46" customFormat="1" ht="30" customHeight="1">
      <c r="C21" s="695">
        <v>6</v>
      </c>
      <c r="D21" s="708"/>
      <c r="E21" s="697"/>
      <c r="F21" s="698"/>
      <c r="G21" s="1901"/>
      <c r="H21" s="1902"/>
      <c r="I21" s="699"/>
      <c r="J21" s="700"/>
      <c r="K21" s="701"/>
      <c r="L21" s="702"/>
      <c r="M21" s="702"/>
      <c r="N21" s="702"/>
      <c r="O21" s="702"/>
      <c r="P21" s="1074"/>
      <c r="Q21" s="703"/>
      <c r="R21" s="704"/>
      <c r="S21" s="702"/>
      <c r="T21" s="689"/>
      <c r="U21" s="2"/>
      <c r="V21" s="1082"/>
      <c r="W21" s="690"/>
      <c r="X21" s="2"/>
      <c r="Y21" s="705">
        <f t="shared" si="17"/>
        <v>0</v>
      </c>
      <c r="Z21" s="691">
        <f t="shared" si="14"/>
        <v>0</v>
      </c>
      <c r="AA21" s="691">
        <f t="shared" si="15"/>
        <v>0</v>
      </c>
      <c r="AB21" s="705">
        <f>IF(Y21=0,,VLOOKUP(Y21,リスト!CX:CY,2,0))</f>
        <v>0</v>
      </c>
      <c r="AC21" s="705">
        <f t="shared" si="1"/>
        <v>0</v>
      </c>
      <c r="AD21" s="706">
        <f>IF(AC21=0,,VLOOKUP(AC21,リスト!DK:DL,2,0))</f>
        <v>0</v>
      </c>
      <c r="AE21" s="691">
        <f>IF(Y21=0,,
IF(OR(リスト!$C$21="小麦",リスト!$C$21="二条大麦",リスト!$C$21="六条大麦",リスト!$C$21="はだか麦",リスト!$C$21="なたね"),IF(K21&lt;9,調査年-J21,調査年-J21-1),
IF(リスト!$C$21="さとうきび",IF(K21&gt;=4,調査年-J21,調査年-J21+1),
調査年-J21)))</f>
        <v>0</v>
      </c>
      <c r="AF21" s="408">
        <f t="shared" si="2"/>
        <v>0</v>
      </c>
      <c r="AG21" s="408">
        <f t="shared" si="3"/>
        <v>0</v>
      </c>
      <c r="AH21" s="408">
        <f t="shared" si="4"/>
        <v>0</v>
      </c>
      <c r="AI21" s="408">
        <f t="shared" si="5"/>
        <v>0</v>
      </c>
      <c r="AJ21" s="408">
        <f t="shared" si="6"/>
        <v>0</v>
      </c>
      <c r="AK21" s="408">
        <f t="shared" si="16"/>
        <v>0</v>
      </c>
      <c r="AL21" s="408">
        <f t="shared" si="7"/>
        <v>0</v>
      </c>
      <c r="AM21" s="408">
        <f t="shared" si="8"/>
        <v>0</v>
      </c>
      <c r="AN21" s="417"/>
      <c r="AO21" s="69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3">
        <f t="shared" si="9"/>
        <v>0</v>
      </c>
      <c r="AQ21" s="408">
        <f t="shared" si="10"/>
        <v>0</v>
      </c>
      <c r="AR21" s="693">
        <f t="shared" si="11"/>
        <v>0</v>
      </c>
      <c r="AS21" s="408">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408">
        <f t="shared" si="12"/>
        <v>0</v>
      </c>
      <c r="AU21" s="408" t="str">
        <f t="shared" si="13"/>
        <v/>
      </c>
      <c r="AV21" s="707"/>
      <c r="AW21" s="707"/>
      <c r="AX21" s="707"/>
      <c r="AY21" s="707"/>
      <c r="AZ21" s="707"/>
    </row>
    <row r="22" spans="3:52" s="46" customFormat="1" ht="30" customHeight="1">
      <c r="C22" s="695">
        <v>7</v>
      </c>
      <c r="D22" s="708"/>
      <c r="E22" s="697"/>
      <c r="F22" s="698"/>
      <c r="G22" s="1901"/>
      <c r="H22" s="1902"/>
      <c r="I22" s="699"/>
      <c r="J22" s="700"/>
      <c r="K22" s="701"/>
      <c r="L22" s="702"/>
      <c r="M22" s="702"/>
      <c r="N22" s="702"/>
      <c r="O22" s="702"/>
      <c r="P22" s="1074"/>
      <c r="Q22" s="703"/>
      <c r="R22" s="704"/>
      <c r="S22" s="702"/>
      <c r="T22" s="689"/>
      <c r="U22" s="2"/>
      <c r="V22" s="1082"/>
      <c r="W22" s="690"/>
      <c r="X22" s="2"/>
      <c r="Y22" s="705">
        <f t="shared" si="17"/>
        <v>0</v>
      </c>
      <c r="Z22" s="691">
        <f t="shared" si="14"/>
        <v>0</v>
      </c>
      <c r="AA22" s="691">
        <f t="shared" si="15"/>
        <v>0</v>
      </c>
      <c r="AB22" s="705">
        <f>IF(Y22=0,,VLOOKUP(Y22,リスト!CX:CY,2,0))</f>
        <v>0</v>
      </c>
      <c r="AC22" s="705">
        <f t="shared" si="1"/>
        <v>0</v>
      </c>
      <c r="AD22" s="706">
        <f>IF(AC22=0,,VLOOKUP(AC22,リスト!DK:DL,2,0))</f>
        <v>0</v>
      </c>
      <c r="AE22" s="691">
        <f>IF(Y22=0,,
IF(OR(リスト!$C$21="小麦",リスト!$C$21="二条大麦",リスト!$C$21="六条大麦",リスト!$C$21="はだか麦",リスト!$C$21="なたね"),IF(K22&lt;9,調査年-J22,調査年-J22-1),
IF(リスト!$C$21="さとうきび",IF(K22&gt;=4,調査年-J22,調査年-J22+1),
調査年-J22)))</f>
        <v>0</v>
      </c>
      <c r="AF22" s="408">
        <f t="shared" si="2"/>
        <v>0</v>
      </c>
      <c r="AG22" s="408">
        <f t="shared" si="3"/>
        <v>0</v>
      </c>
      <c r="AH22" s="408">
        <f t="shared" si="4"/>
        <v>0</v>
      </c>
      <c r="AI22" s="408">
        <f t="shared" si="5"/>
        <v>0</v>
      </c>
      <c r="AJ22" s="408">
        <f t="shared" si="6"/>
        <v>0</v>
      </c>
      <c r="AK22" s="408">
        <f t="shared" si="16"/>
        <v>0</v>
      </c>
      <c r="AL22" s="408">
        <f t="shared" si="7"/>
        <v>0</v>
      </c>
      <c r="AM22" s="408">
        <f t="shared" si="8"/>
        <v>0</v>
      </c>
      <c r="AN22" s="417"/>
      <c r="AO22" s="69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3">
        <f t="shared" si="9"/>
        <v>0</v>
      </c>
      <c r="AQ22" s="408">
        <f t="shared" si="10"/>
        <v>0</v>
      </c>
      <c r="AR22" s="693">
        <f t="shared" si="11"/>
        <v>0</v>
      </c>
      <c r="AS22" s="408">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408">
        <f t="shared" si="12"/>
        <v>0</v>
      </c>
      <c r="AU22" s="408" t="str">
        <f t="shared" si="13"/>
        <v/>
      </c>
      <c r="AV22" s="707"/>
      <c r="AW22" s="707"/>
      <c r="AX22" s="707"/>
      <c r="AY22" s="707"/>
      <c r="AZ22" s="707"/>
    </row>
    <row r="23" spans="3:52" s="46" customFormat="1" ht="30" customHeight="1">
      <c r="C23" s="695">
        <v>8</v>
      </c>
      <c r="D23" s="708"/>
      <c r="E23" s="697"/>
      <c r="F23" s="698"/>
      <c r="G23" s="1901"/>
      <c r="H23" s="1902"/>
      <c r="I23" s="699"/>
      <c r="J23" s="700"/>
      <c r="K23" s="701"/>
      <c r="L23" s="702"/>
      <c r="M23" s="702"/>
      <c r="N23" s="702"/>
      <c r="O23" s="702"/>
      <c r="P23" s="1074"/>
      <c r="Q23" s="703"/>
      <c r="R23" s="704"/>
      <c r="S23" s="702"/>
      <c r="T23" s="689"/>
      <c r="U23" s="2"/>
      <c r="V23" s="1082"/>
      <c r="W23" s="690"/>
      <c r="X23" s="2"/>
      <c r="Y23" s="705">
        <f t="shared" si="17"/>
        <v>0</v>
      </c>
      <c r="Z23" s="691">
        <f t="shared" si="14"/>
        <v>0</v>
      </c>
      <c r="AA23" s="691">
        <f t="shared" si="15"/>
        <v>0</v>
      </c>
      <c r="AB23" s="705">
        <f>IF(Y23=0,,VLOOKUP(Y23,リスト!CX:CY,2,0))</f>
        <v>0</v>
      </c>
      <c r="AC23" s="705">
        <f t="shared" si="1"/>
        <v>0</v>
      </c>
      <c r="AD23" s="706">
        <f>IF(AC23=0,,VLOOKUP(AC23,リスト!DK:DL,2,0))</f>
        <v>0</v>
      </c>
      <c r="AE23" s="691">
        <f>IF(Y23=0,,
IF(OR(リスト!$C$21="小麦",リスト!$C$21="二条大麦",リスト!$C$21="六条大麦",リスト!$C$21="はだか麦",リスト!$C$21="なたね"),IF(K23&lt;9,調査年-J23,調査年-J23-1),
IF(リスト!$C$21="さとうきび",IF(K23&gt;=4,調査年-J23,調査年-J23+1),
調査年-J23)))</f>
        <v>0</v>
      </c>
      <c r="AF23" s="408">
        <f t="shared" si="2"/>
        <v>0</v>
      </c>
      <c r="AG23" s="408">
        <f t="shared" si="3"/>
        <v>0</v>
      </c>
      <c r="AH23" s="408">
        <f t="shared" si="4"/>
        <v>0</v>
      </c>
      <c r="AI23" s="408">
        <f t="shared" si="5"/>
        <v>0</v>
      </c>
      <c r="AJ23" s="408">
        <f t="shared" si="6"/>
        <v>0</v>
      </c>
      <c r="AK23" s="408">
        <f t="shared" si="16"/>
        <v>0</v>
      </c>
      <c r="AL23" s="408">
        <f t="shared" si="7"/>
        <v>0</v>
      </c>
      <c r="AM23" s="408">
        <f t="shared" si="8"/>
        <v>0</v>
      </c>
      <c r="AN23" s="417"/>
      <c r="AO23" s="69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3">
        <f t="shared" si="9"/>
        <v>0</v>
      </c>
      <c r="AQ23" s="408">
        <f t="shared" si="10"/>
        <v>0</v>
      </c>
      <c r="AR23" s="693">
        <f t="shared" si="11"/>
        <v>0</v>
      </c>
      <c r="AS23" s="408">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408">
        <f t="shared" si="12"/>
        <v>0</v>
      </c>
      <c r="AU23" s="408" t="str">
        <f t="shared" si="13"/>
        <v/>
      </c>
      <c r="AV23" s="707"/>
      <c r="AW23" s="707"/>
      <c r="AX23" s="707"/>
      <c r="AY23" s="707"/>
      <c r="AZ23" s="707"/>
    </row>
    <row r="24" spans="3:52" s="46" customFormat="1" ht="30" customHeight="1">
      <c r="C24" s="695">
        <v>9</v>
      </c>
      <c r="D24" s="708"/>
      <c r="E24" s="697"/>
      <c r="F24" s="698"/>
      <c r="G24" s="1901"/>
      <c r="H24" s="1902"/>
      <c r="I24" s="699"/>
      <c r="J24" s="700"/>
      <c r="K24" s="701"/>
      <c r="L24" s="702"/>
      <c r="M24" s="702"/>
      <c r="N24" s="702"/>
      <c r="O24" s="702"/>
      <c r="P24" s="1074"/>
      <c r="Q24" s="703"/>
      <c r="R24" s="704"/>
      <c r="S24" s="702"/>
      <c r="T24" s="689"/>
      <c r="U24" s="2"/>
      <c r="V24" s="1082"/>
      <c r="W24" s="690"/>
      <c r="X24" s="2"/>
      <c r="Y24" s="705">
        <f t="shared" si="17"/>
        <v>0</v>
      </c>
      <c r="Z24" s="691">
        <f t="shared" si="14"/>
        <v>0</v>
      </c>
      <c r="AA24" s="691">
        <f t="shared" si="15"/>
        <v>0</v>
      </c>
      <c r="AB24" s="705">
        <f>IF(Y24=0,,VLOOKUP(Y24,リスト!CX:CY,2,0))</f>
        <v>0</v>
      </c>
      <c r="AC24" s="705">
        <f t="shared" si="1"/>
        <v>0</v>
      </c>
      <c r="AD24" s="706">
        <f>IF(AC24=0,,VLOOKUP(AC24,リスト!DK:DL,2,0))</f>
        <v>0</v>
      </c>
      <c r="AE24" s="691">
        <f>IF(Y24=0,,
IF(OR(リスト!$C$21="小麦",リスト!$C$21="二条大麦",リスト!$C$21="六条大麦",リスト!$C$21="はだか麦",リスト!$C$21="なたね"),IF(K24&lt;9,調査年-J24,調査年-J24-1),
IF(リスト!$C$21="さとうきび",IF(K24&gt;=4,調査年-J24,調査年-J24+1),
調査年-J24)))</f>
        <v>0</v>
      </c>
      <c r="AF24" s="408">
        <f t="shared" si="2"/>
        <v>0</v>
      </c>
      <c r="AG24" s="408">
        <f t="shared" si="3"/>
        <v>0</v>
      </c>
      <c r="AH24" s="408">
        <f t="shared" si="4"/>
        <v>0</v>
      </c>
      <c r="AI24" s="408">
        <f t="shared" si="5"/>
        <v>0</v>
      </c>
      <c r="AJ24" s="408">
        <f t="shared" si="6"/>
        <v>0</v>
      </c>
      <c r="AK24" s="408">
        <f t="shared" si="16"/>
        <v>0</v>
      </c>
      <c r="AL24" s="408">
        <f t="shared" si="7"/>
        <v>0</v>
      </c>
      <c r="AM24" s="408">
        <f t="shared" si="8"/>
        <v>0</v>
      </c>
      <c r="AN24" s="417"/>
      <c r="AO24" s="69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3">
        <f t="shared" si="9"/>
        <v>0</v>
      </c>
      <c r="AQ24" s="408">
        <f t="shared" si="10"/>
        <v>0</v>
      </c>
      <c r="AR24" s="693">
        <f t="shared" si="11"/>
        <v>0</v>
      </c>
      <c r="AS24" s="408">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408">
        <f t="shared" si="12"/>
        <v>0</v>
      </c>
      <c r="AU24" s="408" t="str">
        <f t="shared" si="13"/>
        <v/>
      </c>
      <c r="AV24" s="707"/>
      <c r="AW24" s="707"/>
      <c r="AX24" s="707"/>
      <c r="AY24" s="707"/>
      <c r="AZ24" s="707"/>
    </row>
    <row r="25" spans="3:52" s="46" customFormat="1" ht="30" customHeight="1">
      <c r="C25" s="695">
        <v>10</v>
      </c>
      <c r="D25" s="708"/>
      <c r="E25" s="697"/>
      <c r="F25" s="698"/>
      <c r="G25" s="1901"/>
      <c r="H25" s="1902"/>
      <c r="I25" s="699"/>
      <c r="J25" s="700"/>
      <c r="K25" s="701"/>
      <c r="L25" s="702"/>
      <c r="M25" s="702"/>
      <c r="N25" s="702"/>
      <c r="O25" s="702"/>
      <c r="P25" s="1074"/>
      <c r="Q25" s="703"/>
      <c r="R25" s="704"/>
      <c r="S25" s="702"/>
      <c r="T25" s="689"/>
      <c r="U25" s="2"/>
      <c r="V25" s="1082"/>
      <c r="W25" s="690"/>
      <c r="X25" s="2"/>
      <c r="Y25" s="705">
        <f t="shared" si="17"/>
        <v>0</v>
      </c>
      <c r="Z25" s="691">
        <f t="shared" si="14"/>
        <v>0</v>
      </c>
      <c r="AA25" s="691">
        <f t="shared" si="15"/>
        <v>0</v>
      </c>
      <c r="AB25" s="705">
        <f>IF(Y25=0,,VLOOKUP(Y25,リスト!CX:CY,2,0))</f>
        <v>0</v>
      </c>
      <c r="AC25" s="705">
        <f t="shared" si="1"/>
        <v>0</v>
      </c>
      <c r="AD25" s="706">
        <f>IF(AC25=0,,VLOOKUP(AC25,リスト!DK:DL,2,0))</f>
        <v>0</v>
      </c>
      <c r="AE25" s="691">
        <f>IF(Y25=0,,
IF(OR(リスト!$C$21="小麦",リスト!$C$21="二条大麦",リスト!$C$21="六条大麦",リスト!$C$21="はだか麦",リスト!$C$21="なたね"),IF(K25&lt;9,調査年-J25,調査年-J25-1),
IF(リスト!$C$21="さとうきび",IF(K25&gt;=4,調査年-J25,調査年-J25+1),
調査年-J25)))</f>
        <v>0</v>
      </c>
      <c r="AF25" s="408">
        <f t="shared" si="2"/>
        <v>0</v>
      </c>
      <c r="AG25" s="408">
        <f t="shared" si="3"/>
        <v>0</v>
      </c>
      <c r="AH25" s="408">
        <f t="shared" si="4"/>
        <v>0</v>
      </c>
      <c r="AI25" s="408">
        <f t="shared" si="5"/>
        <v>0</v>
      </c>
      <c r="AJ25" s="408">
        <f t="shared" si="6"/>
        <v>0</v>
      </c>
      <c r="AK25" s="408">
        <f t="shared" si="16"/>
        <v>0</v>
      </c>
      <c r="AL25" s="408">
        <f t="shared" si="7"/>
        <v>0</v>
      </c>
      <c r="AM25" s="408">
        <f t="shared" si="8"/>
        <v>0</v>
      </c>
      <c r="AN25" s="417"/>
      <c r="AO25" s="69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3">
        <f t="shared" si="9"/>
        <v>0</v>
      </c>
      <c r="AQ25" s="408">
        <f t="shared" si="10"/>
        <v>0</v>
      </c>
      <c r="AR25" s="693">
        <f t="shared" si="11"/>
        <v>0</v>
      </c>
      <c r="AS25" s="408">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408">
        <f t="shared" si="12"/>
        <v>0</v>
      </c>
      <c r="AU25" s="408" t="str">
        <f t="shared" si="13"/>
        <v/>
      </c>
      <c r="AV25" s="707"/>
      <c r="AW25" s="707"/>
      <c r="AX25" s="707"/>
      <c r="AY25" s="707"/>
      <c r="AZ25" s="707"/>
    </row>
    <row r="26" spans="3:52" s="46" customFormat="1" ht="30" customHeight="1">
      <c r="C26" s="695">
        <v>11</v>
      </c>
      <c r="D26" s="708"/>
      <c r="E26" s="697"/>
      <c r="F26" s="698"/>
      <c r="G26" s="1901"/>
      <c r="H26" s="1902"/>
      <c r="I26" s="699"/>
      <c r="J26" s="700"/>
      <c r="K26" s="701"/>
      <c r="L26" s="702"/>
      <c r="M26" s="702"/>
      <c r="N26" s="702"/>
      <c r="O26" s="702"/>
      <c r="P26" s="1074"/>
      <c r="Q26" s="703"/>
      <c r="R26" s="704"/>
      <c r="S26" s="702"/>
      <c r="T26" s="689"/>
      <c r="U26" s="2"/>
      <c r="V26" s="1082"/>
      <c r="W26" s="690"/>
      <c r="X26" s="2"/>
      <c r="Y26" s="705">
        <f t="shared" si="17"/>
        <v>0</v>
      </c>
      <c r="Z26" s="691">
        <f t="shared" si="14"/>
        <v>0</v>
      </c>
      <c r="AA26" s="691">
        <f t="shared" si="15"/>
        <v>0</v>
      </c>
      <c r="AB26" s="705">
        <f>IF(Y26=0,,VLOOKUP(Y26,リスト!CX:CY,2,0))</f>
        <v>0</v>
      </c>
      <c r="AC26" s="705">
        <f t="shared" si="1"/>
        <v>0</v>
      </c>
      <c r="AD26" s="706">
        <f>IF(AC26=0,,VLOOKUP(AC26,リスト!DK:DL,2,0))</f>
        <v>0</v>
      </c>
      <c r="AE26" s="691">
        <f>IF(Y26=0,,
IF(OR(リスト!$C$21="小麦",リスト!$C$21="二条大麦",リスト!$C$21="六条大麦",リスト!$C$21="はだか麦",リスト!$C$21="なたね"),IF(K26&lt;9,調査年-J26,調査年-J26-1),
IF(リスト!$C$21="さとうきび",IF(K26&gt;=4,調査年-J26,調査年-J26+1),
調査年-J26)))</f>
        <v>0</v>
      </c>
      <c r="AF26" s="408">
        <f t="shared" si="2"/>
        <v>0</v>
      </c>
      <c r="AG26" s="408">
        <f t="shared" si="3"/>
        <v>0</v>
      </c>
      <c r="AH26" s="408">
        <f t="shared" si="4"/>
        <v>0</v>
      </c>
      <c r="AI26" s="408">
        <f t="shared" si="5"/>
        <v>0</v>
      </c>
      <c r="AJ26" s="408">
        <f t="shared" si="6"/>
        <v>0</v>
      </c>
      <c r="AK26" s="408">
        <f t="shared" si="16"/>
        <v>0</v>
      </c>
      <c r="AL26" s="408">
        <f t="shared" si="7"/>
        <v>0</v>
      </c>
      <c r="AM26" s="408">
        <f t="shared" si="8"/>
        <v>0</v>
      </c>
      <c r="AN26" s="417"/>
      <c r="AO26" s="69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3">
        <f t="shared" si="9"/>
        <v>0</v>
      </c>
      <c r="AQ26" s="408">
        <f t="shared" si="10"/>
        <v>0</v>
      </c>
      <c r="AR26" s="693">
        <f t="shared" si="11"/>
        <v>0</v>
      </c>
      <c r="AS26" s="408">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408">
        <f t="shared" si="12"/>
        <v>0</v>
      </c>
      <c r="AU26" s="408" t="str">
        <f t="shared" si="13"/>
        <v/>
      </c>
      <c r="AV26" s="707"/>
      <c r="AW26" s="707"/>
      <c r="AX26" s="707"/>
      <c r="AY26" s="707"/>
      <c r="AZ26" s="707"/>
    </row>
    <row r="27" spans="3:52" s="46" customFormat="1" ht="30" customHeight="1">
      <c r="C27" s="695">
        <v>12</v>
      </c>
      <c r="D27" s="708"/>
      <c r="E27" s="697"/>
      <c r="F27" s="698"/>
      <c r="G27" s="1901"/>
      <c r="H27" s="1902"/>
      <c r="I27" s="699"/>
      <c r="J27" s="700"/>
      <c r="K27" s="701"/>
      <c r="L27" s="702"/>
      <c r="M27" s="702"/>
      <c r="N27" s="702"/>
      <c r="O27" s="702"/>
      <c r="P27" s="1074"/>
      <c r="Q27" s="703"/>
      <c r="R27" s="704"/>
      <c r="S27" s="702"/>
      <c r="T27" s="689"/>
      <c r="U27" s="2"/>
      <c r="V27" s="1082"/>
      <c r="W27" s="690"/>
      <c r="X27" s="2"/>
      <c r="Y27" s="705">
        <f t="shared" si="17"/>
        <v>0</v>
      </c>
      <c r="Z27" s="691">
        <f t="shared" si="14"/>
        <v>0</v>
      </c>
      <c r="AA27" s="691">
        <f t="shared" si="15"/>
        <v>0</v>
      </c>
      <c r="AB27" s="705">
        <f>IF(Y27=0,,VLOOKUP(Y27,リスト!CX:CY,2,0))</f>
        <v>0</v>
      </c>
      <c r="AC27" s="705">
        <f t="shared" si="1"/>
        <v>0</v>
      </c>
      <c r="AD27" s="706">
        <f>IF(AC27=0,,VLOOKUP(AC27,リスト!DK:DL,2,0))</f>
        <v>0</v>
      </c>
      <c r="AE27" s="691">
        <f>IF(Y27=0,,
IF(OR(リスト!$C$21="小麦",リスト!$C$21="二条大麦",リスト!$C$21="六条大麦",リスト!$C$21="はだか麦",リスト!$C$21="なたね"),IF(K27&lt;9,調査年-J27,調査年-J27-1),
IF(リスト!$C$21="さとうきび",IF(K27&gt;=4,調査年-J27,調査年-J27+1),
調査年-J27)))</f>
        <v>0</v>
      </c>
      <c r="AF27" s="408">
        <f t="shared" si="2"/>
        <v>0</v>
      </c>
      <c r="AG27" s="408">
        <f t="shared" si="3"/>
        <v>0</v>
      </c>
      <c r="AH27" s="408">
        <f t="shared" si="4"/>
        <v>0</v>
      </c>
      <c r="AI27" s="408">
        <f t="shared" si="5"/>
        <v>0</v>
      </c>
      <c r="AJ27" s="408">
        <f t="shared" si="6"/>
        <v>0</v>
      </c>
      <c r="AK27" s="408">
        <f t="shared" si="16"/>
        <v>0</v>
      </c>
      <c r="AL27" s="408">
        <f t="shared" si="7"/>
        <v>0</v>
      </c>
      <c r="AM27" s="408">
        <f t="shared" si="8"/>
        <v>0</v>
      </c>
      <c r="AN27" s="417"/>
      <c r="AO27" s="69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3">
        <f t="shared" si="9"/>
        <v>0</v>
      </c>
      <c r="AQ27" s="408">
        <f t="shared" si="10"/>
        <v>0</v>
      </c>
      <c r="AR27" s="693">
        <f t="shared" si="11"/>
        <v>0</v>
      </c>
      <c r="AS27" s="408">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408">
        <f t="shared" si="12"/>
        <v>0</v>
      </c>
      <c r="AU27" s="408" t="str">
        <f t="shared" si="13"/>
        <v/>
      </c>
      <c r="AV27" s="707"/>
      <c r="AW27" s="707"/>
      <c r="AX27" s="707"/>
      <c r="AY27" s="707"/>
      <c r="AZ27" s="707"/>
    </row>
    <row r="28" spans="3:52" s="46" customFormat="1" ht="30" customHeight="1">
      <c r="C28" s="695">
        <v>13</v>
      </c>
      <c r="D28" s="708"/>
      <c r="E28" s="697"/>
      <c r="F28" s="698"/>
      <c r="G28" s="1901"/>
      <c r="H28" s="1902"/>
      <c r="I28" s="699"/>
      <c r="J28" s="700"/>
      <c r="K28" s="701"/>
      <c r="L28" s="702"/>
      <c r="M28" s="702"/>
      <c r="N28" s="702"/>
      <c r="O28" s="702"/>
      <c r="P28" s="1074"/>
      <c r="Q28" s="703"/>
      <c r="R28" s="704"/>
      <c r="S28" s="702"/>
      <c r="T28" s="689"/>
      <c r="U28" s="2"/>
      <c r="V28" s="1082"/>
      <c r="W28" s="690"/>
      <c r="X28" s="2"/>
      <c r="Y28" s="705">
        <f t="shared" si="17"/>
        <v>0</v>
      </c>
      <c r="Z28" s="691">
        <f t="shared" si="14"/>
        <v>0</v>
      </c>
      <c r="AA28" s="691">
        <f t="shared" si="15"/>
        <v>0</v>
      </c>
      <c r="AB28" s="705">
        <f>IF(Y28=0,,VLOOKUP(Y28,リスト!CX:CY,2,0))</f>
        <v>0</v>
      </c>
      <c r="AC28" s="705">
        <f t="shared" si="1"/>
        <v>0</v>
      </c>
      <c r="AD28" s="706">
        <f>IF(AC28=0,,VLOOKUP(AC28,リスト!DK:DL,2,0))</f>
        <v>0</v>
      </c>
      <c r="AE28" s="691">
        <f>IF(Y28=0,,
IF(OR(リスト!$C$21="小麦",リスト!$C$21="二条大麦",リスト!$C$21="六条大麦",リスト!$C$21="はだか麦",リスト!$C$21="なたね"),IF(K28&lt;9,調査年-J28,調査年-J28-1),
IF(リスト!$C$21="さとうきび",IF(K28&gt;=4,調査年-J28,調査年-J28+1),
調査年-J28)))</f>
        <v>0</v>
      </c>
      <c r="AF28" s="408">
        <f t="shared" si="2"/>
        <v>0</v>
      </c>
      <c r="AG28" s="408">
        <f t="shared" si="3"/>
        <v>0</v>
      </c>
      <c r="AH28" s="408">
        <f t="shared" si="4"/>
        <v>0</v>
      </c>
      <c r="AI28" s="408">
        <f t="shared" si="5"/>
        <v>0</v>
      </c>
      <c r="AJ28" s="408">
        <f t="shared" si="6"/>
        <v>0</v>
      </c>
      <c r="AK28" s="408">
        <f t="shared" si="16"/>
        <v>0</v>
      </c>
      <c r="AL28" s="408">
        <f t="shared" si="7"/>
        <v>0</v>
      </c>
      <c r="AM28" s="408">
        <f t="shared" si="8"/>
        <v>0</v>
      </c>
      <c r="AN28" s="417"/>
      <c r="AO28" s="69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3">
        <f t="shared" si="9"/>
        <v>0</v>
      </c>
      <c r="AQ28" s="408">
        <f t="shared" si="10"/>
        <v>0</v>
      </c>
      <c r="AR28" s="693">
        <f t="shared" si="11"/>
        <v>0</v>
      </c>
      <c r="AS28" s="408">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408">
        <f t="shared" si="12"/>
        <v>0</v>
      </c>
      <c r="AU28" s="408" t="str">
        <f t="shared" si="13"/>
        <v/>
      </c>
      <c r="AV28" s="707"/>
      <c r="AW28" s="707"/>
      <c r="AX28" s="707"/>
      <c r="AY28" s="707"/>
      <c r="AZ28" s="707"/>
    </row>
    <row r="29" spans="3:52" s="46" customFormat="1" ht="30" customHeight="1">
      <c r="C29" s="695">
        <v>14</v>
      </c>
      <c r="D29" s="708"/>
      <c r="E29" s="697"/>
      <c r="F29" s="698"/>
      <c r="G29" s="1901"/>
      <c r="H29" s="1902"/>
      <c r="I29" s="699"/>
      <c r="J29" s="700"/>
      <c r="K29" s="701"/>
      <c r="L29" s="702"/>
      <c r="M29" s="702"/>
      <c r="N29" s="702"/>
      <c r="O29" s="702"/>
      <c r="P29" s="1074"/>
      <c r="Q29" s="703"/>
      <c r="R29" s="704"/>
      <c r="S29" s="702"/>
      <c r="T29" s="689"/>
      <c r="U29" s="2"/>
      <c r="V29" s="1082"/>
      <c r="W29" s="690"/>
      <c r="X29" s="2"/>
      <c r="Y29" s="705">
        <f t="shared" si="17"/>
        <v>0</v>
      </c>
      <c r="Z29" s="691">
        <f t="shared" si="14"/>
        <v>0</v>
      </c>
      <c r="AA29" s="691">
        <f t="shared" si="15"/>
        <v>0</v>
      </c>
      <c r="AB29" s="705">
        <f>IF(Y29=0,,VLOOKUP(Y29,リスト!CX:CY,2,0))</f>
        <v>0</v>
      </c>
      <c r="AC29" s="705">
        <f t="shared" si="1"/>
        <v>0</v>
      </c>
      <c r="AD29" s="706">
        <f>IF(AC29=0,,VLOOKUP(AC29,リスト!DK:DL,2,0))</f>
        <v>0</v>
      </c>
      <c r="AE29" s="691">
        <f>IF(Y29=0,,
IF(OR(リスト!$C$21="小麦",リスト!$C$21="二条大麦",リスト!$C$21="六条大麦",リスト!$C$21="はだか麦",リスト!$C$21="なたね"),IF(K29&lt;9,調査年-J29,調査年-J29-1),
IF(リスト!$C$21="さとうきび",IF(K29&gt;=4,調査年-J29,調査年-J29+1),
調査年-J29)))</f>
        <v>0</v>
      </c>
      <c r="AF29" s="408">
        <f t="shared" si="2"/>
        <v>0</v>
      </c>
      <c r="AG29" s="408">
        <f t="shared" si="3"/>
        <v>0</v>
      </c>
      <c r="AH29" s="408">
        <f t="shared" si="4"/>
        <v>0</v>
      </c>
      <c r="AI29" s="408">
        <f t="shared" si="5"/>
        <v>0</v>
      </c>
      <c r="AJ29" s="408">
        <f t="shared" si="6"/>
        <v>0</v>
      </c>
      <c r="AK29" s="408">
        <f t="shared" si="16"/>
        <v>0</v>
      </c>
      <c r="AL29" s="408">
        <f t="shared" si="7"/>
        <v>0</v>
      </c>
      <c r="AM29" s="408">
        <f t="shared" si="8"/>
        <v>0</v>
      </c>
      <c r="AN29" s="417"/>
      <c r="AO29" s="69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3">
        <f t="shared" si="9"/>
        <v>0</v>
      </c>
      <c r="AQ29" s="408">
        <f t="shared" si="10"/>
        <v>0</v>
      </c>
      <c r="AR29" s="693">
        <f t="shared" si="11"/>
        <v>0</v>
      </c>
      <c r="AS29" s="408">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408">
        <f t="shared" si="12"/>
        <v>0</v>
      </c>
      <c r="AU29" s="408" t="str">
        <f t="shared" si="13"/>
        <v/>
      </c>
      <c r="AV29" s="707"/>
      <c r="AW29" s="707"/>
      <c r="AX29" s="707"/>
      <c r="AY29" s="707"/>
      <c r="AZ29" s="707"/>
    </row>
    <row r="30" spans="3:52" s="46" customFormat="1" ht="30" customHeight="1" collapsed="1" thickBot="1">
      <c r="C30" s="709">
        <v>15</v>
      </c>
      <c r="D30" s="708"/>
      <c r="E30" s="697"/>
      <c r="F30" s="698"/>
      <c r="G30" s="1901"/>
      <c r="H30" s="1902"/>
      <c r="I30" s="699"/>
      <c r="J30" s="700"/>
      <c r="K30" s="701"/>
      <c r="L30" s="702"/>
      <c r="M30" s="702"/>
      <c r="N30" s="702"/>
      <c r="O30" s="702"/>
      <c r="P30" s="1074"/>
      <c r="Q30" s="703"/>
      <c r="R30" s="704"/>
      <c r="S30" s="702"/>
      <c r="T30" s="689"/>
      <c r="U30" s="2"/>
      <c r="V30" s="1082"/>
      <c r="W30" s="690"/>
      <c r="X30" s="2"/>
      <c r="Y30" s="705">
        <f t="shared" si="17"/>
        <v>0</v>
      </c>
      <c r="Z30" s="691">
        <f t="shared" si="14"/>
        <v>0</v>
      </c>
      <c r="AA30" s="691">
        <f t="shared" si="15"/>
        <v>0</v>
      </c>
      <c r="AB30" s="705">
        <f>IF(Y30=0,,VLOOKUP(Y30,リスト!CX:CY,2,0))</f>
        <v>0</v>
      </c>
      <c r="AC30" s="705">
        <f t="shared" si="1"/>
        <v>0</v>
      </c>
      <c r="AD30" s="706">
        <f>IF(AC30=0,,VLOOKUP(AC30,リスト!DK:DL,2,0))</f>
        <v>0</v>
      </c>
      <c r="AE30" s="691">
        <f>IF(Y30=0,,
IF(OR(リスト!$C$21="小麦",リスト!$C$21="二条大麦",リスト!$C$21="六条大麦",リスト!$C$21="はだか麦",リスト!$C$21="なたね"),IF(K30&lt;9,調査年-J30,調査年-J30-1),
IF(リスト!$C$21="さとうきび",IF(K30&gt;=4,調査年-J30,調査年-J30+1),
調査年-J30)))</f>
        <v>0</v>
      </c>
      <c r="AF30" s="408">
        <f t="shared" si="2"/>
        <v>0</v>
      </c>
      <c r="AG30" s="408">
        <f t="shared" si="3"/>
        <v>0</v>
      </c>
      <c r="AH30" s="408">
        <f t="shared" si="4"/>
        <v>0</v>
      </c>
      <c r="AI30" s="408">
        <f t="shared" si="5"/>
        <v>0</v>
      </c>
      <c r="AJ30" s="408">
        <f t="shared" si="6"/>
        <v>0</v>
      </c>
      <c r="AK30" s="408">
        <f t="shared" si="16"/>
        <v>0</v>
      </c>
      <c r="AL30" s="408">
        <f t="shared" si="7"/>
        <v>0</v>
      </c>
      <c r="AM30" s="408">
        <f t="shared" si="8"/>
        <v>0</v>
      </c>
      <c r="AN30" s="417"/>
      <c r="AO30" s="69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3">
        <f t="shared" si="9"/>
        <v>0</v>
      </c>
      <c r="AQ30" s="408">
        <f t="shared" si="10"/>
        <v>0</v>
      </c>
      <c r="AR30" s="693">
        <f t="shared" si="11"/>
        <v>0</v>
      </c>
      <c r="AS30" s="408">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408">
        <f t="shared" si="12"/>
        <v>0</v>
      </c>
      <c r="AU30" s="408" t="str">
        <f t="shared" si="13"/>
        <v/>
      </c>
      <c r="AV30" s="707"/>
      <c r="AW30" s="707"/>
      <c r="AX30" s="707"/>
      <c r="AY30" s="707"/>
      <c r="AZ30" s="707"/>
    </row>
    <row r="31" spans="3:52" s="46" customFormat="1" ht="30" hidden="1" customHeight="1" outlineLevel="1">
      <c r="C31" s="695">
        <v>16</v>
      </c>
      <c r="D31" s="708"/>
      <c r="E31" s="697"/>
      <c r="F31" s="698"/>
      <c r="G31" s="1901"/>
      <c r="H31" s="1902"/>
      <c r="I31" s="699"/>
      <c r="J31" s="700"/>
      <c r="K31" s="701"/>
      <c r="L31" s="702"/>
      <c r="M31" s="702"/>
      <c r="N31" s="702"/>
      <c r="O31" s="702"/>
      <c r="P31" s="1074"/>
      <c r="Q31" s="703"/>
      <c r="R31" s="704"/>
      <c r="S31" s="702"/>
      <c r="T31" s="689"/>
      <c r="U31" s="2"/>
      <c r="V31" s="1082"/>
      <c r="W31" s="690"/>
      <c r="X31" s="2"/>
      <c r="Y31" s="705">
        <f t="shared" si="17"/>
        <v>0</v>
      </c>
      <c r="Z31" s="691">
        <f t="shared" si="14"/>
        <v>0</v>
      </c>
      <c r="AA31" s="691">
        <f t="shared" si="15"/>
        <v>0</v>
      </c>
      <c r="AB31" s="705">
        <f>IF(Y31=0,,VLOOKUP(Y31,リスト!CX:CY,2,0))</f>
        <v>0</v>
      </c>
      <c r="AC31" s="705">
        <f t="shared" si="1"/>
        <v>0</v>
      </c>
      <c r="AD31" s="706">
        <f>IF(AC31=0,,VLOOKUP(AC31,リスト!DK:DL,2,0))</f>
        <v>0</v>
      </c>
      <c r="AE31" s="691">
        <f>IF(Y31=0,,
IF(OR(リスト!$C$21="小麦",リスト!$C$21="二条大麦",リスト!$C$21="六条大麦",リスト!$C$21="はだか麦",リスト!$C$21="なたね"),IF(K31&lt;9,調査年-J31,調査年-J31-1),
IF(リスト!$C$21="さとうきび",IF(K31&gt;=4,調査年-J31,調査年-J31+1),
調査年-J31)))</f>
        <v>0</v>
      </c>
      <c r="AF31" s="408">
        <f t="shared" si="2"/>
        <v>0</v>
      </c>
      <c r="AG31" s="408">
        <f t="shared" si="3"/>
        <v>0</v>
      </c>
      <c r="AH31" s="408">
        <f t="shared" si="4"/>
        <v>0</v>
      </c>
      <c r="AI31" s="408">
        <f t="shared" si="5"/>
        <v>0</v>
      </c>
      <c r="AJ31" s="408">
        <f t="shared" si="6"/>
        <v>0</v>
      </c>
      <c r="AK31" s="408">
        <f t="shared" si="16"/>
        <v>0</v>
      </c>
      <c r="AL31" s="408">
        <f t="shared" si="7"/>
        <v>0</v>
      </c>
      <c r="AM31" s="408">
        <f t="shared" si="8"/>
        <v>0</v>
      </c>
      <c r="AN31" s="417"/>
      <c r="AO31" s="69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3">
        <f t="shared" si="9"/>
        <v>0</v>
      </c>
      <c r="AQ31" s="408">
        <f t="shared" si="10"/>
        <v>0</v>
      </c>
      <c r="AR31" s="693">
        <f t="shared" si="11"/>
        <v>0</v>
      </c>
      <c r="AS31" s="408">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408">
        <f t="shared" si="12"/>
        <v>0</v>
      </c>
      <c r="AU31" s="408" t="str">
        <f t="shared" si="13"/>
        <v/>
      </c>
      <c r="AV31" s="707"/>
      <c r="AW31" s="707"/>
      <c r="AX31" s="707"/>
      <c r="AY31" s="707"/>
      <c r="AZ31" s="707"/>
    </row>
    <row r="32" spans="3:52" s="46" customFormat="1" ht="30" hidden="1" customHeight="1" outlineLevel="1">
      <c r="C32" s="695">
        <v>17</v>
      </c>
      <c r="D32" s="708"/>
      <c r="E32" s="697"/>
      <c r="F32" s="698"/>
      <c r="G32" s="1901"/>
      <c r="H32" s="1902"/>
      <c r="I32" s="699"/>
      <c r="J32" s="700"/>
      <c r="K32" s="701"/>
      <c r="L32" s="702"/>
      <c r="M32" s="702"/>
      <c r="N32" s="702"/>
      <c r="O32" s="702"/>
      <c r="P32" s="1074"/>
      <c r="Q32" s="703"/>
      <c r="R32" s="704"/>
      <c r="S32" s="702"/>
      <c r="T32" s="689"/>
      <c r="U32" s="2"/>
      <c r="V32" s="1082"/>
      <c r="W32" s="690"/>
      <c r="X32" s="2"/>
      <c r="Y32" s="705">
        <f t="shared" si="17"/>
        <v>0</v>
      </c>
      <c r="Z32" s="691">
        <f t="shared" si="14"/>
        <v>0</v>
      </c>
      <c r="AA32" s="691">
        <f t="shared" si="15"/>
        <v>0</v>
      </c>
      <c r="AB32" s="705">
        <f>IF(Y32=0,,VLOOKUP(Y32,リスト!CX:CY,2,0))</f>
        <v>0</v>
      </c>
      <c r="AC32" s="705">
        <f t="shared" si="1"/>
        <v>0</v>
      </c>
      <c r="AD32" s="706">
        <f>IF(AC32=0,,VLOOKUP(AC32,リスト!DK:DL,2,0))</f>
        <v>0</v>
      </c>
      <c r="AE32" s="691">
        <f>IF(Y32=0,,
IF(OR(リスト!$C$21="小麦",リスト!$C$21="二条大麦",リスト!$C$21="六条大麦",リスト!$C$21="はだか麦",リスト!$C$21="なたね"),IF(K32&lt;9,調査年-J32,調査年-J32-1),
IF(リスト!$C$21="さとうきび",IF(K32&gt;=4,調査年-J32,調査年-J32+1),
調査年-J32)))</f>
        <v>0</v>
      </c>
      <c r="AF32" s="408">
        <f t="shared" si="2"/>
        <v>0</v>
      </c>
      <c r="AG32" s="408">
        <f t="shared" si="3"/>
        <v>0</v>
      </c>
      <c r="AH32" s="408">
        <f t="shared" si="4"/>
        <v>0</v>
      </c>
      <c r="AI32" s="408">
        <f t="shared" si="5"/>
        <v>0</v>
      </c>
      <c r="AJ32" s="408">
        <f t="shared" si="6"/>
        <v>0</v>
      </c>
      <c r="AK32" s="408">
        <f t="shared" si="16"/>
        <v>0</v>
      </c>
      <c r="AL32" s="408">
        <f t="shared" si="7"/>
        <v>0</v>
      </c>
      <c r="AM32" s="408">
        <f t="shared" si="8"/>
        <v>0</v>
      </c>
      <c r="AN32" s="417"/>
      <c r="AO32" s="69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3">
        <f t="shared" si="9"/>
        <v>0</v>
      </c>
      <c r="AQ32" s="408">
        <f t="shared" si="10"/>
        <v>0</v>
      </c>
      <c r="AR32" s="693">
        <f t="shared" si="11"/>
        <v>0</v>
      </c>
      <c r="AS32" s="408">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408">
        <f t="shared" si="12"/>
        <v>0</v>
      </c>
      <c r="AU32" s="408" t="str">
        <f t="shared" si="13"/>
        <v/>
      </c>
      <c r="AV32" s="707"/>
      <c r="AW32" s="707"/>
      <c r="AX32" s="707"/>
      <c r="AY32" s="707"/>
      <c r="AZ32" s="707"/>
    </row>
    <row r="33" spans="3:52" s="46" customFormat="1" ht="30" hidden="1" customHeight="1" outlineLevel="1">
      <c r="C33" s="695">
        <v>18</v>
      </c>
      <c r="D33" s="708"/>
      <c r="E33" s="697"/>
      <c r="F33" s="698"/>
      <c r="G33" s="1901"/>
      <c r="H33" s="1902"/>
      <c r="I33" s="699"/>
      <c r="J33" s="700"/>
      <c r="K33" s="701"/>
      <c r="L33" s="702"/>
      <c r="M33" s="702"/>
      <c r="N33" s="702"/>
      <c r="O33" s="702"/>
      <c r="P33" s="1074"/>
      <c r="Q33" s="703"/>
      <c r="R33" s="704"/>
      <c r="S33" s="702"/>
      <c r="T33" s="689"/>
      <c r="U33" s="2"/>
      <c r="V33" s="1082"/>
      <c r="W33" s="690"/>
      <c r="X33" s="2"/>
      <c r="Y33" s="705">
        <f t="shared" si="17"/>
        <v>0</v>
      </c>
      <c r="Z33" s="691">
        <f t="shared" si="14"/>
        <v>0</v>
      </c>
      <c r="AA33" s="691">
        <f t="shared" si="15"/>
        <v>0</v>
      </c>
      <c r="AB33" s="705">
        <f>IF(Y33=0,,VLOOKUP(Y33,リスト!CX:CY,2,0))</f>
        <v>0</v>
      </c>
      <c r="AC33" s="705">
        <f t="shared" si="1"/>
        <v>0</v>
      </c>
      <c r="AD33" s="706">
        <f>IF(AC33=0,,VLOOKUP(AC33,リスト!DK:DL,2,0))</f>
        <v>0</v>
      </c>
      <c r="AE33" s="691">
        <f>IF(Y33=0,,
IF(OR(リスト!$C$21="小麦",リスト!$C$21="二条大麦",リスト!$C$21="六条大麦",リスト!$C$21="はだか麦",リスト!$C$21="なたね"),IF(K33&lt;9,調査年-J33,調査年-J33-1),
IF(リスト!$C$21="さとうきび",IF(K33&gt;=4,調査年-J33,調査年-J33+1),
調査年-J33)))</f>
        <v>0</v>
      </c>
      <c r="AF33" s="408">
        <f t="shared" si="2"/>
        <v>0</v>
      </c>
      <c r="AG33" s="408">
        <f t="shared" si="3"/>
        <v>0</v>
      </c>
      <c r="AH33" s="408">
        <f t="shared" si="4"/>
        <v>0</v>
      </c>
      <c r="AI33" s="408">
        <f t="shared" si="5"/>
        <v>0</v>
      </c>
      <c r="AJ33" s="408">
        <f t="shared" si="6"/>
        <v>0</v>
      </c>
      <c r="AK33" s="408">
        <f t="shared" si="16"/>
        <v>0</v>
      </c>
      <c r="AL33" s="408">
        <f t="shared" si="7"/>
        <v>0</v>
      </c>
      <c r="AM33" s="408">
        <f t="shared" si="8"/>
        <v>0</v>
      </c>
      <c r="AN33" s="417"/>
      <c r="AO33" s="69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3">
        <f t="shared" si="9"/>
        <v>0</v>
      </c>
      <c r="AQ33" s="408">
        <f t="shared" si="10"/>
        <v>0</v>
      </c>
      <c r="AR33" s="693">
        <f t="shared" si="11"/>
        <v>0</v>
      </c>
      <c r="AS33" s="408">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408">
        <f t="shared" si="12"/>
        <v>0</v>
      </c>
      <c r="AU33" s="408" t="str">
        <f t="shared" si="13"/>
        <v/>
      </c>
      <c r="AV33" s="707"/>
      <c r="AW33" s="707"/>
      <c r="AX33" s="707"/>
      <c r="AY33" s="707"/>
      <c r="AZ33" s="707"/>
    </row>
    <row r="34" spans="3:52" s="46" customFormat="1" ht="30" hidden="1" customHeight="1" outlineLevel="1">
      <c r="C34" s="695">
        <v>19</v>
      </c>
      <c r="D34" s="708"/>
      <c r="E34" s="697"/>
      <c r="F34" s="698"/>
      <c r="G34" s="1901"/>
      <c r="H34" s="1902"/>
      <c r="I34" s="699"/>
      <c r="J34" s="700"/>
      <c r="K34" s="701"/>
      <c r="L34" s="702"/>
      <c r="M34" s="702"/>
      <c r="N34" s="702"/>
      <c r="O34" s="702"/>
      <c r="P34" s="1074"/>
      <c r="Q34" s="703"/>
      <c r="R34" s="704"/>
      <c r="S34" s="702"/>
      <c r="T34" s="689"/>
      <c r="U34" s="2"/>
      <c r="V34" s="1082"/>
      <c r="W34" s="690"/>
      <c r="X34" s="2"/>
      <c r="Y34" s="705">
        <f t="shared" si="17"/>
        <v>0</v>
      </c>
      <c r="Z34" s="691">
        <f t="shared" si="14"/>
        <v>0</v>
      </c>
      <c r="AA34" s="691">
        <f t="shared" si="15"/>
        <v>0</v>
      </c>
      <c r="AB34" s="705">
        <f>IF(Y34=0,,VLOOKUP(Y34,リスト!CX:CY,2,0))</f>
        <v>0</v>
      </c>
      <c r="AC34" s="705">
        <f t="shared" si="1"/>
        <v>0</v>
      </c>
      <c r="AD34" s="706">
        <f>IF(AC34=0,,VLOOKUP(AC34,リスト!DK:DL,2,0))</f>
        <v>0</v>
      </c>
      <c r="AE34" s="691">
        <f>IF(Y34=0,,
IF(OR(リスト!$C$21="小麦",リスト!$C$21="二条大麦",リスト!$C$21="六条大麦",リスト!$C$21="はだか麦",リスト!$C$21="なたね"),IF(K34&lt;9,調査年-J34,調査年-J34-1),
IF(リスト!$C$21="さとうきび",IF(K34&gt;=4,調査年-J34,調査年-J34+1),
調査年-J34)))</f>
        <v>0</v>
      </c>
      <c r="AF34" s="408">
        <f t="shared" si="2"/>
        <v>0</v>
      </c>
      <c r="AG34" s="408">
        <f t="shared" si="3"/>
        <v>0</v>
      </c>
      <c r="AH34" s="408">
        <f t="shared" si="4"/>
        <v>0</v>
      </c>
      <c r="AI34" s="408">
        <f t="shared" si="5"/>
        <v>0</v>
      </c>
      <c r="AJ34" s="408">
        <f t="shared" si="6"/>
        <v>0</v>
      </c>
      <c r="AK34" s="408">
        <f t="shared" si="16"/>
        <v>0</v>
      </c>
      <c r="AL34" s="408">
        <f t="shared" si="7"/>
        <v>0</v>
      </c>
      <c r="AM34" s="408">
        <f t="shared" si="8"/>
        <v>0</v>
      </c>
      <c r="AN34" s="417"/>
      <c r="AO34" s="69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3">
        <f t="shared" si="9"/>
        <v>0</v>
      </c>
      <c r="AQ34" s="408">
        <f t="shared" si="10"/>
        <v>0</v>
      </c>
      <c r="AR34" s="693">
        <f t="shared" si="11"/>
        <v>0</v>
      </c>
      <c r="AS34" s="408">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408">
        <f t="shared" si="12"/>
        <v>0</v>
      </c>
      <c r="AU34" s="408" t="str">
        <f t="shared" si="13"/>
        <v/>
      </c>
      <c r="AV34" s="707"/>
      <c r="AW34" s="707"/>
      <c r="AX34" s="707"/>
      <c r="AY34" s="707"/>
      <c r="AZ34" s="707"/>
    </row>
    <row r="35" spans="3:52" s="46" customFormat="1" ht="30" hidden="1" customHeight="1" outlineLevel="1">
      <c r="C35" s="695">
        <v>20</v>
      </c>
      <c r="D35" s="708"/>
      <c r="E35" s="697"/>
      <c r="F35" s="698"/>
      <c r="G35" s="1901"/>
      <c r="H35" s="1902"/>
      <c r="I35" s="699"/>
      <c r="J35" s="700"/>
      <c r="K35" s="701"/>
      <c r="L35" s="702"/>
      <c r="M35" s="702"/>
      <c r="N35" s="702"/>
      <c r="O35" s="702"/>
      <c r="P35" s="1074"/>
      <c r="Q35" s="703"/>
      <c r="R35" s="704"/>
      <c r="S35" s="702"/>
      <c r="T35" s="689"/>
      <c r="U35" s="2"/>
      <c r="V35" s="1082"/>
      <c r="W35" s="690"/>
      <c r="X35" s="2"/>
      <c r="Y35" s="705">
        <f t="shared" si="17"/>
        <v>0</v>
      </c>
      <c r="Z35" s="691">
        <f t="shared" si="14"/>
        <v>0</v>
      </c>
      <c r="AA35" s="691">
        <f t="shared" si="15"/>
        <v>0</v>
      </c>
      <c r="AB35" s="705">
        <f>IF(Y35=0,,VLOOKUP(Y35,リスト!CX:CY,2,0))</f>
        <v>0</v>
      </c>
      <c r="AC35" s="705">
        <f t="shared" si="1"/>
        <v>0</v>
      </c>
      <c r="AD35" s="706">
        <f>IF(AC35=0,,VLOOKUP(AC35,リスト!DK:DL,2,0))</f>
        <v>0</v>
      </c>
      <c r="AE35" s="691">
        <f>IF(Y35=0,,
IF(OR(リスト!$C$21="小麦",リスト!$C$21="二条大麦",リスト!$C$21="六条大麦",リスト!$C$21="はだか麦",リスト!$C$21="なたね"),IF(K35&lt;9,調査年-J35,調査年-J35-1),
IF(リスト!$C$21="さとうきび",IF(K35&gt;=4,調査年-J35,調査年-J35+1),
調査年-J35)))</f>
        <v>0</v>
      </c>
      <c r="AF35" s="408">
        <f t="shared" si="2"/>
        <v>0</v>
      </c>
      <c r="AG35" s="408">
        <f t="shared" si="3"/>
        <v>0</v>
      </c>
      <c r="AH35" s="408">
        <f t="shared" si="4"/>
        <v>0</v>
      </c>
      <c r="AI35" s="408">
        <f t="shared" si="5"/>
        <v>0</v>
      </c>
      <c r="AJ35" s="408">
        <f t="shared" si="6"/>
        <v>0</v>
      </c>
      <c r="AK35" s="408">
        <f t="shared" si="16"/>
        <v>0</v>
      </c>
      <c r="AL35" s="408">
        <f t="shared" si="7"/>
        <v>0</v>
      </c>
      <c r="AM35" s="408">
        <f t="shared" si="8"/>
        <v>0</v>
      </c>
      <c r="AN35" s="417"/>
      <c r="AO35" s="69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3">
        <f t="shared" si="9"/>
        <v>0</v>
      </c>
      <c r="AQ35" s="408">
        <f t="shared" si="10"/>
        <v>0</v>
      </c>
      <c r="AR35" s="693">
        <f t="shared" si="11"/>
        <v>0</v>
      </c>
      <c r="AS35" s="408">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408">
        <f t="shared" si="12"/>
        <v>0</v>
      </c>
      <c r="AU35" s="408" t="str">
        <f t="shared" si="13"/>
        <v/>
      </c>
      <c r="AV35" s="707"/>
      <c r="AW35" s="707"/>
      <c r="AX35" s="707"/>
      <c r="AY35" s="707"/>
      <c r="AZ35" s="707"/>
    </row>
    <row r="36" spans="3:52" s="46" customFormat="1" ht="30" hidden="1" customHeight="1" outlineLevel="1">
      <c r="C36" s="695">
        <v>21</v>
      </c>
      <c r="D36" s="708"/>
      <c r="E36" s="697"/>
      <c r="F36" s="698"/>
      <c r="G36" s="1901"/>
      <c r="H36" s="1902"/>
      <c r="I36" s="699"/>
      <c r="J36" s="700"/>
      <c r="K36" s="701"/>
      <c r="L36" s="702"/>
      <c r="M36" s="702"/>
      <c r="N36" s="702"/>
      <c r="O36" s="702"/>
      <c r="P36" s="1074"/>
      <c r="Q36" s="703"/>
      <c r="R36" s="704"/>
      <c r="S36" s="702"/>
      <c r="T36" s="689"/>
      <c r="U36" s="2"/>
      <c r="V36" s="1082"/>
      <c r="W36" s="690"/>
      <c r="X36" s="2"/>
      <c r="Y36" s="705">
        <f t="shared" si="17"/>
        <v>0</v>
      </c>
      <c r="Z36" s="691">
        <f t="shared" si="14"/>
        <v>0</v>
      </c>
      <c r="AA36" s="691">
        <f t="shared" si="15"/>
        <v>0</v>
      </c>
      <c r="AB36" s="705">
        <f>IF(Y36=0,,VLOOKUP(Y36,リスト!CX:CY,2,0))</f>
        <v>0</v>
      </c>
      <c r="AC36" s="705">
        <f t="shared" si="1"/>
        <v>0</v>
      </c>
      <c r="AD36" s="706">
        <f>IF(AC36=0,,VLOOKUP(AC36,リスト!DK:DL,2,0))</f>
        <v>0</v>
      </c>
      <c r="AE36" s="691">
        <f>IF(Y36=0,,
IF(OR(リスト!$C$21="小麦",リスト!$C$21="二条大麦",リスト!$C$21="六条大麦",リスト!$C$21="はだか麦",リスト!$C$21="なたね"),IF(K36&lt;9,調査年-J36,調査年-J36-1),
IF(リスト!$C$21="さとうきび",IF(K36&gt;=4,調査年-J36,調査年-J36+1),
調査年-J36)))</f>
        <v>0</v>
      </c>
      <c r="AF36" s="408">
        <f t="shared" si="2"/>
        <v>0</v>
      </c>
      <c r="AG36" s="408">
        <f t="shared" si="3"/>
        <v>0</v>
      </c>
      <c r="AH36" s="408">
        <f t="shared" si="4"/>
        <v>0</v>
      </c>
      <c r="AI36" s="408">
        <f t="shared" si="5"/>
        <v>0</v>
      </c>
      <c r="AJ36" s="408">
        <f t="shared" si="6"/>
        <v>0</v>
      </c>
      <c r="AK36" s="408">
        <f t="shared" si="16"/>
        <v>0</v>
      </c>
      <c r="AL36" s="408">
        <f t="shared" si="7"/>
        <v>0</v>
      </c>
      <c r="AM36" s="408">
        <f t="shared" si="8"/>
        <v>0</v>
      </c>
      <c r="AN36" s="417"/>
      <c r="AO36" s="69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3">
        <f t="shared" si="9"/>
        <v>0</v>
      </c>
      <c r="AQ36" s="408">
        <f t="shared" si="10"/>
        <v>0</v>
      </c>
      <c r="AR36" s="693">
        <f t="shared" si="11"/>
        <v>0</v>
      </c>
      <c r="AS36" s="408">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408">
        <f t="shared" si="12"/>
        <v>0</v>
      </c>
      <c r="AU36" s="408" t="str">
        <f t="shared" si="13"/>
        <v/>
      </c>
      <c r="AV36" s="707"/>
      <c r="AW36" s="707"/>
      <c r="AX36" s="707"/>
      <c r="AY36" s="707"/>
      <c r="AZ36" s="707"/>
    </row>
    <row r="37" spans="3:52" s="46" customFormat="1" ht="30" hidden="1" customHeight="1" outlineLevel="1">
      <c r="C37" s="695">
        <v>22</v>
      </c>
      <c r="D37" s="708"/>
      <c r="E37" s="697"/>
      <c r="F37" s="698"/>
      <c r="G37" s="1901"/>
      <c r="H37" s="1902"/>
      <c r="I37" s="699"/>
      <c r="J37" s="700"/>
      <c r="K37" s="701"/>
      <c r="L37" s="702"/>
      <c r="M37" s="702"/>
      <c r="N37" s="702"/>
      <c r="O37" s="702"/>
      <c r="P37" s="1074"/>
      <c r="Q37" s="703"/>
      <c r="R37" s="704"/>
      <c r="S37" s="702"/>
      <c r="T37" s="689"/>
      <c r="U37" s="2"/>
      <c r="V37" s="1082"/>
      <c r="W37" s="690"/>
      <c r="X37" s="2"/>
      <c r="Y37" s="705">
        <f t="shared" si="17"/>
        <v>0</v>
      </c>
      <c r="Z37" s="691">
        <f t="shared" si="14"/>
        <v>0</v>
      </c>
      <c r="AA37" s="691">
        <f t="shared" si="15"/>
        <v>0</v>
      </c>
      <c r="AB37" s="705">
        <f>IF(Y37=0,,VLOOKUP(Y37,リスト!CX:CY,2,0))</f>
        <v>0</v>
      </c>
      <c r="AC37" s="705">
        <f t="shared" si="1"/>
        <v>0</v>
      </c>
      <c r="AD37" s="706">
        <f>IF(AC37=0,,VLOOKUP(AC37,リスト!DK:DL,2,0))</f>
        <v>0</v>
      </c>
      <c r="AE37" s="691">
        <f>IF(Y37=0,,
IF(OR(リスト!$C$21="小麦",リスト!$C$21="二条大麦",リスト!$C$21="六条大麦",リスト!$C$21="はだか麦",リスト!$C$21="なたね"),IF(K37&lt;9,調査年-J37,調査年-J37-1),
IF(リスト!$C$21="さとうきび",IF(K37&gt;=4,調査年-J37,調査年-J37+1),
調査年-J37)))</f>
        <v>0</v>
      </c>
      <c r="AF37" s="408">
        <f t="shared" si="2"/>
        <v>0</v>
      </c>
      <c r="AG37" s="408">
        <f t="shared" si="3"/>
        <v>0</v>
      </c>
      <c r="AH37" s="408">
        <f t="shared" si="4"/>
        <v>0</v>
      </c>
      <c r="AI37" s="408">
        <f t="shared" si="5"/>
        <v>0</v>
      </c>
      <c r="AJ37" s="408">
        <f t="shared" si="6"/>
        <v>0</v>
      </c>
      <c r="AK37" s="408">
        <f t="shared" si="16"/>
        <v>0</v>
      </c>
      <c r="AL37" s="408">
        <f t="shared" si="7"/>
        <v>0</v>
      </c>
      <c r="AM37" s="408">
        <f t="shared" si="8"/>
        <v>0</v>
      </c>
      <c r="AN37" s="417"/>
      <c r="AO37" s="69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3">
        <f t="shared" si="9"/>
        <v>0</v>
      </c>
      <c r="AQ37" s="408">
        <f t="shared" si="10"/>
        <v>0</v>
      </c>
      <c r="AR37" s="693">
        <f t="shared" si="11"/>
        <v>0</v>
      </c>
      <c r="AS37" s="408">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408">
        <f t="shared" si="12"/>
        <v>0</v>
      </c>
      <c r="AU37" s="408" t="str">
        <f t="shared" si="13"/>
        <v/>
      </c>
      <c r="AV37" s="707"/>
      <c r="AW37" s="707"/>
      <c r="AX37" s="707"/>
      <c r="AY37" s="707"/>
      <c r="AZ37" s="707"/>
    </row>
    <row r="38" spans="3:52" s="46" customFormat="1" ht="30" hidden="1" customHeight="1" outlineLevel="1">
      <c r="C38" s="695">
        <v>23</v>
      </c>
      <c r="D38" s="708"/>
      <c r="E38" s="697"/>
      <c r="F38" s="698"/>
      <c r="G38" s="1901"/>
      <c r="H38" s="1902"/>
      <c r="I38" s="699"/>
      <c r="J38" s="700"/>
      <c r="K38" s="701"/>
      <c r="L38" s="702"/>
      <c r="M38" s="702"/>
      <c r="N38" s="702"/>
      <c r="O38" s="702"/>
      <c r="P38" s="1074"/>
      <c r="Q38" s="703"/>
      <c r="R38" s="704"/>
      <c r="S38" s="702"/>
      <c r="T38" s="689"/>
      <c r="U38" s="2"/>
      <c r="V38" s="1082"/>
      <c r="W38" s="690"/>
      <c r="X38" s="2"/>
      <c r="Y38" s="705">
        <f t="shared" si="17"/>
        <v>0</v>
      </c>
      <c r="Z38" s="691">
        <f t="shared" si="14"/>
        <v>0</v>
      </c>
      <c r="AA38" s="691">
        <f t="shared" si="15"/>
        <v>0</v>
      </c>
      <c r="AB38" s="705">
        <f>IF(Y38=0,,VLOOKUP(Y38,リスト!CX:CY,2,0))</f>
        <v>0</v>
      </c>
      <c r="AC38" s="705">
        <f t="shared" si="1"/>
        <v>0</v>
      </c>
      <c r="AD38" s="706">
        <f>IF(AC38=0,,VLOOKUP(AC38,リスト!DK:DL,2,0))</f>
        <v>0</v>
      </c>
      <c r="AE38" s="691">
        <f>IF(Y38=0,,
IF(OR(リスト!$C$21="小麦",リスト!$C$21="二条大麦",リスト!$C$21="六条大麦",リスト!$C$21="はだか麦",リスト!$C$21="なたね"),IF(K38&lt;9,調査年-J38,調査年-J38-1),
IF(リスト!$C$21="さとうきび",IF(K38&gt;=4,調査年-J38,調査年-J38+1),
調査年-J38)))</f>
        <v>0</v>
      </c>
      <c r="AF38" s="408">
        <f t="shared" si="2"/>
        <v>0</v>
      </c>
      <c r="AG38" s="408">
        <f t="shared" si="3"/>
        <v>0</v>
      </c>
      <c r="AH38" s="408">
        <f t="shared" si="4"/>
        <v>0</v>
      </c>
      <c r="AI38" s="408">
        <f t="shared" si="5"/>
        <v>0</v>
      </c>
      <c r="AJ38" s="408">
        <f t="shared" si="6"/>
        <v>0</v>
      </c>
      <c r="AK38" s="408">
        <f t="shared" si="16"/>
        <v>0</v>
      </c>
      <c r="AL38" s="408">
        <f t="shared" si="7"/>
        <v>0</v>
      </c>
      <c r="AM38" s="408">
        <f t="shared" si="8"/>
        <v>0</v>
      </c>
      <c r="AN38" s="417"/>
      <c r="AO38" s="69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3">
        <f t="shared" si="9"/>
        <v>0</v>
      </c>
      <c r="AQ38" s="408">
        <f t="shared" si="10"/>
        <v>0</v>
      </c>
      <c r="AR38" s="693">
        <f t="shared" si="11"/>
        <v>0</v>
      </c>
      <c r="AS38" s="408">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408">
        <f t="shared" si="12"/>
        <v>0</v>
      </c>
      <c r="AU38" s="408" t="str">
        <f t="shared" si="13"/>
        <v/>
      </c>
      <c r="AV38" s="707"/>
      <c r="AW38" s="707"/>
      <c r="AX38" s="707"/>
      <c r="AY38" s="707"/>
      <c r="AZ38" s="707"/>
    </row>
    <row r="39" spans="3:52" s="46" customFormat="1" ht="30" hidden="1" customHeight="1" outlineLevel="1">
      <c r="C39" s="695">
        <v>24</v>
      </c>
      <c r="D39" s="708"/>
      <c r="E39" s="697"/>
      <c r="F39" s="698"/>
      <c r="G39" s="1901"/>
      <c r="H39" s="1902"/>
      <c r="I39" s="699"/>
      <c r="J39" s="700"/>
      <c r="K39" s="701"/>
      <c r="L39" s="702"/>
      <c r="M39" s="702"/>
      <c r="N39" s="702"/>
      <c r="O39" s="702"/>
      <c r="P39" s="1074"/>
      <c r="Q39" s="703"/>
      <c r="R39" s="704"/>
      <c r="S39" s="702"/>
      <c r="T39" s="689"/>
      <c r="U39" s="2"/>
      <c r="V39" s="1082"/>
      <c r="W39" s="690"/>
      <c r="X39" s="2"/>
      <c r="Y39" s="705">
        <f t="shared" si="17"/>
        <v>0</v>
      </c>
      <c r="Z39" s="691">
        <f t="shared" si="14"/>
        <v>0</v>
      </c>
      <c r="AA39" s="691">
        <f t="shared" si="15"/>
        <v>0</v>
      </c>
      <c r="AB39" s="705">
        <f>IF(Y39=0,,VLOOKUP(Y39,リスト!CX:CY,2,0))</f>
        <v>0</v>
      </c>
      <c r="AC39" s="705">
        <f t="shared" si="1"/>
        <v>0</v>
      </c>
      <c r="AD39" s="706">
        <f>IF(AC39=0,,VLOOKUP(AC39,リスト!DK:DL,2,0))</f>
        <v>0</v>
      </c>
      <c r="AE39" s="691">
        <f>IF(Y39=0,,
IF(OR(リスト!$C$21="小麦",リスト!$C$21="二条大麦",リスト!$C$21="六条大麦",リスト!$C$21="はだか麦",リスト!$C$21="なたね"),IF(K39&lt;9,調査年-J39,調査年-J39-1),
IF(リスト!$C$21="さとうきび",IF(K39&gt;=4,調査年-J39,調査年-J39+1),
調査年-J39)))</f>
        <v>0</v>
      </c>
      <c r="AF39" s="408">
        <f t="shared" si="2"/>
        <v>0</v>
      </c>
      <c r="AG39" s="408">
        <f t="shared" si="3"/>
        <v>0</v>
      </c>
      <c r="AH39" s="408">
        <f t="shared" si="4"/>
        <v>0</v>
      </c>
      <c r="AI39" s="408">
        <f t="shared" si="5"/>
        <v>0</v>
      </c>
      <c r="AJ39" s="408">
        <f t="shared" si="6"/>
        <v>0</v>
      </c>
      <c r="AK39" s="408">
        <f t="shared" si="16"/>
        <v>0</v>
      </c>
      <c r="AL39" s="408">
        <f t="shared" si="7"/>
        <v>0</v>
      </c>
      <c r="AM39" s="408">
        <f t="shared" si="8"/>
        <v>0</v>
      </c>
      <c r="AN39" s="417"/>
      <c r="AO39" s="69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3">
        <f t="shared" si="9"/>
        <v>0</v>
      </c>
      <c r="AQ39" s="408">
        <f t="shared" si="10"/>
        <v>0</v>
      </c>
      <c r="AR39" s="693">
        <f t="shared" si="11"/>
        <v>0</v>
      </c>
      <c r="AS39" s="408">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408">
        <f t="shared" si="12"/>
        <v>0</v>
      </c>
      <c r="AU39" s="408" t="str">
        <f t="shared" si="13"/>
        <v/>
      </c>
      <c r="AV39" s="707"/>
      <c r="AW39" s="707"/>
      <c r="AX39" s="707"/>
      <c r="AY39" s="707"/>
      <c r="AZ39" s="707"/>
    </row>
    <row r="40" spans="3:52" s="46" customFormat="1" ht="30" hidden="1" customHeight="1" outlineLevel="1">
      <c r="C40" s="695">
        <v>25</v>
      </c>
      <c r="D40" s="708"/>
      <c r="E40" s="697"/>
      <c r="F40" s="698"/>
      <c r="G40" s="1901"/>
      <c r="H40" s="1902"/>
      <c r="I40" s="699"/>
      <c r="J40" s="700"/>
      <c r="K40" s="701"/>
      <c r="L40" s="702"/>
      <c r="M40" s="702"/>
      <c r="N40" s="702"/>
      <c r="O40" s="702"/>
      <c r="P40" s="1074"/>
      <c r="Q40" s="703"/>
      <c r="R40" s="704"/>
      <c r="S40" s="702"/>
      <c r="T40" s="689"/>
      <c r="U40" s="2"/>
      <c r="V40" s="1082"/>
      <c r="W40" s="690"/>
      <c r="X40" s="2"/>
      <c r="Y40" s="705">
        <f t="shared" si="17"/>
        <v>0</v>
      </c>
      <c r="Z40" s="691">
        <f t="shared" si="14"/>
        <v>0</v>
      </c>
      <c r="AA40" s="691">
        <f t="shared" si="15"/>
        <v>0</v>
      </c>
      <c r="AB40" s="705">
        <f>IF(Y40=0,,VLOOKUP(Y40,リスト!CX:CY,2,0))</f>
        <v>0</v>
      </c>
      <c r="AC40" s="705">
        <f t="shared" si="1"/>
        <v>0</v>
      </c>
      <c r="AD40" s="706">
        <f>IF(AC40=0,,VLOOKUP(AC40,リスト!DK:DL,2,0))</f>
        <v>0</v>
      </c>
      <c r="AE40" s="691">
        <f>IF(Y40=0,,
IF(OR(リスト!$C$21="小麦",リスト!$C$21="二条大麦",リスト!$C$21="六条大麦",リスト!$C$21="はだか麦",リスト!$C$21="なたね"),IF(K40&lt;9,調査年-J40,調査年-J40-1),
IF(リスト!$C$21="さとうきび",IF(K40&gt;=4,調査年-J40,調査年-J40+1),
調査年-J40)))</f>
        <v>0</v>
      </c>
      <c r="AF40" s="408">
        <f t="shared" si="2"/>
        <v>0</v>
      </c>
      <c r="AG40" s="408">
        <f t="shared" si="3"/>
        <v>0</v>
      </c>
      <c r="AH40" s="408">
        <f t="shared" si="4"/>
        <v>0</v>
      </c>
      <c r="AI40" s="408">
        <f t="shared" si="5"/>
        <v>0</v>
      </c>
      <c r="AJ40" s="408">
        <f t="shared" si="6"/>
        <v>0</v>
      </c>
      <c r="AK40" s="408">
        <f t="shared" si="16"/>
        <v>0</v>
      </c>
      <c r="AL40" s="408">
        <f t="shared" si="7"/>
        <v>0</v>
      </c>
      <c r="AM40" s="408">
        <f t="shared" si="8"/>
        <v>0</v>
      </c>
      <c r="AN40" s="417"/>
      <c r="AO40" s="69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3">
        <f t="shared" si="9"/>
        <v>0</v>
      </c>
      <c r="AQ40" s="408">
        <f t="shared" si="10"/>
        <v>0</v>
      </c>
      <c r="AR40" s="693">
        <f t="shared" si="11"/>
        <v>0</v>
      </c>
      <c r="AS40" s="408">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408">
        <f t="shared" si="12"/>
        <v>0</v>
      </c>
      <c r="AU40" s="408" t="str">
        <f t="shared" si="13"/>
        <v/>
      </c>
      <c r="AV40" s="707"/>
      <c r="AW40" s="707"/>
      <c r="AX40" s="707"/>
      <c r="AY40" s="707"/>
      <c r="AZ40" s="707"/>
    </row>
    <row r="41" spans="3:52" s="46" customFormat="1" ht="30" hidden="1" customHeight="1" outlineLevel="1">
      <c r="C41" s="695">
        <v>26</v>
      </c>
      <c r="D41" s="708"/>
      <c r="E41" s="697"/>
      <c r="F41" s="698"/>
      <c r="G41" s="1901"/>
      <c r="H41" s="1902"/>
      <c r="I41" s="699"/>
      <c r="J41" s="700"/>
      <c r="K41" s="701"/>
      <c r="L41" s="702"/>
      <c r="M41" s="702"/>
      <c r="N41" s="702"/>
      <c r="O41" s="702"/>
      <c r="P41" s="1074"/>
      <c r="Q41" s="703"/>
      <c r="R41" s="704"/>
      <c r="S41" s="702"/>
      <c r="T41" s="689"/>
      <c r="U41" s="2"/>
      <c r="V41" s="1082"/>
      <c r="W41" s="690"/>
      <c r="X41" s="2"/>
      <c r="Y41" s="705">
        <f t="shared" si="17"/>
        <v>0</v>
      </c>
      <c r="Z41" s="691">
        <f t="shared" si="14"/>
        <v>0</v>
      </c>
      <c r="AA41" s="691">
        <f t="shared" si="15"/>
        <v>0</v>
      </c>
      <c r="AB41" s="705">
        <f>IF(Y41=0,,VLOOKUP(Y41,リスト!CX:CY,2,0))</f>
        <v>0</v>
      </c>
      <c r="AC41" s="705">
        <f t="shared" si="1"/>
        <v>0</v>
      </c>
      <c r="AD41" s="706">
        <f>IF(AC41=0,,VLOOKUP(AC41,リスト!DK:DL,2,0))</f>
        <v>0</v>
      </c>
      <c r="AE41" s="691">
        <f>IF(Y41=0,,
IF(OR(リスト!$C$21="小麦",リスト!$C$21="二条大麦",リスト!$C$21="六条大麦",リスト!$C$21="はだか麦",リスト!$C$21="なたね"),IF(K41&lt;9,調査年-J41,調査年-J41-1),
IF(リスト!$C$21="さとうきび",IF(K41&gt;=4,調査年-J41,調査年-J41+1),
調査年-J41)))</f>
        <v>0</v>
      </c>
      <c r="AF41" s="408">
        <f t="shared" si="2"/>
        <v>0</v>
      </c>
      <c r="AG41" s="408">
        <f t="shared" si="3"/>
        <v>0</v>
      </c>
      <c r="AH41" s="408">
        <f t="shared" si="4"/>
        <v>0</v>
      </c>
      <c r="AI41" s="408">
        <f t="shared" si="5"/>
        <v>0</v>
      </c>
      <c r="AJ41" s="408">
        <f t="shared" si="6"/>
        <v>0</v>
      </c>
      <c r="AK41" s="408">
        <f t="shared" si="16"/>
        <v>0</v>
      </c>
      <c r="AL41" s="408">
        <f t="shared" si="7"/>
        <v>0</v>
      </c>
      <c r="AM41" s="408">
        <f t="shared" si="8"/>
        <v>0</v>
      </c>
      <c r="AN41" s="417"/>
      <c r="AO41" s="69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3">
        <f t="shared" si="9"/>
        <v>0</v>
      </c>
      <c r="AQ41" s="408">
        <f t="shared" si="10"/>
        <v>0</v>
      </c>
      <c r="AR41" s="693">
        <f t="shared" si="11"/>
        <v>0</v>
      </c>
      <c r="AS41" s="408">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408">
        <f t="shared" si="12"/>
        <v>0</v>
      </c>
      <c r="AU41" s="408" t="str">
        <f t="shared" si="13"/>
        <v/>
      </c>
      <c r="AV41" s="707"/>
      <c r="AW41" s="707"/>
      <c r="AX41" s="707"/>
      <c r="AY41" s="707"/>
      <c r="AZ41" s="707"/>
    </row>
    <row r="42" spans="3:52" s="46" customFormat="1" ht="30" hidden="1" customHeight="1" outlineLevel="1">
      <c r="C42" s="695">
        <v>27</v>
      </c>
      <c r="D42" s="708"/>
      <c r="E42" s="697"/>
      <c r="F42" s="698"/>
      <c r="G42" s="1901"/>
      <c r="H42" s="1902"/>
      <c r="I42" s="699"/>
      <c r="J42" s="700"/>
      <c r="K42" s="701"/>
      <c r="L42" s="702"/>
      <c r="M42" s="702"/>
      <c r="N42" s="702"/>
      <c r="O42" s="702"/>
      <c r="P42" s="1074"/>
      <c r="Q42" s="703"/>
      <c r="R42" s="704"/>
      <c r="S42" s="702"/>
      <c r="T42" s="689"/>
      <c r="U42" s="2"/>
      <c r="V42" s="1082"/>
      <c r="W42" s="690"/>
      <c r="X42" s="2"/>
      <c r="Y42" s="705">
        <f t="shared" si="17"/>
        <v>0</v>
      </c>
      <c r="Z42" s="691">
        <f t="shared" si="14"/>
        <v>0</v>
      </c>
      <c r="AA42" s="691">
        <f t="shared" si="15"/>
        <v>0</v>
      </c>
      <c r="AB42" s="705">
        <f>IF(Y42=0,,VLOOKUP(Y42,リスト!CX:CY,2,0))</f>
        <v>0</v>
      </c>
      <c r="AC42" s="705">
        <f t="shared" si="1"/>
        <v>0</v>
      </c>
      <c r="AD42" s="706">
        <f>IF(AC42=0,,VLOOKUP(AC42,リスト!DK:DL,2,0))</f>
        <v>0</v>
      </c>
      <c r="AE42" s="691">
        <f>IF(Y42=0,,
IF(OR(リスト!$C$21="小麦",リスト!$C$21="二条大麦",リスト!$C$21="六条大麦",リスト!$C$21="はだか麦",リスト!$C$21="なたね"),IF(K42&lt;9,調査年-J42,調査年-J42-1),
IF(リスト!$C$21="さとうきび",IF(K42&gt;=4,調査年-J42,調査年-J42+1),
調査年-J42)))</f>
        <v>0</v>
      </c>
      <c r="AF42" s="408">
        <f t="shared" si="2"/>
        <v>0</v>
      </c>
      <c r="AG42" s="408">
        <f t="shared" si="3"/>
        <v>0</v>
      </c>
      <c r="AH42" s="408">
        <f t="shared" si="4"/>
        <v>0</v>
      </c>
      <c r="AI42" s="408">
        <f t="shared" si="5"/>
        <v>0</v>
      </c>
      <c r="AJ42" s="408">
        <f t="shared" si="6"/>
        <v>0</v>
      </c>
      <c r="AK42" s="408">
        <f t="shared" si="16"/>
        <v>0</v>
      </c>
      <c r="AL42" s="408">
        <f t="shared" si="7"/>
        <v>0</v>
      </c>
      <c r="AM42" s="408">
        <f t="shared" si="8"/>
        <v>0</v>
      </c>
      <c r="AN42" s="417"/>
      <c r="AO42" s="69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3">
        <f t="shared" si="9"/>
        <v>0</v>
      </c>
      <c r="AQ42" s="408">
        <f t="shared" si="10"/>
        <v>0</v>
      </c>
      <c r="AR42" s="693">
        <f t="shared" si="11"/>
        <v>0</v>
      </c>
      <c r="AS42" s="408">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408">
        <f t="shared" si="12"/>
        <v>0</v>
      </c>
      <c r="AU42" s="408" t="str">
        <f t="shared" si="13"/>
        <v/>
      </c>
      <c r="AV42" s="707"/>
      <c r="AW42" s="707"/>
      <c r="AX42" s="707"/>
      <c r="AY42" s="707"/>
      <c r="AZ42" s="707"/>
    </row>
    <row r="43" spans="3:52" s="46" customFormat="1" ht="30" hidden="1" customHeight="1" outlineLevel="1">
      <c r="C43" s="695">
        <v>28</v>
      </c>
      <c r="D43" s="708"/>
      <c r="E43" s="697"/>
      <c r="F43" s="698"/>
      <c r="G43" s="1901"/>
      <c r="H43" s="1902"/>
      <c r="I43" s="699"/>
      <c r="J43" s="700"/>
      <c r="K43" s="701"/>
      <c r="L43" s="702"/>
      <c r="M43" s="702"/>
      <c r="N43" s="702"/>
      <c r="O43" s="702"/>
      <c r="P43" s="1074"/>
      <c r="Q43" s="703"/>
      <c r="R43" s="704"/>
      <c r="S43" s="702"/>
      <c r="T43" s="689"/>
      <c r="U43" s="2"/>
      <c r="V43" s="1082"/>
      <c r="W43" s="690"/>
      <c r="X43" s="2"/>
      <c r="Y43" s="705">
        <f t="shared" si="17"/>
        <v>0</v>
      </c>
      <c r="Z43" s="691">
        <f t="shared" si="14"/>
        <v>0</v>
      </c>
      <c r="AA43" s="691">
        <f t="shared" si="15"/>
        <v>0</v>
      </c>
      <c r="AB43" s="705">
        <f>IF(Y43=0,,VLOOKUP(Y43,リスト!CX:CY,2,0))</f>
        <v>0</v>
      </c>
      <c r="AC43" s="705">
        <f t="shared" si="1"/>
        <v>0</v>
      </c>
      <c r="AD43" s="706">
        <f>IF(AC43=0,,VLOOKUP(AC43,リスト!DK:DL,2,0))</f>
        <v>0</v>
      </c>
      <c r="AE43" s="691">
        <f>IF(Y43=0,,
IF(OR(リスト!$C$21="小麦",リスト!$C$21="二条大麦",リスト!$C$21="六条大麦",リスト!$C$21="はだか麦",リスト!$C$21="なたね"),IF(K43&lt;9,調査年-J43,調査年-J43-1),
IF(リスト!$C$21="さとうきび",IF(K43&gt;=4,調査年-J43,調査年-J43+1),
調査年-J43)))</f>
        <v>0</v>
      </c>
      <c r="AF43" s="408">
        <f t="shared" si="2"/>
        <v>0</v>
      </c>
      <c r="AG43" s="408">
        <f t="shared" si="3"/>
        <v>0</v>
      </c>
      <c r="AH43" s="408">
        <f t="shared" si="4"/>
        <v>0</v>
      </c>
      <c r="AI43" s="408">
        <f t="shared" si="5"/>
        <v>0</v>
      </c>
      <c r="AJ43" s="408">
        <f t="shared" si="6"/>
        <v>0</v>
      </c>
      <c r="AK43" s="408">
        <f t="shared" si="16"/>
        <v>0</v>
      </c>
      <c r="AL43" s="408">
        <f t="shared" si="7"/>
        <v>0</v>
      </c>
      <c r="AM43" s="408">
        <f t="shared" si="8"/>
        <v>0</v>
      </c>
      <c r="AN43" s="417"/>
      <c r="AO43" s="69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3">
        <f t="shared" si="9"/>
        <v>0</v>
      </c>
      <c r="AQ43" s="408">
        <f t="shared" si="10"/>
        <v>0</v>
      </c>
      <c r="AR43" s="693">
        <f t="shared" si="11"/>
        <v>0</v>
      </c>
      <c r="AS43" s="408">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408">
        <f t="shared" si="12"/>
        <v>0</v>
      </c>
      <c r="AU43" s="408" t="str">
        <f t="shared" si="13"/>
        <v/>
      </c>
      <c r="AV43" s="707"/>
      <c r="AW43" s="707"/>
      <c r="AX43" s="707"/>
      <c r="AY43" s="707"/>
      <c r="AZ43" s="707"/>
    </row>
    <row r="44" spans="3:52" s="46" customFormat="1" ht="30" hidden="1" customHeight="1" outlineLevel="1">
      <c r="C44" s="695">
        <v>29</v>
      </c>
      <c r="D44" s="708"/>
      <c r="E44" s="697"/>
      <c r="F44" s="698"/>
      <c r="G44" s="1901"/>
      <c r="H44" s="1902"/>
      <c r="I44" s="699"/>
      <c r="J44" s="700"/>
      <c r="K44" s="701"/>
      <c r="L44" s="702"/>
      <c r="M44" s="702"/>
      <c r="N44" s="702"/>
      <c r="O44" s="702"/>
      <c r="P44" s="1074"/>
      <c r="Q44" s="703"/>
      <c r="R44" s="704"/>
      <c r="S44" s="702"/>
      <c r="T44" s="689"/>
      <c r="U44" s="2"/>
      <c r="V44" s="1082"/>
      <c r="W44" s="690"/>
      <c r="X44" s="2"/>
      <c r="Y44" s="705">
        <f t="shared" si="17"/>
        <v>0</v>
      </c>
      <c r="Z44" s="691">
        <f t="shared" si="14"/>
        <v>0</v>
      </c>
      <c r="AA44" s="691">
        <f t="shared" si="15"/>
        <v>0</v>
      </c>
      <c r="AB44" s="705">
        <f>IF(Y44=0,,VLOOKUP(Y44,リスト!CX:CY,2,0))</f>
        <v>0</v>
      </c>
      <c r="AC44" s="705">
        <f t="shared" si="1"/>
        <v>0</v>
      </c>
      <c r="AD44" s="706">
        <f>IF(AC44=0,,VLOOKUP(AC44,リスト!DK:DL,2,0))</f>
        <v>0</v>
      </c>
      <c r="AE44" s="691">
        <f>IF(Y44=0,,
IF(OR(リスト!$C$21="小麦",リスト!$C$21="二条大麦",リスト!$C$21="六条大麦",リスト!$C$21="はだか麦",リスト!$C$21="なたね"),IF(K44&lt;9,調査年-J44,調査年-J44-1),
IF(リスト!$C$21="さとうきび",IF(K44&gt;=4,調査年-J44,調査年-J44+1),
調査年-J44)))</f>
        <v>0</v>
      </c>
      <c r="AF44" s="408">
        <f t="shared" si="2"/>
        <v>0</v>
      </c>
      <c r="AG44" s="408">
        <f t="shared" si="3"/>
        <v>0</v>
      </c>
      <c r="AH44" s="408">
        <f t="shared" si="4"/>
        <v>0</v>
      </c>
      <c r="AI44" s="408">
        <f t="shared" si="5"/>
        <v>0</v>
      </c>
      <c r="AJ44" s="408">
        <f t="shared" si="6"/>
        <v>0</v>
      </c>
      <c r="AK44" s="408">
        <f t="shared" si="16"/>
        <v>0</v>
      </c>
      <c r="AL44" s="408">
        <f t="shared" si="7"/>
        <v>0</v>
      </c>
      <c r="AM44" s="408">
        <f t="shared" si="8"/>
        <v>0</v>
      </c>
      <c r="AN44" s="417"/>
      <c r="AO44" s="69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3">
        <f t="shared" si="9"/>
        <v>0</v>
      </c>
      <c r="AQ44" s="408">
        <f t="shared" si="10"/>
        <v>0</v>
      </c>
      <c r="AR44" s="693">
        <f t="shared" si="11"/>
        <v>0</v>
      </c>
      <c r="AS44" s="408">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408">
        <f t="shared" si="12"/>
        <v>0</v>
      </c>
      <c r="AU44" s="408" t="str">
        <f t="shared" si="13"/>
        <v/>
      </c>
      <c r="AV44" s="707"/>
      <c r="AW44" s="707"/>
      <c r="AX44" s="707"/>
      <c r="AY44" s="707"/>
      <c r="AZ44" s="707"/>
    </row>
    <row r="45" spans="3:52" s="46" customFormat="1" ht="30" hidden="1" customHeight="1" outlineLevel="1">
      <c r="C45" s="695">
        <v>30</v>
      </c>
      <c r="D45" s="708"/>
      <c r="E45" s="697"/>
      <c r="F45" s="698"/>
      <c r="G45" s="1901"/>
      <c r="H45" s="1902"/>
      <c r="I45" s="699"/>
      <c r="J45" s="700"/>
      <c r="K45" s="701"/>
      <c r="L45" s="702"/>
      <c r="M45" s="702"/>
      <c r="N45" s="702"/>
      <c r="O45" s="702"/>
      <c r="P45" s="1074"/>
      <c r="Q45" s="703"/>
      <c r="R45" s="704"/>
      <c r="S45" s="702"/>
      <c r="T45" s="689"/>
      <c r="U45" s="2"/>
      <c r="V45" s="1082"/>
      <c r="W45" s="690"/>
      <c r="X45" s="2"/>
      <c r="Y45" s="705">
        <f t="shared" si="17"/>
        <v>0</v>
      </c>
      <c r="Z45" s="691">
        <f t="shared" si="14"/>
        <v>0</v>
      </c>
      <c r="AA45" s="691">
        <f t="shared" si="15"/>
        <v>0</v>
      </c>
      <c r="AB45" s="705">
        <f>IF(Y45=0,,VLOOKUP(Y45,リスト!CX:CY,2,0))</f>
        <v>0</v>
      </c>
      <c r="AC45" s="705">
        <f t="shared" si="1"/>
        <v>0</v>
      </c>
      <c r="AD45" s="706">
        <f>IF(AC45=0,,VLOOKUP(AC45,リスト!DK:DL,2,0))</f>
        <v>0</v>
      </c>
      <c r="AE45" s="691">
        <f>IF(Y45=0,,
IF(OR(リスト!$C$21="小麦",リスト!$C$21="二条大麦",リスト!$C$21="六条大麦",リスト!$C$21="はだか麦",リスト!$C$21="なたね"),IF(K45&lt;9,調査年-J45,調査年-J45-1),
IF(リスト!$C$21="さとうきび",IF(K45&gt;=4,調査年-J45,調査年-J45+1),
調査年-J45)))</f>
        <v>0</v>
      </c>
      <c r="AF45" s="408">
        <f t="shared" si="2"/>
        <v>0</v>
      </c>
      <c r="AG45" s="408">
        <f t="shared" si="3"/>
        <v>0</v>
      </c>
      <c r="AH45" s="408">
        <f t="shared" si="4"/>
        <v>0</v>
      </c>
      <c r="AI45" s="408">
        <f t="shared" si="5"/>
        <v>0</v>
      </c>
      <c r="AJ45" s="408">
        <f t="shared" si="6"/>
        <v>0</v>
      </c>
      <c r="AK45" s="408">
        <f t="shared" si="16"/>
        <v>0</v>
      </c>
      <c r="AL45" s="408">
        <f t="shared" si="7"/>
        <v>0</v>
      </c>
      <c r="AM45" s="408">
        <f t="shared" si="8"/>
        <v>0</v>
      </c>
      <c r="AN45" s="417"/>
      <c r="AO45" s="69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3">
        <f t="shared" si="9"/>
        <v>0</v>
      </c>
      <c r="AQ45" s="408">
        <f t="shared" si="10"/>
        <v>0</v>
      </c>
      <c r="AR45" s="693">
        <f t="shared" si="11"/>
        <v>0</v>
      </c>
      <c r="AS45" s="408">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408">
        <f t="shared" si="12"/>
        <v>0</v>
      </c>
      <c r="AU45" s="408" t="str">
        <f t="shared" si="13"/>
        <v/>
      </c>
      <c r="AV45" s="707"/>
      <c r="AW45" s="707"/>
      <c r="AX45" s="707"/>
      <c r="AY45" s="707"/>
      <c r="AZ45" s="707"/>
    </row>
    <row r="46" spans="3:52" s="46" customFormat="1" ht="30" hidden="1" customHeight="1" outlineLevel="1">
      <c r="C46" s="695">
        <v>31</v>
      </c>
      <c r="D46" s="708"/>
      <c r="E46" s="697"/>
      <c r="F46" s="698"/>
      <c r="G46" s="1901"/>
      <c r="H46" s="1902"/>
      <c r="I46" s="699"/>
      <c r="J46" s="700"/>
      <c r="K46" s="701"/>
      <c r="L46" s="702"/>
      <c r="M46" s="702"/>
      <c r="N46" s="702"/>
      <c r="O46" s="702"/>
      <c r="P46" s="1074"/>
      <c r="Q46" s="703"/>
      <c r="R46" s="704"/>
      <c r="S46" s="702"/>
      <c r="T46" s="689"/>
      <c r="U46" s="2"/>
      <c r="V46" s="1082"/>
      <c r="W46" s="690"/>
      <c r="X46" s="2"/>
      <c r="Y46" s="705">
        <f t="shared" si="17"/>
        <v>0</v>
      </c>
      <c r="Z46" s="691">
        <f t="shared" si="14"/>
        <v>0</v>
      </c>
      <c r="AA46" s="691">
        <f t="shared" si="15"/>
        <v>0</v>
      </c>
      <c r="AB46" s="705">
        <f>IF(Y46=0,,VLOOKUP(Y46,リスト!CX:CY,2,0))</f>
        <v>0</v>
      </c>
      <c r="AC46" s="705">
        <f t="shared" si="1"/>
        <v>0</v>
      </c>
      <c r="AD46" s="706">
        <f>IF(AC46=0,,VLOOKUP(AC46,リスト!DK:DL,2,0))</f>
        <v>0</v>
      </c>
      <c r="AE46" s="691">
        <f>IF(Y46=0,,
IF(OR(リスト!$C$21="小麦",リスト!$C$21="二条大麦",リスト!$C$21="六条大麦",リスト!$C$21="はだか麦",リスト!$C$21="なたね"),IF(K46&lt;9,調査年-J46,調査年-J46-1),
IF(リスト!$C$21="さとうきび",IF(K46&gt;=4,調査年-J46,調査年-J46+1),
調査年-J46)))</f>
        <v>0</v>
      </c>
      <c r="AF46" s="408">
        <f t="shared" si="2"/>
        <v>0</v>
      </c>
      <c r="AG46" s="408">
        <f t="shared" si="3"/>
        <v>0</v>
      </c>
      <c r="AH46" s="408">
        <f t="shared" si="4"/>
        <v>0</v>
      </c>
      <c r="AI46" s="408">
        <f t="shared" si="5"/>
        <v>0</v>
      </c>
      <c r="AJ46" s="408">
        <f t="shared" si="6"/>
        <v>0</v>
      </c>
      <c r="AK46" s="408">
        <f t="shared" si="16"/>
        <v>0</v>
      </c>
      <c r="AL46" s="408">
        <f t="shared" si="7"/>
        <v>0</v>
      </c>
      <c r="AM46" s="408">
        <f t="shared" si="8"/>
        <v>0</v>
      </c>
      <c r="AN46" s="417"/>
      <c r="AO46" s="69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3">
        <f t="shared" si="9"/>
        <v>0</v>
      </c>
      <c r="AQ46" s="408">
        <f t="shared" si="10"/>
        <v>0</v>
      </c>
      <c r="AR46" s="693">
        <f t="shared" si="11"/>
        <v>0</v>
      </c>
      <c r="AS46" s="408">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408">
        <f t="shared" si="12"/>
        <v>0</v>
      </c>
      <c r="AU46" s="408" t="str">
        <f t="shared" si="13"/>
        <v/>
      </c>
      <c r="AV46" s="707"/>
      <c r="AW46" s="707"/>
      <c r="AX46" s="707"/>
      <c r="AY46" s="707"/>
      <c r="AZ46" s="707"/>
    </row>
    <row r="47" spans="3:52" s="46" customFormat="1" ht="30" hidden="1" customHeight="1" outlineLevel="1">
      <c r="C47" s="695">
        <v>32</v>
      </c>
      <c r="D47" s="696"/>
      <c r="E47" s="697"/>
      <c r="F47" s="698"/>
      <c r="G47" s="1901"/>
      <c r="H47" s="1902"/>
      <c r="I47" s="699"/>
      <c r="J47" s="700"/>
      <c r="K47" s="701"/>
      <c r="L47" s="702"/>
      <c r="M47" s="702"/>
      <c r="N47" s="702"/>
      <c r="O47" s="702"/>
      <c r="P47" s="1074"/>
      <c r="Q47" s="703"/>
      <c r="R47" s="704"/>
      <c r="S47" s="702"/>
      <c r="T47" s="689"/>
      <c r="U47" s="2"/>
      <c r="V47" s="1082"/>
      <c r="W47" s="690"/>
      <c r="X47" s="2"/>
      <c r="Y47" s="705">
        <f t="shared" si="17"/>
        <v>0</v>
      </c>
      <c r="Z47" s="691">
        <f t="shared" si="14"/>
        <v>0</v>
      </c>
      <c r="AA47" s="691">
        <f t="shared" si="15"/>
        <v>0</v>
      </c>
      <c r="AB47" s="705">
        <f>IF(Y47=0,,VLOOKUP(Y47,リスト!CX:CY,2,0))</f>
        <v>0</v>
      </c>
      <c r="AC47" s="705">
        <f t="shared" si="1"/>
        <v>0</v>
      </c>
      <c r="AD47" s="706">
        <f>IF(AC47=0,,VLOOKUP(AC47,リスト!DK:DL,2,0))</f>
        <v>0</v>
      </c>
      <c r="AE47" s="691">
        <f>IF(Y47=0,,
IF(OR(リスト!$C$21="小麦",リスト!$C$21="二条大麦",リスト!$C$21="六条大麦",リスト!$C$21="はだか麦",リスト!$C$21="なたね"),IF(K47&lt;9,調査年-J47,調査年-J47-1),
IF(リスト!$C$21="さとうきび",IF(K47&gt;=4,調査年-J47,調査年-J47+1),
調査年-J47)))</f>
        <v>0</v>
      </c>
      <c r="AF47" s="408">
        <f t="shared" si="2"/>
        <v>0</v>
      </c>
      <c r="AG47" s="408">
        <f t="shared" si="3"/>
        <v>0</v>
      </c>
      <c r="AH47" s="408">
        <f t="shared" si="4"/>
        <v>0</v>
      </c>
      <c r="AI47" s="408">
        <f t="shared" si="5"/>
        <v>0</v>
      </c>
      <c r="AJ47" s="408">
        <f t="shared" si="6"/>
        <v>0</v>
      </c>
      <c r="AK47" s="408">
        <f t="shared" si="16"/>
        <v>0</v>
      </c>
      <c r="AL47" s="408">
        <f t="shared" si="7"/>
        <v>0</v>
      </c>
      <c r="AM47" s="408">
        <f t="shared" si="8"/>
        <v>0</v>
      </c>
      <c r="AN47" s="417"/>
      <c r="AO47" s="69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3">
        <f t="shared" si="9"/>
        <v>0</v>
      </c>
      <c r="AQ47" s="408">
        <f t="shared" si="10"/>
        <v>0</v>
      </c>
      <c r="AR47" s="693">
        <f t="shared" si="11"/>
        <v>0</v>
      </c>
      <c r="AS47" s="408">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408">
        <f t="shared" si="12"/>
        <v>0</v>
      </c>
      <c r="AU47" s="408" t="str">
        <f t="shared" si="13"/>
        <v/>
      </c>
      <c r="AV47" s="707"/>
      <c r="AW47" s="707"/>
      <c r="AX47" s="707"/>
      <c r="AY47" s="707"/>
      <c r="AZ47" s="707"/>
    </row>
    <row r="48" spans="3:52" s="46" customFormat="1" ht="30" hidden="1" customHeight="1" outlineLevel="1">
      <c r="C48" s="695">
        <v>33</v>
      </c>
      <c r="D48" s="708"/>
      <c r="E48" s="697"/>
      <c r="F48" s="698"/>
      <c r="G48" s="1901"/>
      <c r="H48" s="1902"/>
      <c r="I48" s="699"/>
      <c r="J48" s="700"/>
      <c r="K48" s="701"/>
      <c r="L48" s="702"/>
      <c r="M48" s="702"/>
      <c r="N48" s="702"/>
      <c r="O48" s="702"/>
      <c r="P48" s="1074"/>
      <c r="Q48" s="703"/>
      <c r="R48" s="704"/>
      <c r="S48" s="702"/>
      <c r="T48" s="689"/>
      <c r="U48" s="2"/>
      <c r="V48" s="1082"/>
      <c r="W48" s="690"/>
      <c r="X48" s="2"/>
      <c r="Y48" s="705">
        <f t="shared" si="17"/>
        <v>0</v>
      </c>
      <c r="Z48" s="691">
        <f t="shared" si="14"/>
        <v>0</v>
      </c>
      <c r="AA48" s="691">
        <f t="shared" si="15"/>
        <v>0</v>
      </c>
      <c r="AB48" s="705">
        <f>IF(Y48=0,,VLOOKUP(Y48,リスト!CX:CY,2,0))</f>
        <v>0</v>
      </c>
      <c r="AC48" s="705">
        <f t="shared" si="1"/>
        <v>0</v>
      </c>
      <c r="AD48" s="706">
        <f>IF(AC48=0,,VLOOKUP(AC48,リスト!DK:DL,2,0))</f>
        <v>0</v>
      </c>
      <c r="AE48" s="691">
        <f>IF(Y48=0,,
IF(OR(リスト!$C$21="小麦",リスト!$C$21="二条大麦",リスト!$C$21="六条大麦",リスト!$C$21="はだか麦",リスト!$C$21="なたね"),IF(K48&lt;9,調査年-J48,調査年-J48-1),
IF(リスト!$C$21="さとうきび",IF(K48&gt;=4,調査年-J48,調査年-J48+1),
調査年-J48)))</f>
        <v>0</v>
      </c>
      <c r="AF48" s="408">
        <f t="shared" ref="AF48:AF79" si="18">IF(OR(Y48=0,Z48=1),,
IF(AND(AC48&gt;0,AE48&lt;AC48,AG48&lt;=ROUND((L48-1)*AD48,0)),ROUND(AG48*IF(R48="[2]部分取り壊し",IFERROR(1-(V48%),1),1),0),
IF(AND(AC48&gt;0,AE48&lt;AC48),ROUND((L48-1)*AD48*IF(R48="[2]部分取り壊し",IFERROR(1-(V48%),1),1),0),)))</f>
        <v>0</v>
      </c>
      <c r="AG48" s="408">
        <f t="shared" si="3"/>
        <v>0</v>
      </c>
      <c r="AH48" s="408">
        <f t="shared" si="4"/>
        <v>0</v>
      </c>
      <c r="AI48" s="408">
        <f t="shared" si="5"/>
        <v>0</v>
      </c>
      <c r="AJ48" s="408">
        <f t="shared" si="6"/>
        <v>0</v>
      </c>
      <c r="AK48" s="408">
        <f t="shared" si="16"/>
        <v>0</v>
      </c>
      <c r="AL48" s="408">
        <f t="shared" si="7"/>
        <v>0</v>
      </c>
      <c r="AM48" s="408">
        <f t="shared" si="8"/>
        <v>0</v>
      </c>
      <c r="AN48" s="417"/>
      <c r="AO48" s="69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3">
        <f t="shared" si="9"/>
        <v>0</v>
      </c>
      <c r="AQ48" s="408">
        <f t="shared" si="10"/>
        <v>0</v>
      </c>
      <c r="AR48" s="693">
        <f t="shared" si="11"/>
        <v>0</v>
      </c>
      <c r="AS48" s="408">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408">
        <f t="shared" si="12"/>
        <v>0</v>
      </c>
      <c r="AU48" s="408" t="str">
        <f t="shared" si="13"/>
        <v/>
      </c>
      <c r="AV48" s="707"/>
      <c r="AW48" s="707"/>
      <c r="AX48" s="707"/>
      <c r="AY48" s="707"/>
      <c r="AZ48" s="707"/>
    </row>
    <row r="49" spans="3:52" s="46" customFormat="1" ht="30" hidden="1" customHeight="1" outlineLevel="1">
      <c r="C49" s="695">
        <v>34</v>
      </c>
      <c r="D49" s="708"/>
      <c r="E49" s="697"/>
      <c r="F49" s="698"/>
      <c r="G49" s="1901"/>
      <c r="H49" s="1902"/>
      <c r="I49" s="699"/>
      <c r="J49" s="700"/>
      <c r="K49" s="701"/>
      <c r="L49" s="702"/>
      <c r="M49" s="702"/>
      <c r="N49" s="702"/>
      <c r="O49" s="702"/>
      <c r="P49" s="1074"/>
      <c r="Q49" s="703"/>
      <c r="R49" s="704"/>
      <c r="S49" s="702"/>
      <c r="T49" s="689"/>
      <c r="U49" s="2"/>
      <c r="V49" s="1082"/>
      <c r="W49" s="690"/>
      <c r="X49" s="2"/>
      <c r="Y49" s="705">
        <f t="shared" si="17"/>
        <v>0</v>
      </c>
      <c r="Z49" s="691">
        <f t="shared" si="14"/>
        <v>0</v>
      </c>
      <c r="AA49" s="691">
        <f t="shared" si="15"/>
        <v>0</v>
      </c>
      <c r="AB49" s="705">
        <f>IF(Y49=0,,VLOOKUP(Y49,リスト!CX:CY,2,0))</f>
        <v>0</v>
      </c>
      <c r="AC49" s="705">
        <f t="shared" si="1"/>
        <v>0</v>
      </c>
      <c r="AD49" s="706">
        <f>IF(AC49=0,,VLOOKUP(AC49,リスト!DK:DL,2,0))</f>
        <v>0</v>
      </c>
      <c r="AE49" s="691">
        <f>IF(Y49=0,,
IF(OR(リスト!$C$21="小麦",リスト!$C$21="二条大麦",リスト!$C$21="六条大麦",リスト!$C$21="はだか麦",リスト!$C$21="なたね"),IF(K49&lt;9,調査年-J49,調査年-J49-1),
IF(リスト!$C$21="さとうきび",IF(K49&gt;=4,調査年-J49,調査年-J49+1),
調査年-J49)))</f>
        <v>0</v>
      </c>
      <c r="AF49" s="408">
        <f t="shared" si="18"/>
        <v>0</v>
      </c>
      <c r="AG49" s="408">
        <f t="shared" si="3"/>
        <v>0</v>
      </c>
      <c r="AH49" s="408">
        <f t="shared" si="4"/>
        <v>0</v>
      </c>
      <c r="AI49" s="408">
        <f t="shared" si="5"/>
        <v>0</v>
      </c>
      <c r="AJ49" s="408">
        <f t="shared" si="6"/>
        <v>0</v>
      </c>
      <c r="AK49" s="408">
        <f t="shared" si="16"/>
        <v>0</v>
      </c>
      <c r="AL49" s="408">
        <f t="shared" si="7"/>
        <v>0</v>
      </c>
      <c r="AM49" s="408">
        <f t="shared" si="8"/>
        <v>0</v>
      </c>
      <c r="AN49" s="417"/>
      <c r="AO49" s="69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3">
        <f t="shared" si="9"/>
        <v>0</v>
      </c>
      <c r="AQ49" s="408">
        <f t="shared" si="10"/>
        <v>0</v>
      </c>
      <c r="AR49" s="693">
        <f t="shared" si="11"/>
        <v>0</v>
      </c>
      <c r="AS49" s="408">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408">
        <f t="shared" si="12"/>
        <v>0</v>
      </c>
      <c r="AU49" s="408" t="str">
        <f t="shared" si="13"/>
        <v/>
      </c>
      <c r="AV49" s="707"/>
      <c r="AW49" s="707"/>
      <c r="AX49" s="707"/>
      <c r="AY49" s="707"/>
      <c r="AZ49" s="707"/>
    </row>
    <row r="50" spans="3:52" s="46" customFormat="1" ht="30" hidden="1" customHeight="1" outlineLevel="1">
      <c r="C50" s="695">
        <v>35</v>
      </c>
      <c r="D50" s="708"/>
      <c r="E50" s="697"/>
      <c r="F50" s="698"/>
      <c r="G50" s="1901"/>
      <c r="H50" s="1902"/>
      <c r="I50" s="699"/>
      <c r="J50" s="700"/>
      <c r="K50" s="701"/>
      <c r="L50" s="702"/>
      <c r="M50" s="702"/>
      <c r="N50" s="702"/>
      <c r="O50" s="702"/>
      <c r="P50" s="1074"/>
      <c r="Q50" s="703"/>
      <c r="R50" s="704"/>
      <c r="S50" s="702"/>
      <c r="T50" s="689"/>
      <c r="U50" s="2"/>
      <c r="V50" s="1082"/>
      <c r="W50" s="690"/>
      <c r="X50" s="2"/>
      <c r="Y50" s="705">
        <f t="shared" si="17"/>
        <v>0</v>
      </c>
      <c r="Z50" s="691">
        <f t="shared" si="14"/>
        <v>0</v>
      </c>
      <c r="AA50" s="691">
        <f t="shared" si="15"/>
        <v>0</v>
      </c>
      <c r="AB50" s="705">
        <f>IF(Y50=0,,VLOOKUP(Y50,リスト!CX:CY,2,0))</f>
        <v>0</v>
      </c>
      <c r="AC50" s="705">
        <f t="shared" si="1"/>
        <v>0</v>
      </c>
      <c r="AD50" s="706">
        <f>IF(AC50=0,,VLOOKUP(AC50,リスト!DK:DL,2,0))</f>
        <v>0</v>
      </c>
      <c r="AE50" s="691">
        <f>IF(Y50=0,,
IF(OR(リスト!$C$21="小麦",リスト!$C$21="二条大麦",リスト!$C$21="六条大麦",リスト!$C$21="はだか麦",リスト!$C$21="なたね"),IF(K50&lt;9,調査年-J50,調査年-J50-1),
IF(リスト!$C$21="さとうきび",IF(K50&gt;=4,調査年-J50,調査年-J50+1),
調査年-J50)))</f>
        <v>0</v>
      </c>
      <c r="AF50" s="408">
        <f t="shared" si="18"/>
        <v>0</v>
      </c>
      <c r="AG50" s="408">
        <f t="shared" si="3"/>
        <v>0</v>
      </c>
      <c r="AH50" s="408">
        <f t="shared" si="4"/>
        <v>0</v>
      </c>
      <c r="AI50" s="408">
        <f t="shared" si="5"/>
        <v>0</v>
      </c>
      <c r="AJ50" s="408">
        <f t="shared" si="6"/>
        <v>0</v>
      </c>
      <c r="AK50" s="408">
        <f t="shared" si="16"/>
        <v>0</v>
      </c>
      <c r="AL50" s="408">
        <f t="shared" si="7"/>
        <v>0</v>
      </c>
      <c r="AM50" s="408">
        <f t="shared" si="8"/>
        <v>0</v>
      </c>
      <c r="AN50" s="417"/>
      <c r="AO50" s="69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3">
        <f t="shared" si="9"/>
        <v>0</v>
      </c>
      <c r="AQ50" s="408">
        <f t="shared" si="10"/>
        <v>0</v>
      </c>
      <c r="AR50" s="693">
        <f t="shared" si="11"/>
        <v>0</v>
      </c>
      <c r="AS50" s="408">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408">
        <f t="shared" si="12"/>
        <v>0</v>
      </c>
      <c r="AU50" s="408" t="str">
        <f t="shared" si="13"/>
        <v/>
      </c>
      <c r="AV50" s="707"/>
      <c r="AW50" s="707"/>
      <c r="AX50" s="707"/>
      <c r="AY50" s="707"/>
      <c r="AZ50" s="707"/>
    </row>
    <row r="51" spans="3:52" s="46" customFormat="1" ht="30" hidden="1" customHeight="1" outlineLevel="1">
      <c r="C51" s="695">
        <v>36</v>
      </c>
      <c r="D51" s="708"/>
      <c r="E51" s="697"/>
      <c r="F51" s="698"/>
      <c r="G51" s="1901"/>
      <c r="H51" s="1902"/>
      <c r="I51" s="699"/>
      <c r="J51" s="700"/>
      <c r="K51" s="701"/>
      <c r="L51" s="702"/>
      <c r="M51" s="702"/>
      <c r="N51" s="702"/>
      <c r="O51" s="702"/>
      <c r="P51" s="1074"/>
      <c r="Q51" s="703"/>
      <c r="R51" s="704"/>
      <c r="S51" s="702"/>
      <c r="T51" s="689"/>
      <c r="U51" s="2"/>
      <c r="V51" s="1082"/>
      <c r="W51" s="690"/>
      <c r="X51" s="2"/>
      <c r="Y51" s="705">
        <f t="shared" si="17"/>
        <v>0</v>
      </c>
      <c r="Z51" s="691">
        <f t="shared" si="14"/>
        <v>0</v>
      </c>
      <c r="AA51" s="691">
        <f t="shared" si="15"/>
        <v>0</v>
      </c>
      <c r="AB51" s="705">
        <f>IF(Y51=0,,VLOOKUP(Y51,リスト!CX:CY,2,0))</f>
        <v>0</v>
      </c>
      <c r="AC51" s="705">
        <f t="shared" si="1"/>
        <v>0</v>
      </c>
      <c r="AD51" s="706">
        <f>IF(AC51=0,,VLOOKUP(AC51,リスト!DK:DL,2,0))</f>
        <v>0</v>
      </c>
      <c r="AE51" s="691">
        <f>IF(Y51=0,,
IF(OR(リスト!$C$21="小麦",リスト!$C$21="二条大麦",リスト!$C$21="六条大麦",リスト!$C$21="はだか麦",リスト!$C$21="なたね"),IF(K51&lt;9,調査年-J51,調査年-J51-1),
IF(リスト!$C$21="さとうきび",IF(K51&gt;=4,調査年-J51,調査年-J51+1),
調査年-J51)))</f>
        <v>0</v>
      </c>
      <c r="AF51" s="408">
        <f t="shared" si="18"/>
        <v>0</v>
      </c>
      <c r="AG51" s="408">
        <f t="shared" si="3"/>
        <v>0</v>
      </c>
      <c r="AH51" s="408">
        <f t="shared" si="4"/>
        <v>0</v>
      </c>
      <c r="AI51" s="408">
        <f t="shared" si="5"/>
        <v>0</v>
      </c>
      <c r="AJ51" s="408">
        <f t="shared" si="6"/>
        <v>0</v>
      </c>
      <c r="AK51" s="408">
        <f t="shared" si="16"/>
        <v>0</v>
      </c>
      <c r="AL51" s="408">
        <f t="shared" si="7"/>
        <v>0</v>
      </c>
      <c r="AM51" s="408">
        <f t="shared" si="8"/>
        <v>0</v>
      </c>
      <c r="AN51" s="417"/>
      <c r="AO51" s="69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3">
        <f t="shared" si="9"/>
        <v>0</v>
      </c>
      <c r="AQ51" s="408">
        <f t="shared" si="10"/>
        <v>0</v>
      </c>
      <c r="AR51" s="693">
        <f t="shared" si="11"/>
        <v>0</v>
      </c>
      <c r="AS51" s="408">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408">
        <f t="shared" si="12"/>
        <v>0</v>
      </c>
      <c r="AU51" s="408" t="str">
        <f t="shared" si="13"/>
        <v/>
      </c>
      <c r="AV51" s="707"/>
      <c r="AW51" s="707"/>
      <c r="AX51" s="707"/>
      <c r="AY51" s="707"/>
      <c r="AZ51" s="707"/>
    </row>
    <row r="52" spans="3:52" s="46" customFormat="1" ht="30" hidden="1" customHeight="1" outlineLevel="1">
      <c r="C52" s="695">
        <v>37</v>
      </c>
      <c r="D52" s="708"/>
      <c r="E52" s="697"/>
      <c r="F52" s="698"/>
      <c r="G52" s="1901"/>
      <c r="H52" s="1902"/>
      <c r="I52" s="699"/>
      <c r="J52" s="700"/>
      <c r="K52" s="701"/>
      <c r="L52" s="702"/>
      <c r="M52" s="702"/>
      <c r="N52" s="702"/>
      <c r="O52" s="702"/>
      <c r="P52" s="1074"/>
      <c r="Q52" s="703"/>
      <c r="R52" s="704"/>
      <c r="S52" s="702"/>
      <c r="T52" s="689"/>
      <c r="U52" s="2"/>
      <c r="V52" s="1082"/>
      <c r="W52" s="690"/>
      <c r="X52" s="2"/>
      <c r="Y52" s="705">
        <f t="shared" si="17"/>
        <v>0</v>
      </c>
      <c r="Z52" s="691">
        <f t="shared" si="14"/>
        <v>0</v>
      </c>
      <c r="AA52" s="691">
        <f t="shared" si="15"/>
        <v>0</v>
      </c>
      <c r="AB52" s="705">
        <f>IF(Y52=0,,VLOOKUP(Y52,リスト!CX:CY,2,0))</f>
        <v>0</v>
      </c>
      <c r="AC52" s="705">
        <f t="shared" si="1"/>
        <v>0</v>
      </c>
      <c r="AD52" s="706">
        <f>IF(AC52=0,,VLOOKUP(AC52,リスト!DK:DL,2,0))</f>
        <v>0</v>
      </c>
      <c r="AE52" s="691">
        <f>IF(Y52=0,,
IF(OR(リスト!$C$21="小麦",リスト!$C$21="二条大麦",リスト!$C$21="六条大麦",リスト!$C$21="はだか麦",リスト!$C$21="なたね"),IF(K52&lt;9,調査年-J52,調査年-J52-1),
IF(リスト!$C$21="さとうきび",IF(K52&gt;=4,調査年-J52,調査年-J52+1),
調査年-J52)))</f>
        <v>0</v>
      </c>
      <c r="AF52" s="408">
        <f t="shared" si="18"/>
        <v>0</v>
      </c>
      <c r="AG52" s="408">
        <f t="shared" si="3"/>
        <v>0</v>
      </c>
      <c r="AH52" s="408">
        <f t="shared" si="4"/>
        <v>0</v>
      </c>
      <c r="AI52" s="408">
        <f t="shared" si="5"/>
        <v>0</v>
      </c>
      <c r="AJ52" s="408">
        <f t="shared" si="6"/>
        <v>0</v>
      </c>
      <c r="AK52" s="408">
        <f t="shared" si="16"/>
        <v>0</v>
      </c>
      <c r="AL52" s="408">
        <f t="shared" si="7"/>
        <v>0</v>
      </c>
      <c r="AM52" s="408">
        <f t="shared" si="8"/>
        <v>0</v>
      </c>
      <c r="AN52" s="417"/>
      <c r="AO52" s="69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3">
        <f t="shared" si="9"/>
        <v>0</v>
      </c>
      <c r="AQ52" s="408">
        <f t="shared" si="10"/>
        <v>0</v>
      </c>
      <c r="AR52" s="693">
        <f t="shared" si="11"/>
        <v>0</v>
      </c>
      <c r="AS52" s="408">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408">
        <f t="shared" si="12"/>
        <v>0</v>
      </c>
      <c r="AU52" s="408" t="str">
        <f t="shared" si="13"/>
        <v/>
      </c>
      <c r="AV52" s="707"/>
      <c r="AW52" s="707"/>
      <c r="AX52" s="707"/>
      <c r="AY52" s="707"/>
      <c r="AZ52" s="707"/>
    </row>
    <row r="53" spans="3:52" s="46" customFormat="1" ht="30" hidden="1" customHeight="1" outlineLevel="1">
      <c r="C53" s="695">
        <v>38</v>
      </c>
      <c r="D53" s="708"/>
      <c r="E53" s="697"/>
      <c r="F53" s="698"/>
      <c r="G53" s="1901"/>
      <c r="H53" s="1902"/>
      <c r="I53" s="699"/>
      <c r="J53" s="700"/>
      <c r="K53" s="701"/>
      <c r="L53" s="702"/>
      <c r="M53" s="702"/>
      <c r="N53" s="702"/>
      <c r="O53" s="702"/>
      <c r="P53" s="1074"/>
      <c r="Q53" s="703"/>
      <c r="R53" s="704"/>
      <c r="S53" s="702"/>
      <c r="T53" s="689"/>
      <c r="U53" s="2"/>
      <c r="V53" s="1082"/>
      <c r="W53" s="690"/>
      <c r="X53" s="2"/>
      <c r="Y53" s="705">
        <f t="shared" si="17"/>
        <v>0</v>
      </c>
      <c r="Z53" s="691">
        <f t="shared" si="14"/>
        <v>0</v>
      </c>
      <c r="AA53" s="691">
        <f t="shared" si="15"/>
        <v>0</v>
      </c>
      <c r="AB53" s="705">
        <f>IF(Y53=0,,VLOOKUP(Y53,リスト!CX:CY,2,0))</f>
        <v>0</v>
      </c>
      <c r="AC53" s="705">
        <f t="shared" si="1"/>
        <v>0</v>
      </c>
      <c r="AD53" s="706">
        <f>IF(AC53=0,,VLOOKUP(AC53,リスト!DK:DL,2,0))</f>
        <v>0</v>
      </c>
      <c r="AE53" s="691">
        <f>IF(Y53=0,,
IF(OR(リスト!$C$21="小麦",リスト!$C$21="二条大麦",リスト!$C$21="六条大麦",リスト!$C$21="はだか麦",リスト!$C$21="なたね"),IF(K53&lt;9,調査年-J53,調査年-J53-1),
IF(リスト!$C$21="さとうきび",IF(K53&gt;=4,調査年-J53,調査年-J53+1),
調査年-J53)))</f>
        <v>0</v>
      </c>
      <c r="AF53" s="408">
        <f t="shared" si="18"/>
        <v>0</v>
      </c>
      <c r="AG53" s="408">
        <f t="shared" si="3"/>
        <v>0</v>
      </c>
      <c r="AH53" s="408">
        <f t="shared" si="4"/>
        <v>0</v>
      </c>
      <c r="AI53" s="408">
        <f t="shared" si="5"/>
        <v>0</v>
      </c>
      <c r="AJ53" s="408">
        <f t="shared" si="6"/>
        <v>0</v>
      </c>
      <c r="AK53" s="408">
        <f t="shared" si="16"/>
        <v>0</v>
      </c>
      <c r="AL53" s="408">
        <f t="shared" si="7"/>
        <v>0</v>
      </c>
      <c r="AM53" s="408">
        <f t="shared" si="8"/>
        <v>0</v>
      </c>
      <c r="AN53" s="417"/>
      <c r="AO53" s="69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3">
        <f t="shared" si="9"/>
        <v>0</v>
      </c>
      <c r="AQ53" s="408">
        <f t="shared" si="10"/>
        <v>0</v>
      </c>
      <c r="AR53" s="693">
        <f t="shared" si="11"/>
        <v>0</v>
      </c>
      <c r="AS53" s="408">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408">
        <f t="shared" si="12"/>
        <v>0</v>
      </c>
      <c r="AU53" s="408" t="str">
        <f t="shared" si="13"/>
        <v/>
      </c>
      <c r="AV53" s="707"/>
      <c r="AW53" s="707"/>
      <c r="AX53" s="707"/>
      <c r="AY53" s="707"/>
      <c r="AZ53" s="707"/>
    </row>
    <row r="54" spans="3:52" s="46" customFormat="1" ht="30" hidden="1" customHeight="1" outlineLevel="1">
      <c r="C54" s="695">
        <v>39</v>
      </c>
      <c r="D54" s="708"/>
      <c r="E54" s="697"/>
      <c r="F54" s="698"/>
      <c r="G54" s="1901"/>
      <c r="H54" s="1902"/>
      <c r="I54" s="699"/>
      <c r="J54" s="700"/>
      <c r="K54" s="701"/>
      <c r="L54" s="702"/>
      <c r="M54" s="702"/>
      <c r="N54" s="702"/>
      <c r="O54" s="702"/>
      <c r="P54" s="1074"/>
      <c r="Q54" s="703"/>
      <c r="R54" s="704"/>
      <c r="S54" s="702"/>
      <c r="T54" s="689"/>
      <c r="U54" s="2"/>
      <c r="V54" s="1082"/>
      <c r="W54" s="690"/>
      <c r="X54" s="2"/>
      <c r="Y54" s="705">
        <f t="shared" si="17"/>
        <v>0</v>
      </c>
      <c r="Z54" s="691">
        <f t="shared" si="14"/>
        <v>0</v>
      </c>
      <c r="AA54" s="691">
        <f t="shared" si="15"/>
        <v>0</v>
      </c>
      <c r="AB54" s="705">
        <f>IF(Y54=0,,VLOOKUP(Y54,リスト!CX:CY,2,0))</f>
        <v>0</v>
      </c>
      <c r="AC54" s="705">
        <f t="shared" si="1"/>
        <v>0</v>
      </c>
      <c r="AD54" s="706">
        <f>IF(AC54=0,,VLOOKUP(AC54,リスト!DK:DL,2,0))</f>
        <v>0</v>
      </c>
      <c r="AE54" s="691">
        <f>IF(Y54=0,,
IF(OR(リスト!$C$21="小麦",リスト!$C$21="二条大麦",リスト!$C$21="六条大麦",リスト!$C$21="はだか麦",リスト!$C$21="なたね"),IF(K54&lt;9,調査年-J54,調査年-J54-1),
IF(リスト!$C$21="さとうきび",IF(K54&gt;=4,調査年-J54,調査年-J54+1),
調査年-J54)))</f>
        <v>0</v>
      </c>
      <c r="AF54" s="408">
        <f t="shared" si="18"/>
        <v>0</v>
      </c>
      <c r="AG54" s="408">
        <f t="shared" si="3"/>
        <v>0</v>
      </c>
      <c r="AH54" s="408">
        <f t="shared" si="4"/>
        <v>0</v>
      </c>
      <c r="AI54" s="408">
        <f t="shared" si="5"/>
        <v>0</v>
      </c>
      <c r="AJ54" s="408">
        <f t="shared" si="6"/>
        <v>0</v>
      </c>
      <c r="AK54" s="408">
        <f t="shared" si="16"/>
        <v>0</v>
      </c>
      <c r="AL54" s="408">
        <f t="shared" si="7"/>
        <v>0</v>
      </c>
      <c r="AM54" s="408">
        <f t="shared" si="8"/>
        <v>0</v>
      </c>
      <c r="AN54" s="417"/>
      <c r="AO54" s="69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3">
        <f t="shared" si="9"/>
        <v>0</v>
      </c>
      <c r="AQ54" s="408">
        <f t="shared" si="10"/>
        <v>0</v>
      </c>
      <c r="AR54" s="693">
        <f t="shared" si="11"/>
        <v>0</v>
      </c>
      <c r="AS54" s="408">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408">
        <f t="shared" si="12"/>
        <v>0</v>
      </c>
      <c r="AU54" s="408" t="str">
        <f t="shared" si="13"/>
        <v/>
      </c>
      <c r="AV54" s="707"/>
      <c r="AW54" s="707"/>
      <c r="AX54" s="707"/>
      <c r="AY54" s="707"/>
      <c r="AZ54" s="707"/>
    </row>
    <row r="55" spans="3:52" s="46" customFormat="1" ht="30" hidden="1" customHeight="1" outlineLevel="1">
      <c r="C55" s="695">
        <v>40</v>
      </c>
      <c r="D55" s="708"/>
      <c r="E55" s="697"/>
      <c r="F55" s="698"/>
      <c r="G55" s="1901"/>
      <c r="H55" s="1902"/>
      <c r="I55" s="699"/>
      <c r="J55" s="700"/>
      <c r="K55" s="701"/>
      <c r="L55" s="702"/>
      <c r="M55" s="702"/>
      <c r="N55" s="702"/>
      <c r="O55" s="702"/>
      <c r="P55" s="1074"/>
      <c r="Q55" s="703"/>
      <c r="R55" s="704"/>
      <c r="S55" s="702"/>
      <c r="T55" s="689"/>
      <c r="U55" s="2"/>
      <c r="V55" s="1082"/>
      <c r="W55" s="690"/>
      <c r="X55" s="2"/>
      <c r="Y55" s="705">
        <f t="shared" si="17"/>
        <v>0</v>
      </c>
      <c r="Z55" s="691">
        <f t="shared" si="14"/>
        <v>0</v>
      </c>
      <c r="AA55" s="691">
        <f t="shared" si="15"/>
        <v>0</v>
      </c>
      <c r="AB55" s="705">
        <f>IF(Y55=0,,VLOOKUP(Y55,リスト!CX:CY,2,0))</f>
        <v>0</v>
      </c>
      <c r="AC55" s="705">
        <f t="shared" si="1"/>
        <v>0</v>
      </c>
      <c r="AD55" s="706">
        <f>IF(AC55=0,,VLOOKUP(AC55,リスト!DK:DL,2,0))</f>
        <v>0</v>
      </c>
      <c r="AE55" s="691">
        <f>IF(Y55=0,,
IF(OR(リスト!$C$21="小麦",リスト!$C$21="二条大麦",リスト!$C$21="六条大麦",リスト!$C$21="はだか麦",リスト!$C$21="なたね"),IF(K55&lt;9,調査年-J55,調査年-J55-1),
IF(リスト!$C$21="さとうきび",IF(K55&gt;=4,調査年-J55,調査年-J55+1),
調査年-J55)))</f>
        <v>0</v>
      </c>
      <c r="AF55" s="408">
        <f t="shared" si="18"/>
        <v>0</v>
      </c>
      <c r="AG55" s="408">
        <f t="shared" si="3"/>
        <v>0</v>
      </c>
      <c r="AH55" s="408">
        <f t="shared" si="4"/>
        <v>0</v>
      </c>
      <c r="AI55" s="408">
        <f t="shared" si="5"/>
        <v>0</v>
      </c>
      <c r="AJ55" s="408">
        <f t="shared" si="6"/>
        <v>0</v>
      </c>
      <c r="AK55" s="408">
        <f t="shared" si="16"/>
        <v>0</v>
      </c>
      <c r="AL55" s="408">
        <f t="shared" si="7"/>
        <v>0</v>
      </c>
      <c r="AM55" s="408">
        <f t="shared" si="8"/>
        <v>0</v>
      </c>
      <c r="AN55" s="417"/>
      <c r="AO55" s="69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3">
        <f t="shared" si="9"/>
        <v>0</v>
      </c>
      <c r="AQ55" s="408">
        <f t="shared" si="10"/>
        <v>0</v>
      </c>
      <c r="AR55" s="693">
        <f t="shared" si="11"/>
        <v>0</v>
      </c>
      <c r="AS55" s="408">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408">
        <f t="shared" si="12"/>
        <v>0</v>
      </c>
      <c r="AU55" s="408" t="str">
        <f t="shared" si="13"/>
        <v/>
      </c>
      <c r="AV55" s="707"/>
      <c r="AW55" s="707"/>
      <c r="AX55" s="707"/>
      <c r="AY55" s="707"/>
      <c r="AZ55" s="707"/>
    </row>
    <row r="56" spans="3:52" s="46" customFormat="1" ht="30" hidden="1" customHeight="1" outlineLevel="1">
      <c r="C56" s="695">
        <v>41</v>
      </c>
      <c r="D56" s="708"/>
      <c r="E56" s="697"/>
      <c r="F56" s="698"/>
      <c r="G56" s="1901"/>
      <c r="H56" s="1902"/>
      <c r="I56" s="699"/>
      <c r="J56" s="700"/>
      <c r="K56" s="701"/>
      <c r="L56" s="702"/>
      <c r="M56" s="702"/>
      <c r="N56" s="702"/>
      <c r="O56" s="702"/>
      <c r="P56" s="1074"/>
      <c r="Q56" s="703"/>
      <c r="R56" s="704"/>
      <c r="S56" s="702"/>
      <c r="T56" s="689"/>
      <c r="U56" s="2"/>
      <c r="V56" s="1082"/>
      <c r="W56" s="690"/>
      <c r="X56" s="2"/>
      <c r="Y56" s="705">
        <f t="shared" si="17"/>
        <v>0</v>
      </c>
      <c r="Z56" s="691">
        <f t="shared" si="14"/>
        <v>0</v>
      </c>
      <c r="AA56" s="691">
        <f t="shared" si="15"/>
        <v>0</v>
      </c>
      <c r="AB56" s="705">
        <f>IF(Y56=0,,VLOOKUP(Y56,リスト!CX:CY,2,0))</f>
        <v>0</v>
      </c>
      <c r="AC56" s="705">
        <f t="shared" si="1"/>
        <v>0</v>
      </c>
      <c r="AD56" s="706">
        <f>IF(AC56=0,,VLOOKUP(AC56,リスト!DK:DL,2,0))</f>
        <v>0</v>
      </c>
      <c r="AE56" s="691">
        <f>IF(Y56=0,,
IF(OR(リスト!$C$21="小麦",リスト!$C$21="二条大麦",リスト!$C$21="六条大麦",リスト!$C$21="はだか麦",リスト!$C$21="なたね"),IF(K56&lt;9,調査年-J56,調査年-J56-1),
IF(リスト!$C$21="さとうきび",IF(K56&gt;=4,調査年-J56,調査年-J56+1),
調査年-J56)))</f>
        <v>0</v>
      </c>
      <c r="AF56" s="408">
        <f t="shared" si="18"/>
        <v>0</v>
      </c>
      <c r="AG56" s="408">
        <f t="shared" si="3"/>
        <v>0</v>
      </c>
      <c r="AH56" s="408">
        <f t="shared" si="4"/>
        <v>0</v>
      </c>
      <c r="AI56" s="408">
        <f t="shared" si="5"/>
        <v>0</v>
      </c>
      <c r="AJ56" s="408">
        <f t="shared" si="6"/>
        <v>0</v>
      </c>
      <c r="AK56" s="408">
        <f t="shared" si="16"/>
        <v>0</v>
      </c>
      <c r="AL56" s="408">
        <f t="shared" si="7"/>
        <v>0</v>
      </c>
      <c r="AM56" s="408">
        <f t="shared" si="8"/>
        <v>0</v>
      </c>
      <c r="AN56" s="417"/>
      <c r="AO56" s="69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3">
        <f t="shared" si="9"/>
        <v>0</v>
      </c>
      <c r="AQ56" s="408">
        <f t="shared" si="10"/>
        <v>0</v>
      </c>
      <c r="AR56" s="693">
        <f t="shared" si="11"/>
        <v>0</v>
      </c>
      <c r="AS56" s="408">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408">
        <f t="shared" si="12"/>
        <v>0</v>
      </c>
      <c r="AU56" s="408" t="str">
        <f t="shared" si="13"/>
        <v/>
      </c>
      <c r="AV56" s="707"/>
      <c r="AW56" s="707"/>
      <c r="AX56" s="707"/>
      <c r="AY56" s="707"/>
      <c r="AZ56" s="707"/>
    </row>
    <row r="57" spans="3:52" s="46" customFormat="1" ht="30" hidden="1" customHeight="1" outlineLevel="1">
      <c r="C57" s="695">
        <v>42</v>
      </c>
      <c r="D57" s="708"/>
      <c r="E57" s="697"/>
      <c r="F57" s="698"/>
      <c r="G57" s="1901"/>
      <c r="H57" s="1902"/>
      <c r="I57" s="699"/>
      <c r="J57" s="700"/>
      <c r="K57" s="701"/>
      <c r="L57" s="702"/>
      <c r="M57" s="702"/>
      <c r="N57" s="702"/>
      <c r="O57" s="702"/>
      <c r="P57" s="1074"/>
      <c r="Q57" s="703"/>
      <c r="R57" s="704"/>
      <c r="S57" s="702"/>
      <c r="T57" s="689"/>
      <c r="U57" s="2"/>
      <c r="V57" s="1082"/>
      <c r="W57" s="690"/>
      <c r="X57" s="2"/>
      <c r="Y57" s="705">
        <f t="shared" si="17"/>
        <v>0</v>
      </c>
      <c r="Z57" s="691">
        <f t="shared" si="14"/>
        <v>0</v>
      </c>
      <c r="AA57" s="691">
        <f t="shared" si="15"/>
        <v>0</v>
      </c>
      <c r="AB57" s="705">
        <f>IF(Y57=0,,VLOOKUP(Y57,リスト!CX:CY,2,0))</f>
        <v>0</v>
      </c>
      <c r="AC57" s="705">
        <f t="shared" si="1"/>
        <v>0</v>
      </c>
      <c r="AD57" s="706">
        <f>IF(AC57=0,,VLOOKUP(AC57,リスト!DK:DL,2,0))</f>
        <v>0</v>
      </c>
      <c r="AE57" s="691">
        <f>IF(Y57=0,,
IF(OR(リスト!$C$21="小麦",リスト!$C$21="二条大麦",リスト!$C$21="六条大麦",リスト!$C$21="はだか麦",リスト!$C$21="なたね"),IF(K57&lt;9,調査年-J57,調査年-J57-1),
IF(リスト!$C$21="さとうきび",IF(K57&gt;=4,調査年-J57,調査年-J57+1),
調査年-J57)))</f>
        <v>0</v>
      </c>
      <c r="AF57" s="408">
        <f t="shared" si="18"/>
        <v>0</v>
      </c>
      <c r="AG57" s="408">
        <f t="shared" si="3"/>
        <v>0</v>
      </c>
      <c r="AH57" s="408">
        <f t="shared" si="4"/>
        <v>0</v>
      </c>
      <c r="AI57" s="408">
        <f t="shared" si="5"/>
        <v>0</v>
      </c>
      <c r="AJ57" s="408">
        <f t="shared" si="6"/>
        <v>0</v>
      </c>
      <c r="AK57" s="408">
        <f t="shared" si="16"/>
        <v>0</v>
      </c>
      <c r="AL57" s="408">
        <f t="shared" si="7"/>
        <v>0</v>
      </c>
      <c r="AM57" s="408">
        <f t="shared" si="8"/>
        <v>0</v>
      </c>
      <c r="AN57" s="417"/>
      <c r="AO57" s="69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3">
        <f t="shared" si="9"/>
        <v>0</v>
      </c>
      <c r="AQ57" s="408">
        <f t="shared" si="10"/>
        <v>0</v>
      </c>
      <c r="AR57" s="693">
        <f t="shared" si="11"/>
        <v>0</v>
      </c>
      <c r="AS57" s="408">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408">
        <f t="shared" si="12"/>
        <v>0</v>
      </c>
      <c r="AU57" s="408" t="str">
        <f t="shared" si="13"/>
        <v/>
      </c>
      <c r="AV57" s="707"/>
      <c r="AW57" s="707"/>
      <c r="AX57" s="707"/>
      <c r="AY57" s="707"/>
      <c r="AZ57" s="707"/>
    </row>
    <row r="58" spans="3:52" s="46" customFormat="1" ht="30" hidden="1" customHeight="1" outlineLevel="1">
      <c r="C58" s="695">
        <v>43</v>
      </c>
      <c r="D58" s="708"/>
      <c r="E58" s="697"/>
      <c r="F58" s="698"/>
      <c r="G58" s="1901"/>
      <c r="H58" s="1902"/>
      <c r="I58" s="699"/>
      <c r="J58" s="700"/>
      <c r="K58" s="701"/>
      <c r="L58" s="702"/>
      <c r="M58" s="702"/>
      <c r="N58" s="702"/>
      <c r="O58" s="702"/>
      <c r="P58" s="1074"/>
      <c r="Q58" s="703"/>
      <c r="R58" s="704"/>
      <c r="S58" s="702"/>
      <c r="T58" s="689"/>
      <c r="U58" s="2"/>
      <c r="V58" s="1082"/>
      <c r="W58" s="690"/>
      <c r="X58" s="2"/>
      <c r="Y58" s="705">
        <f t="shared" si="17"/>
        <v>0</v>
      </c>
      <c r="Z58" s="691">
        <f t="shared" si="14"/>
        <v>0</v>
      </c>
      <c r="AA58" s="691">
        <f t="shared" si="15"/>
        <v>0</v>
      </c>
      <c r="AB58" s="705">
        <f>IF(Y58=0,,VLOOKUP(Y58,リスト!CX:CY,2,0))</f>
        <v>0</v>
      </c>
      <c r="AC58" s="705">
        <f t="shared" si="1"/>
        <v>0</v>
      </c>
      <c r="AD58" s="706">
        <f>IF(AC58=0,,VLOOKUP(AC58,リスト!DK:DL,2,0))</f>
        <v>0</v>
      </c>
      <c r="AE58" s="691">
        <f>IF(Y58=0,,
IF(OR(リスト!$C$21="小麦",リスト!$C$21="二条大麦",リスト!$C$21="六条大麦",リスト!$C$21="はだか麦",リスト!$C$21="なたね"),IF(K58&lt;9,調査年-J58,調査年-J58-1),
IF(リスト!$C$21="さとうきび",IF(K58&gt;=4,調査年-J58,調査年-J58+1),
調査年-J58)))</f>
        <v>0</v>
      </c>
      <c r="AF58" s="408">
        <f t="shared" si="18"/>
        <v>0</v>
      </c>
      <c r="AG58" s="408">
        <f t="shared" si="3"/>
        <v>0</v>
      </c>
      <c r="AH58" s="408">
        <f t="shared" si="4"/>
        <v>0</v>
      </c>
      <c r="AI58" s="408">
        <f t="shared" si="5"/>
        <v>0</v>
      </c>
      <c r="AJ58" s="408">
        <f t="shared" si="6"/>
        <v>0</v>
      </c>
      <c r="AK58" s="408">
        <f t="shared" si="16"/>
        <v>0</v>
      </c>
      <c r="AL58" s="408">
        <f t="shared" si="7"/>
        <v>0</v>
      </c>
      <c r="AM58" s="408">
        <f t="shared" si="8"/>
        <v>0</v>
      </c>
      <c r="AN58" s="417"/>
      <c r="AO58" s="69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3">
        <f t="shared" si="9"/>
        <v>0</v>
      </c>
      <c r="AQ58" s="408">
        <f t="shared" si="10"/>
        <v>0</v>
      </c>
      <c r="AR58" s="693">
        <f t="shared" si="11"/>
        <v>0</v>
      </c>
      <c r="AS58" s="408">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408">
        <f t="shared" si="12"/>
        <v>0</v>
      </c>
      <c r="AU58" s="408" t="str">
        <f t="shared" si="13"/>
        <v/>
      </c>
      <c r="AV58" s="707"/>
      <c r="AW58" s="707"/>
      <c r="AX58" s="707"/>
      <c r="AY58" s="707"/>
      <c r="AZ58" s="707"/>
    </row>
    <row r="59" spans="3:52" s="46" customFormat="1" ht="30" hidden="1" customHeight="1" outlineLevel="1">
      <c r="C59" s="695">
        <v>44</v>
      </c>
      <c r="D59" s="708"/>
      <c r="E59" s="697"/>
      <c r="F59" s="698"/>
      <c r="G59" s="1901"/>
      <c r="H59" s="1902"/>
      <c r="I59" s="699"/>
      <c r="J59" s="700"/>
      <c r="K59" s="701"/>
      <c r="L59" s="702"/>
      <c r="M59" s="702"/>
      <c r="N59" s="702"/>
      <c r="O59" s="702"/>
      <c r="P59" s="1074"/>
      <c r="Q59" s="703"/>
      <c r="R59" s="704"/>
      <c r="S59" s="702"/>
      <c r="T59" s="689"/>
      <c r="U59" s="2"/>
      <c r="V59" s="1082"/>
      <c r="W59" s="690"/>
      <c r="X59" s="2"/>
      <c r="Y59" s="705">
        <f t="shared" si="17"/>
        <v>0</v>
      </c>
      <c r="Z59" s="691">
        <f t="shared" si="14"/>
        <v>0</v>
      </c>
      <c r="AA59" s="691">
        <f t="shared" si="15"/>
        <v>0</v>
      </c>
      <c r="AB59" s="705">
        <f>IF(Y59=0,,VLOOKUP(Y59,リスト!CX:CY,2,0))</f>
        <v>0</v>
      </c>
      <c r="AC59" s="705">
        <f t="shared" si="1"/>
        <v>0</v>
      </c>
      <c r="AD59" s="706">
        <f>IF(AC59=0,,VLOOKUP(AC59,リスト!DK:DL,2,0))</f>
        <v>0</v>
      </c>
      <c r="AE59" s="691">
        <f>IF(Y59=0,,
IF(OR(リスト!$C$21="小麦",リスト!$C$21="二条大麦",リスト!$C$21="六条大麦",リスト!$C$21="はだか麦",リスト!$C$21="なたね"),IF(K59&lt;9,調査年-J59,調査年-J59-1),
IF(リスト!$C$21="さとうきび",IF(K59&gt;=4,調査年-J59,調査年-J59+1),
調査年-J59)))</f>
        <v>0</v>
      </c>
      <c r="AF59" s="408">
        <f t="shared" si="18"/>
        <v>0</v>
      </c>
      <c r="AG59" s="408">
        <f t="shared" si="3"/>
        <v>0</v>
      </c>
      <c r="AH59" s="408">
        <f t="shared" si="4"/>
        <v>0</v>
      </c>
      <c r="AI59" s="408">
        <f t="shared" si="5"/>
        <v>0</v>
      </c>
      <c r="AJ59" s="408">
        <f t="shared" si="6"/>
        <v>0</v>
      </c>
      <c r="AK59" s="408">
        <f t="shared" si="16"/>
        <v>0</v>
      </c>
      <c r="AL59" s="408">
        <f t="shared" si="7"/>
        <v>0</v>
      </c>
      <c r="AM59" s="408">
        <f t="shared" si="8"/>
        <v>0</v>
      </c>
      <c r="AN59" s="417"/>
      <c r="AO59" s="69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3">
        <f t="shared" si="9"/>
        <v>0</v>
      </c>
      <c r="AQ59" s="408">
        <f t="shared" si="10"/>
        <v>0</v>
      </c>
      <c r="AR59" s="693">
        <f t="shared" si="11"/>
        <v>0</v>
      </c>
      <c r="AS59" s="408">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408">
        <f t="shared" si="12"/>
        <v>0</v>
      </c>
      <c r="AU59" s="408" t="str">
        <f t="shared" si="13"/>
        <v/>
      </c>
      <c r="AV59" s="707"/>
      <c r="AW59" s="707"/>
      <c r="AX59" s="707"/>
      <c r="AY59" s="707"/>
      <c r="AZ59" s="707"/>
    </row>
    <row r="60" spans="3:52" s="46" customFormat="1" ht="30" hidden="1" customHeight="1" outlineLevel="1">
      <c r="C60" s="695">
        <v>45</v>
      </c>
      <c r="D60" s="708"/>
      <c r="E60" s="697"/>
      <c r="F60" s="698"/>
      <c r="G60" s="1901"/>
      <c r="H60" s="1902"/>
      <c r="I60" s="699"/>
      <c r="J60" s="700"/>
      <c r="K60" s="701"/>
      <c r="L60" s="702"/>
      <c r="M60" s="702"/>
      <c r="N60" s="702"/>
      <c r="O60" s="702"/>
      <c r="P60" s="1074"/>
      <c r="Q60" s="703"/>
      <c r="R60" s="704"/>
      <c r="S60" s="702"/>
      <c r="T60" s="689"/>
      <c r="U60" s="2"/>
      <c r="V60" s="1082"/>
      <c r="W60" s="690"/>
      <c r="X60" s="2"/>
      <c r="Y60" s="705">
        <f t="shared" si="17"/>
        <v>0</v>
      </c>
      <c r="Z60" s="691">
        <f t="shared" si="14"/>
        <v>0</v>
      </c>
      <c r="AA60" s="691">
        <f t="shared" si="15"/>
        <v>0</v>
      </c>
      <c r="AB60" s="705">
        <f>IF(Y60=0,,VLOOKUP(Y60,リスト!CX:CY,2,0))</f>
        <v>0</v>
      </c>
      <c r="AC60" s="705">
        <f t="shared" si="1"/>
        <v>0</v>
      </c>
      <c r="AD60" s="706">
        <f>IF(AC60=0,,VLOOKUP(AC60,リスト!DK:DL,2,0))</f>
        <v>0</v>
      </c>
      <c r="AE60" s="691">
        <f>IF(Y60=0,,
IF(OR(リスト!$C$21="小麦",リスト!$C$21="二条大麦",リスト!$C$21="六条大麦",リスト!$C$21="はだか麦",リスト!$C$21="なたね"),IF(K60&lt;9,調査年-J60,調査年-J60-1),
IF(リスト!$C$21="さとうきび",IF(K60&gt;=4,調査年-J60,調査年-J60+1),
調査年-J60)))</f>
        <v>0</v>
      </c>
      <c r="AF60" s="408">
        <f t="shared" si="18"/>
        <v>0</v>
      </c>
      <c r="AG60" s="408">
        <f t="shared" si="3"/>
        <v>0</v>
      </c>
      <c r="AH60" s="408">
        <f t="shared" si="4"/>
        <v>0</v>
      </c>
      <c r="AI60" s="408">
        <f t="shared" si="5"/>
        <v>0</v>
      </c>
      <c r="AJ60" s="408">
        <f t="shared" si="6"/>
        <v>0</v>
      </c>
      <c r="AK60" s="408">
        <f t="shared" si="16"/>
        <v>0</v>
      </c>
      <c r="AL60" s="408">
        <f t="shared" si="7"/>
        <v>0</v>
      </c>
      <c r="AM60" s="408">
        <f t="shared" si="8"/>
        <v>0</v>
      </c>
      <c r="AN60" s="417"/>
      <c r="AO60" s="69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3">
        <f t="shared" si="9"/>
        <v>0</v>
      </c>
      <c r="AQ60" s="408">
        <f t="shared" si="10"/>
        <v>0</v>
      </c>
      <c r="AR60" s="693">
        <f t="shared" si="11"/>
        <v>0</v>
      </c>
      <c r="AS60" s="408">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408">
        <f t="shared" si="12"/>
        <v>0</v>
      </c>
      <c r="AU60" s="408" t="str">
        <f t="shared" si="13"/>
        <v/>
      </c>
      <c r="AV60" s="707"/>
      <c r="AW60" s="707"/>
      <c r="AX60" s="707"/>
      <c r="AY60" s="707"/>
      <c r="AZ60" s="707"/>
    </row>
    <row r="61" spans="3:52" s="46" customFormat="1" ht="30" hidden="1" customHeight="1" outlineLevel="1">
      <c r="C61" s="695">
        <v>46</v>
      </c>
      <c r="D61" s="708"/>
      <c r="E61" s="697"/>
      <c r="F61" s="698"/>
      <c r="G61" s="1901"/>
      <c r="H61" s="1902"/>
      <c r="I61" s="699"/>
      <c r="J61" s="700"/>
      <c r="K61" s="701"/>
      <c r="L61" s="702"/>
      <c r="M61" s="702"/>
      <c r="N61" s="702"/>
      <c r="O61" s="702"/>
      <c r="P61" s="1074"/>
      <c r="Q61" s="703"/>
      <c r="R61" s="704"/>
      <c r="S61" s="702"/>
      <c r="T61" s="689"/>
      <c r="U61" s="2"/>
      <c r="V61" s="1082"/>
      <c r="W61" s="690"/>
      <c r="X61" s="2"/>
      <c r="Y61" s="705">
        <f t="shared" si="17"/>
        <v>0</v>
      </c>
      <c r="Z61" s="691">
        <f t="shared" si="14"/>
        <v>0</v>
      </c>
      <c r="AA61" s="691">
        <f t="shared" si="15"/>
        <v>0</v>
      </c>
      <c r="AB61" s="705">
        <f>IF(Y61=0,,VLOOKUP(Y61,リスト!CX:CY,2,0))</f>
        <v>0</v>
      </c>
      <c r="AC61" s="705">
        <f t="shared" si="1"/>
        <v>0</v>
      </c>
      <c r="AD61" s="706">
        <f>IF(AC61=0,,VLOOKUP(AC61,リスト!DK:DL,2,0))</f>
        <v>0</v>
      </c>
      <c r="AE61" s="691">
        <f>IF(Y61=0,,
IF(OR(リスト!$C$21="小麦",リスト!$C$21="二条大麦",リスト!$C$21="六条大麦",リスト!$C$21="はだか麦",リスト!$C$21="なたね"),IF(K61&lt;9,調査年-J61,調査年-J61-1),
IF(リスト!$C$21="さとうきび",IF(K61&gt;=4,調査年-J61,調査年-J61+1),
調査年-J61)))</f>
        <v>0</v>
      </c>
      <c r="AF61" s="408">
        <f t="shared" si="18"/>
        <v>0</v>
      </c>
      <c r="AG61" s="408">
        <f t="shared" si="3"/>
        <v>0</v>
      </c>
      <c r="AH61" s="408">
        <f t="shared" si="4"/>
        <v>0</v>
      </c>
      <c r="AI61" s="408">
        <f t="shared" si="5"/>
        <v>0</v>
      </c>
      <c r="AJ61" s="408">
        <f t="shared" si="6"/>
        <v>0</v>
      </c>
      <c r="AK61" s="408">
        <f t="shared" si="16"/>
        <v>0</v>
      </c>
      <c r="AL61" s="408">
        <f t="shared" si="7"/>
        <v>0</v>
      </c>
      <c r="AM61" s="408">
        <f t="shared" si="8"/>
        <v>0</v>
      </c>
      <c r="AN61" s="417"/>
      <c r="AO61" s="69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3">
        <f t="shared" si="9"/>
        <v>0</v>
      </c>
      <c r="AQ61" s="408">
        <f t="shared" si="10"/>
        <v>0</v>
      </c>
      <c r="AR61" s="693">
        <f t="shared" si="11"/>
        <v>0</v>
      </c>
      <c r="AS61" s="408">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408">
        <f t="shared" si="12"/>
        <v>0</v>
      </c>
      <c r="AU61" s="408" t="str">
        <f t="shared" si="13"/>
        <v/>
      </c>
      <c r="AV61" s="707"/>
      <c r="AW61" s="707"/>
      <c r="AX61" s="707"/>
      <c r="AY61" s="707"/>
      <c r="AZ61" s="707"/>
    </row>
    <row r="62" spans="3:52" s="46" customFormat="1" ht="30" hidden="1" customHeight="1" outlineLevel="1">
      <c r="C62" s="695">
        <v>47</v>
      </c>
      <c r="D62" s="708"/>
      <c r="E62" s="697"/>
      <c r="F62" s="698"/>
      <c r="G62" s="1901"/>
      <c r="H62" s="1902"/>
      <c r="I62" s="699"/>
      <c r="J62" s="700"/>
      <c r="K62" s="701"/>
      <c r="L62" s="702"/>
      <c r="M62" s="702"/>
      <c r="N62" s="702"/>
      <c r="O62" s="702"/>
      <c r="P62" s="1074"/>
      <c r="Q62" s="703"/>
      <c r="R62" s="704"/>
      <c r="S62" s="702"/>
      <c r="T62" s="689"/>
      <c r="U62" s="2"/>
      <c r="V62" s="1082"/>
      <c r="W62" s="690"/>
      <c r="X62" s="2"/>
      <c r="Y62" s="705">
        <f t="shared" si="17"/>
        <v>0</v>
      </c>
      <c r="Z62" s="691">
        <f t="shared" si="14"/>
        <v>0</v>
      </c>
      <c r="AA62" s="691">
        <f t="shared" si="15"/>
        <v>0</v>
      </c>
      <c r="AB62" s="705">
        <f>IF(Y62=0,,VLOOKUP(Y62,リスト!CX:CY,2,0))</f>
        <v>0</v>
      </c>
      <c r="AC62" s="705">
        <f t="shared" si="1"/>
        <v>0</v>
      </c>
      <c r="AD62" s="706">
        <f>IF(AC62=0,,VLOOKUP(AC62,リスト!DK:DL,2,0))</f>
        <v>0</v>
      </c>
      <c r="AE62" s="691">
        <f>IF(Y62=0,,
IF(OR(リスト!$C$21="小麦",リスト!$C$21="二条大麦",リスト!$C$21="六条大麦",リスト!$C$21="はだか麦",リスト!$C$21="なたね"),IF(K62&lt;9,調査年-J62,調査年-J62-1),
IF(リスト!$C$21="さとうきび",IF(K62&gt;=4,調査年-J62,調査年-J62+1),
調査年-J62)))</f>
        <v>0</v>
      </c>
      <c r="AF62" s="408">
        <f t="shared" si="18"/>
        <v>0</v>
      </c>
      <c r="AG62" s="408">
        <f t="shared" si="3"/>
        <v>0</v>
      </c>
      <c r="AH62" s="408">
        <f t="shared" si="4"/>
        <v>0</v>
      </c>
      <c r="AI62" s="408">
        <f t="shared" si="5"/>
        <v>0</v>
      </c>
      <c r="AJ62" s="408">
        <f t="shared" si="6"/>
        <v>0</v>
      </c>
      <c r="AK62" s="408">
        <f t="shared" si="16"/>
        <v>0</v>
      </c>
      <c r="AL62" s="408">
        <f t="shared" si="7"/>
        <v>0</v>
      </c>
      <c r="AM62" s="408">
        <f t="shared" si="8"/>
        <v>0</v>
      </c>
      <c r="AN62" s="417"/>
      <c r="AO62" s="69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3">
        <f t="shared" si="9"/>
        <v>0</v>
      </c>
      <c r="AQ62" s="408">
        <f t="shared" si="10"/>
        <v>0</v>
      </c>
      <c r="AR62" s="693">
        <f t="shared" si="11"/>
        <v>0</v>
      </c>
      <c r="AS62" s="408">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408">
        <f t="shared" si="12"/>
        <v>0</v>
      </c>
      <c r="AU62" s="408" t="str">
        <f t="shared" si="13"/>
        <v/>
      </c>
      <c r="AV62" s="707"/>
      <c r="AW62" s="707"/>
      <c r="AX62" s="707"/>
      <c r="AY62" s="707"/>
      <c r="AZ62" s="707"/>
    </row>
    <row r="63" spans="3:52" s="46" customFormat="1" ht="30" hidden="1" customHeight="1" outlineLevel="1">
      <c r="C63" s="695">
        <v>48</v>
      </c>
      <c r="D63" s="708"/>
      <c r="E63" s="697"/>
      <c r="F63" s="698"/>
      <c r="G63" s="1901"/>
      <c r="H63" s="1902"/>
      <c r="I63" s="699"/>
      <c r="J63" s="700"/>
      <c r="K63" s="701"/>
      <c r="L63" s="702"/>
      <c r="M63" s="702"/>
      <c r="N63" s="702"/>
      <c r="O63" s="702"/>
      <c r="P63" s="1074"/>
      <c r="Q63" s="703"/>
      <c r="R63" s="704"/>
      <c r="S63" s="702"/>
      <c r="T63" s="689"/>
      <c r="U63" s="2"/>
      <c r="V63" s="1082"/>
      <c r="W63" s="690"/>
      <c r="X63" s="2"/>
      <c r="Y63" s="705">
        <f t="shared" si="17"/>
        <v>0</v>
      </c>
      <c r="Z63" s="691">
        <f t="shared" si="14"/>
        <v>0</v>
      </c>
      <c r="AA63" s="691">
        <f t="shared" si="15"/>
        <v>0</v>
      </c>
      <c r="AB63" s="705">
        <f>IF(Y63=0,,VLOOKUP(Y63,リスト!CX:CY,2,0))</f>
        <v>0</v>
      </c>
      <c r="AC63" s="705">
        <f t="shared" si="1"/>
        <v>0</v>
      </c>
      <c r="AD63" s="706">
        <f>IF(AC63=0,,VLOOKUP(AC63,リスト!DK:DL,2,0))</f>
        <v>0</v>
      </c>
      <c r="AE63" s="691">
        <f>IF(Y63=0,,
IF(OR(リスト!$C$21="小麦",リスト!$C$21="二条大麦",リスト!$C$21="六条大麦",リスト!$C$21="はだか麦",リスト!$C$21="なたね"),IF(K63&lt;9,調査年-J63,調査年-J63-1),
IF(リスト!$C$21="さとうきび",IF(K63&gt;=4,調査年-J63,調査年-J63+1),
調査年-J63)))</f>
        <v>0</v>
      </c>
      <c r="AF63" s="408">
        <f t="shared" si="18"/>
        <v>0</v>
      </c>
      <c r="AG63" s="408">
        <f t="shared" si="3"/>
        <v>0</v>
      </c>
      <c r="AH63" s="408">
        <f t="shared" si="4"/>
        <v>0</v>
      </c>
      <c r="AI63" s="408">
        <f t="shared" si="5"/>
        <v>0</v>
      </c>
      <c r="AJ63" s="408">
        <f t="shared" si="6"/>
        <v>0</v>
      </c>
      <c r="AK63" s="408">
        <f t="shared" si="16"/>
        <v>0</v>
      </c>
      <c r="AL63" s="408">
        <f t="shared" si="7"/>
        <v>0</v>
      </c>
      <c r="AM63" s="408">
        <f t="shared" si="8"/>
        <v>0</v>
      </c>
      <c r="AN63" s="417"/>
      <c r="AO63" s="69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3">
        <f t="shared" si="9"/>
        <v>0</v>
      </c>
      <c r="AQ63" s="408">
        <f t="shared" si="10"/>
        <v>0</v>
      </c>
      <c r="AR63" s="693">
        <f t="shared" si="11"/>
        <v>0</v>
      </c>
      <c r="AS63" s="408">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408">
        <f t="shared" si="12"/>
        <v>0</v>
      </c>
      <c r="AU63" s="408" t="str">
        <f t="shared" si="13"/>
        <v/>
      </c>
      <c r="AV63" s="707"/>
      <c r="AW63" s="707"/>
      <c r="AX63" s="707"/>
      <c r="AY63" s="707"/>
      <c r="AZ63" s="707"/>
    </row>
    <row r="64" spans="3:52" s="46" customFormat="1" ht="30" hidden="1" customHeight="1" outlineLevel="1">
      <c r="C64" s="695">
        <v>49</v>
      </c>
      <c r="D64" s="708"/>
      <c r="E64" s="697"/>
      <c r="F64" s="698"/>
      <c r="G64" s="1901"/>
      <c r="H64" s="1902"/>
      <c r="I64" s="699"/>
      <c r="J64" s="700"/>
      <c r="K64" s="701"/>
      <c r="L64" s="702"/>
      <c r="M64" s="702"/>
      <c r="N64" s="702"/>
      <c r="O64" s="702"/>
      <c r="P64" s="1074"/>
      <c r="Q64" s="703"/>
      <c r="R64" s="704"/>
      <c r="S64" s="702"/>
      <c r="T64" s="689"/>
      <c r="U64" s="2"/>
      <c r="V64" s="1082"/>
      <c r="W64" s="690"/>
      <c r="X64" s="2"/>
      <c r="Y64" s="705">
        <f t="shared" si="17"/>
        <v>0</v>
      </c>
      <c r="Z64" s="691">
        <f t="shared" si="14"/>
        <v>0</v>
      </c>
      <c r="AA64" s="691">
        <f t="shared" si="15"/>
        <v>0</v>
      </c>
      <c r="AB64" s="705">
        <f>IF(Y64=0,,VLOOKUP(Y64,リスト!CX:CY,2,0))</f>
        <v>0</v>
      </c>
      <c r="AC64" s="705">
        <f t="shared" si="1"/>
        <v>0</v>
      </c>
      <c r="AD64" s="706">
        <f>IF(AC64=0,,VLOOKUP(AC64,リスト!DK:DL,2,0))</f>
        <v>0</v>
      </c>
      <c r="AE64" s="691">
        <f>IF(Y64=0,,
IF(OR(リスト!$C$21="小麦",リスト!$C$21="二条大麦",リスト!$C$21="六条大麦",リスト!$C$21="はだか麦",リスト!$C$21="なたね"),IF(K64&lt;9,調査年-J64,調査年-J64-1),
IF(リスト!$C$21="さとうきび",IF(K64&gt;=4,調査年-J64,調査年-J64+1),
調査年-J64)))</f>
        <v>0</v>
      </c>
      <c r="AF64" s="408">
        <f t="shared" si="18"/>
        <v>0</v>
      </c>
      <c r="AG64" s="408">
        <f t="shared" si="3"/>
        <v>0</v>
      </c>
      <c r="AH64" s="408">
        <f t="shared" si="4"/>
        <v>0</v>
      </c>
      <c r="AI64" s="408">
        <f t="shared" si="5"/>
        <v>0</v>
      </c>
      <c r="AJ64" s="408">
        <f t="shared" si="6"/>
        <v>0</v>
      </c>
      <c r="AK64" s="408">
        <f t="shared" si="16"/>
        <v>0</v>
      </c>
      <c r="AL64" s="408">
        <f t="shared" si="7"/>
        <v>0</v>
      </c>
      <c r="AM64" s="408">
        <f t="shared" si="8"/>
        <v>0</v>
      </c>
      <c r="AN64" s="417"/>
      <c r="AO64" s="69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3">
        <f t="shared" si="9"/>
        <v>0</v>
      </c>
      <c r="AQ64" s="408">
        <f t="shared" si="10"/>
        <v>0</v>
      </c>
      <c r="AR64" s="693">
        <f t="shared" si="11"/>
        <v>0</v>
      </c>
      <c r="AS64" s="408">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408">
        <f t="shared" si="12"/>
        <v>0</v>
      </c>
      <c r="AU64" s="408" t="str">
        <f t="shared" si="13"/>
        <v/>
      </c>
      <c r="AV64" s="707"/>
      <c r="AW64" s="707"/>
      <c r="AX64" s="707"/>
      <c r="AY64" s="707"/>
      <c r="AZ64" s="707"/>
    </row>
    <row r="65" spans="3:52" s="46" customFormat="1" ht="30" hidden="1" customHeight="1" outlineLevel="1">
      <c r="C65" s="695">
        <v>50</v>
      </c>
      <c r="D65" s="708"/>
      <c r="E65" s="697"/>
      <c r="F65" s="698"/>
      <c r="G65" s="1901"/>
      <c r="H65" s="1902"/>
      <c r="I65" s="699"/>
      <c r="J65" s="700"/>
      <c r="K65" s="701"/>
      <c r="L65" s="702"/>
      <c r="M65" s="702"/>
      <c r="N65" s="702"/>
      <c r="O65" s="702"/>
      <c r="P65" s="1074"/>
      <c r="Q65" s="703"/>
      <c r="R65" s="704"/>
      <c r="S65" s="702"/>
      <c r="T65" s="689"/>
      <c r="U65" s="2"/>
      <c r="V65" s="1082"/>
      <c r="W65" s="690"/>
      <c r="X65" s="2"/>
      <c r="Y65" s="705">
        <f t="shared" si="17"/>
        <v>0</v>
      </c>
      <c r="Z65" s="691">
        <f t="shared" si="14"/>
        <v>0</v>
      </c>
      <c r="AA65" s="691">
        <f t="shared" si="15"/>
        <v>0</v>
      </c>
      <c r="AB65" s="705">
        <f>IF(Y65=0,,VLOOKUP(Y65,リスト!CX:CY,2,0))</f>
        <v>0</v>
      </c>
      <c r="AC65" s="705">
        <f t="shared" si="1"/>
        <v>0</v>
      </c>
      <c r="AD65" s="706">
        <f>IF(AC65=0,,VLOOKUP(AC65,リスト!DK:DL,2,0))</f>
        <v>0</v>
      </c>
      <c r="AE65" s="691">
        <f>IF(Y65=0,,
IF(OR(リスト!$C$21="小麦",リスト!$C$21="二条大麦",リスト!$C$21="六条大麦",リスト!$C$21="はだか麦",リスト!$C$21="なたね"),IF(K65&lt;9,調査年-J65,調査年-J65-1),
IF(リスト!$C$21="さとうきび",IF(K65&gt;=4,調査年-J65,調査年-J65+1),
調査年-J65)))</f>
        <v>0</v>
      </c>
      <c r="AF65" s="408">
        <f t="shared" si="18"/>
        <v>0</v>
      </c>
      <c r="AG65" s="408">
        <f t="shared" si="3"/>
        <v>0</v>
      </c>
      <c r="AH65" s="408">
        <f t="shared" si="4"/>
        <v>0</v>
      </c>
      <c r="AI65" s="408">
        <f t="shared" si="5"/>
        <v>0</v>
      </c>
      <c r="AJ65" s="408">
        <f t="shared" si="6"/>
        <v>0</v>
      </c>
      <c r="AK65" s="408">
        <f t="shared" si="16"/>
        <v>0</v>
      </c>
      <c r="AL65" s="408">
        <f t="shared" si="7"/>
        <v>0</v>
      </c>
      <c r="AM65" s="408">
        <f t="shared" si="8"/>
        <v>0</v>
      </c>
      <c r="AN65" s="417"/>
      <c r="AO65" s="69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3">
        <f t="shared" si="9"/>
        <v>0</v>
      </c>
      <c r="AQ65" s="408">
        <f t="shared" si="10"/>
        <v>0</v>
      </c>
      <c r="AR65" s="693">
        <f t="shared" si="11"/>
        <v>0</v>
      </c>
      <c r="AS65" s="408">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408">
        <f t="shared" si="12"/>
        <v>0</v>
      </c>
      <c r="AU65" s="408" t="str">
        <f t="shared" si="13"/>
        <v/>
      </c>
      <c r="AV65" s="707"/>
      <c r="AW65" s="707"/>
      <c r="AX65" s="707"/>
      <c r="AY65" s="707"/>
      <c r="AZ65" s="707"/>
    </row>
    <row r="66" spans="3:52" s="46" customFormat="1" ht="30" hidden="1" customHeight="1" outlineLevel="1">
      <c r="C66" s="695">
        <v>51</v>
      </c>
      <c r="D66" s="708"/>
      <c r="E66" s="697"/>
      <c r="F66" s="698"/>
      <c r="G66" s="1901"/>
      <c r="H66" s="1902"/>
      <c r="I66" s="699"/>
      <c r="J66" s="700"/>
      <c r="K66" s="701"/>
      <c r="L66" s="702"/>
      <c r="M66" s="702"/>
      <c r="N66" s="702"/>
      <c r="O66" s="702"/>
      <c r="P66" s="1074"/>
      <c r="Q66" s="703"/>
      <c r="R66" s="704"/>
      <c r="S66" s="702"/>
      <c r="T66" s="689"/>
      <c r="U66" s="2"/>
      <c r="V66" s="1082"/>
      <c r="W66" s="690"/>
      <c r="X66" s="2"/>
      <c r="Y66" s="705">
        <f t="shared" si="17"/>
        <v>0</v>
      </c>
      <c r="Z66" s="691">
        <f t="shared" si="14"/>
        <v>0</v>
      </c>
      <c r="AA66" s="691">
        <f t="shared" si="15"/>
        <v>0</v>
      </c>
      <c r="AB66" s="705">
        <f>IF(Y66=0,,VLOOKUP(Y66,リスト!CX:CY,2,0))</f>
        <v>0</v>
      </c>
      <c r="AC66" s="705">
        <f t="shared" si="1"/>
        <v>0</v>
      </c>
      <c r="AD66" s="706">
        <f>IF(AC66=0,,VLOOKUP(AC66,リスト!DK:DL,2,0))</f>
        <v>0</v>
      </c>
      <c r="AE66" s="691">
        <f>IF(Y66=0,,
IF(OR(リスト!$C$21="小麦",リスト!$C$21="二条大麦",リスト!$C$21="六条大麦",リスト!$C$21="はだか麦",リスト!$C$21="なたね"),IF(K66&lt;9,調査年-J66,調査年-J66-1),
IF(リスト!$C$21="さとうきび",IF(K66&gt;=4,調査年-J66,調査年-J66+1),
調査年-J66)))</f>
        <v>0</v>
      </c>
      <c r="AF66" s="408">
        <f t="shared" si="18"/>
        <v>0</v>
      </c>
      <c r="AG66" s="408">
        <f t="shared" si="3"/>
        <v>0</v>
      </c>
      <c r="AH66" s="408">
        <f t="shared" si="4"/>
        <v>0</v>
      </c>
      <c r="AI66" s="408">
        <f t="shared" si="5"/>
        <v>0</v>
      </c>
      <c r="AJ66" s="408">
        <f t="shared" si="6"/>
        <v>0</v>
      </c>
      <c r="AK66" s="408">
        <f t="shared" si="16"/>
        <v>0</v>
      </c>
      <c r="AL66" s="408">
        <f t="shared" si="7"/>
        <v>0</v>
      </c>
      <c r="AM66" s="408">
        <f t="shared" si="8"/>
        <v>0</v>
      </c>
      <c r="AN66" s="417"/>
      <c r="AO66" s="69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3">
        <f t="shared" si="9"/>
        <v>0</v>
      </c>
      <c r="AQ66" s="408">
        <f t="shared" si="10"/>
        <v>0</v>
      </c>
      <c r="AR66" s="693">
        <f t="shared" si="11"/>
        <v>0</v>
      </c>
      <c r="AS66" s="408">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408">
        <f t="shared" si="12"/>
        <v>0</v>
      </c>
      <c r="AU66" s="408" t="str">
        <f t="shared" si="13"/>
        <v/>
      </c>
      <c r="AV66" s="707"/>
      <c r="AW66" s="707"/>
      <c r="AX66" s="707"/>
      <c r="AY66" s="707"/>
      <c r="AZ66" s="707"/>
    </row>
    <row r="67" spans="3:52" s="46" customFormat="1" ht="30" hidden="1" customHeight="1" outlineLevel="1">
      <c r="C67" s="695">
        <v>52</v>
      </c>
      <c r="D67" s="708"/>
      <c r="E67" s="697"/>
      <c r="F67" s="698"/>
      <c r="G67" s="1901"/>
      <c r="H67" s="1902"/>
      <c r="I67" s="699"/>
      <c r="J67" s="700"/>
      <c r="K67" s="701"/>
      <c r="L67" s="702"/>
      <c r="M67" s="702"/>
      <c r="N67" s="702"/>
      <c r="O67" s="702"/>
      <c r="P67" s="1074"/>
      <c r="Q67" s="703"/>
      <c r="R67" s="704"/>
      <c r="S67" s="702"/>
      <c r="T67" s="689"/>
      <c r="U67" s="2"/>
      <c r="V67" s="1082"/>
      <c r="W67" s="690"/>
      <c r="X67" s="2"/>
      <c r="Y67" s="705">
        <f t="shared" si="17"/>
        <v>0</v>
      </c>
      <c r="Z67" s="691">
        <f t="shared" si="14"/>
        <v>0</v>
      </c>
      <c r="AA67" s="691">
        <f t="shared" si="15"/>
        <v>0</v>
      </c>
      <c r="AB67" s="705">
        <f>IF(Y67=0,,VLOOKUP(Y67,リスト!CX:CY,2,0))</f>
        <v>0</v>
      </c>
      <c r="AC67" s="705">
        <f t="shared" si="1"/>
        <v>0</v>
      </c>
      <c r="AD67" s="706">
        <f>IF(AC67=0,,VLOOKUP(AC67,リスト!DK:DL,2,0))</f>
        <v>0</v>
      </c>
      <c r="AE67" s="691">
        <f>IF(Y67=0,,
IF(OR(リスト!$C$21="小麦",リスト!$C$21="二条大麦",リスト!$C$21="六条大麦",リスト!$C$21="はだか麦",リスト!$C$21="なたね"),IF(K67&lt;9,調査年-J67,調査年-J67-1),
IF(リスト!$C$21="さとうきび",IF(K67&gt;=4,調査年-J67,調査年-J67+1),
調査年-J67)))</f>
        <v>0</v>
      </c>
      <c r="AF67" s="408">
        <f t="shared" si="18"/>
        <v>0</v>
      </c>
      <c r="AG67" s="408">
        <f t="shared" si="3"/>
        <v>0</v>
      </c>
      <c r="AH67" s="408">
        <f t="shared" si="4"/>
        <v>0</v>
      </c>
      <c r="AI67" s="408">
        <f t="shared" si="5"/>
        <v>0</v>
      </c>
      <c r="AJ67" s="408">
        <f t="shared" si="6"/>
        <v>0</v>
      </c>
      <c r="AK67" s="408">
        <f t="shared" si="16"/>
        <v>0</v>
      </c>
      <c r="AL67" s="408">
        <f t="shared" si="7"/>
        <v>0</v>
      </c>
      <c r="AM67" s="408">
        <f t="shared" si="8"/>
        <v>0</v>
      </c>
      <c r="AN67" s="417"/>
      <c r="AO67" s="69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3">
        <f t="shared" si="9"/>
        <v>0</v>
      </c>
      <c r="AQ67" s="408">
        <f t="shared" si="10"/>
        <v>0</v>
      </c>
      <c r="AR67" s="693">
        <f t="shared" si="11"/>
        <v>0</v>
      </c>
      <c r="AS67" s="408">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408">
        <f t="shared" si="12"/>
        <v>0</v>
      </c>
      <c r="AU67" s="408" t="str">
        <f t="shared" si="13"/>
        <v/>
      </c>
      <c r="AV67" s="707"/>
      <c r="AW67" s="707"/>
      <c r="AX67" s="707"/>
      <c r="AY67" s="707"/>
      <c r="AZ67" s="707"/>
    </row>
    <row r="68" spans="3:52" s="46" customFormat="1" ht="30" hidden="1" customHeight="1" outlineLevel="1">
      <c r="C68" s="695">
        <v>53</v>
      </c>
      <c r="D68" s="708"/>
      <c r="E68" s="697"/>
      <c r="F68" s="698"/>
      <c r="G68" s="1901"/>
      <c r="H68" s="1902"/>
      <c r="I68" s="699"/>
      <c r="J68" s="700"/>
      <c r="K68" s="701"/>
      <c r="L68" s="702"/>
      <c r="M68" s="702"/>
      <c r="N68" s="702"/>
      <c r="O68" s="702"/>
      <c r="P68" s="1074"/>
      <c r="Q68" s="703"/>
      <c r="R68" s="704"/>
      <c r="S68" s="702"/>
      <c r="T68" s="689"/>
      <c r="U68" s="2"/>
      <c r="V68" s="1082"/>
      <c r="W68" s="690"/>
      <c r="X68" s="2"/>
      <c r="Y68" s="705">
        <f t="shared" si="17"/>
        <v>0</v>
      </c>
      <c r="Z68" s="691">
        <f t="shared" si="14"/>
        <v>0</v>
      </c>
      <c r="AA68" s="691">
        <f t="shared" si="15"/>
        <v>0</v>
      </c>
      <c r="AB68" s="705">
        <f>IF(Y68=0,,VLOOKUP(Y68,リスト!CX:CY,2,0))</f>
        <v>0</v>
      </c>
      <c r="AC68" s="705">
        <f t="shared" si="1"/>
        <v>0</v>
      </c>
      <c r="AD68" s="706">
        <f>IF(AC68=0,,VLOOKUP(AC68,リスト!DK:DL,2,0))</f>
        <v>0</v>
      </c>
      <c r="AE68" s="691">
        <f>IF(Y68=0,,
IF(OR(リスト!$C$21="小麦",リスト!$C$21="二条大麦",リスト!$C$21="六条大麦",リスト!$C$21="はだか麦",リスト!$C$21="なたね"),IF(K68&lt;9,調査年-J68,調査年-J68-1),
IF(リスト!$C$21="さとうきび",IF(K68&gt;=4,調査年-J68,調査年-J68+1),
調査年-J68)))</f>
        <v>0</v>
      </c>
      <c r="AF68" s="408">
        <f t="shared" si="18"/>
        <v>0</v>
      </c>
      <c r="AG68" s="408">
        <f t="shared" si="3"/>
        <v>0</v>
      </c>
      <c r="AH68" s="408">
        <f t="shared" si="4"/>
        <v>0</v>
      </c>
      <c r="AI68" s="408">
        <f t="shared" si="5"/>
        <v>0</v>
      </c>
      <c r="AJ68" s="408">
        <f t="shared" si="6"/>
        <v>0</v>
      </c>
      <c r="AK68" s="408">
        <f t="shared" si="16"/>
        <v>0</v>
      </c>
      <c r="AL68" s="408">
        <f t="shared" si="7"/>
        <v>0</v>
      </c>
      <c r="AM68" s="408">
        <f t="shared" si="8"/>
        <v>0</v>
      </c>
      <c r="AN68" s="417"/>
      <c r="AO68" s="69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3">
        <f t="shared" si="9"/>
        <v>0</v>
      </c>
      <c r="AQ68" s="408">
        <f t="shared" si="10"/>
        <v>0</v>
      </c>
      <c r="AR68" s="693">
        <f t="shared" si="11"/>
        <v>0</v>
      </c>
      <c r="AS68" s="408">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408">
        <f t="shared" si="12"/>
        <v>0</v>
      </c>
      <c r="AU68" s="408" t="str">
        <f t="shared" si="13"/>
        <v/>
      </c>
      <c r="AV68" s="707"/>
      <c r="AW68" s="707"/>
      <c r="AX68" s="707"/>
      <c r="AY68" s="707"/>
      <c r="AZ68" s="707"/>
    </row>
    <row r="69" spans="3:52" s="46" customFormat="1" ht="30" hidden="1" customHeight="1" outlineLevel="1">
      <c r="C69" s="695">
        <v>54</v>
      </c>
      <c r="D69" s="708"/>
      <c r="E69" s="697"/>
      <c r="F69" s="698"/>
      <c r="G69" s="1901"/>
      <c r="H69" s="1902"/>
      <c r="I69" s="699"/>
      <c r="J69" s="700"/>
      <c r="K69" s="701"/>
      <c r="L69" s="702"/>
      <c r="M69" s="702"/>
      <c r="N69" s="702"/>
      <c r="O69" s="702"/>
      <c r="P69" s="1074"/>
      <c r="Q69" s="703"/>
      <c r="R69" s="704"/>
      <c r="S69" s="702"/>
      <c r="T69" s="689"/>
      <c r="U69" s="2"/>
      <c r="V69" s="1082"/>
      <c r="W69" s="690"/>
      <c r="X69" s="2"/>
      <c r="Y69" s="705">
        <f t="shared" si="17"/>
        <v>0</v>
      </c>
      <c r="Z69" s="691">
        <f t="shared" si="14"/>
        <v>0</v>
      </c>
      <c r="AA69" s="691">
        <f t="shared" si="15"/>
        <v>0</v>
      </c>
      <c r="AB69" s="705">
        <f>IF(Y69=0,,VLOOKUP(Y69,リスト!CX:CY,2,0))</f>
        <v>0</v>
      </c>
      <c r="AC69" s="705">
        <f t="shared" si="1"/>
        <v>0</v>
      </c>
      <c r="AD69" s="706">
        <f>IF(AC69=0,,VLOOKUP(AC69,リスト!DK:DL,2,0))</f>
        <v>0</v>
      </c>
      <c r="AE69" s="691">
        <f>IF(Y69=0,,
IF(OR(リスト!$C$21="小麦",リスト!$C$21="二条大麦",リスト!$C$21="六条大麦",リスト!$C$21="はだか麦",リスト!$C$21="なたね"),IF(K69&lt;9,調査年-J69,調査年-J69-1),
IF(リスト!$C$21="さとうきび",IF(K69&gt;=4,調査年-J69,調査年-J69+1),
調査年-J69)))</f>
        <v>0</v>
      </c>
      <c r="AF69" s="408">
        <f t="shared" si="18"/>
        <v>0</v>
      </c>
      <c r="AG69" s="408">
        <f t="shared" si="3"/>
        <v>0</v>
      </c>
      <c r="AH69" s="408">
        <f t="shared" si="4"/>
        <v>0</v>
      </c>
      <c r="AI69" s="408">
        <f t="shared" si="5"/>
        <v>0</v>
      </c>
      <c r="AJ69" s="408">
        <f t="shared" si="6"/>
        <v>0</v>
      </c>
      <c r="AK69" s="408">
        <f t="shared" si="16"/>
        <v>0</v>
      </c>
      <c r="AL69" s="408">
        <f t="shared" si="7"/>
        <v>0</v>
      </c>
      <c r="AM69" s="408">
        <f t="shared" si="8"/>
        <v>0</v>
      </c>
      <c r="AN69" s="417"/>
      <c r="AO69" s="69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3">
        <f t="shared" si="9"/>
        <v>0</v>
      </c>
      <c r="AQ69" s="408">
        <f t="shared" si="10"/>
        <v>0</v>
      </c>
      <c r="AR69" s="693">
        <f t="shared" si="11"/>
        <v>0</v>
      </c>
      <c r="AS69" s="408">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408">
        <f t="shared" si="12"/>
        <v>0</v>
      </c>
      <c r="AU69" s="408" t="str">
        <f t="shared" si="13"/>
        <v/>
      </c>
      <c r="AV69" s="707"/>
      <c r="AW69" s="707"/>
      <c r="AX69" s="707"/>
      <c r="AY69" s="707"/>
      <c r="AZ69" s="707"/>
    </row>
    <row r="70" spans="3:52" s="46" customFormat="1" ht="30" hidden="1" customHeight="1" outlineLevel="1">
      <c r="C70" s="695">
        <v>55</v>
      </c>
      <c r="D70" s="708"/>
      <c r="E70" s="697"/>
      <c r="F70" s="698"/>
      <c r="G70" s="1901"/>
      <c r="H70" s="1902"/>
      <c r="I70" s="699"/>
      <c r="J70" s="700"/>
      <c r="K70" s="701"/>
      <c r="L70" s="702"/>
      <c r="M70" s="702"/>
      <c r="N70" s="702"/>
      <c r="O70" s="702"/>
      <c r="P70" s="1074"/>
      <c r="Q70" s="703"/>
      <c r="R70" s="704"/>
      <c r="S70" s="702"/>
      <c r="T70" s="689"/>
      <c r="U70" s="2"/>
      <c r="V70" s="1082"/>
      <c r="W70" s="690"/>
      <c r="X70" s="2"/>
      <c r="Y70" s="705">
        <f t="shared" si="17"/>
        <v>0</v>
      </c>
      <c r="Z70" s="691">
        <f t="shared" si="14"/>
        <v>0</v>
      </c>
      <c r="AA70" s="691">
        <f t="shared" si="15"/>
        <v>0</v>
      </c>
      <c r="AB70" s="705">
        <f>IF(Y70=0,,VLOOKUP(Y70,リスト!CX:CY,2,0))</f>
        <v>0</v>
      </c>
      <c r="AC70" s="705">
        <f t="shared" si="1"/>
        <v>0</v>
      </c>
      <c r="AD70" s="706">
        <f>IF(AC70=0,,VLOOKUP(AC70,リスト!DK:DL,2,0))</f>
        <v>0</v>
      </c>
      <c r="AE70" s="691">
        <f>IF(Y70=0,,
IF(OR(リスト!$C$21="小麦",リスト!$C$21="二条大麦",リスト!$C$21="六条大麦",リスト!$C$21="はだか麦",リスト!$C$21="なたね"),IF(K70&lt;9,調査年-J70,調査年-J70-1),
IF(リスト!$C$21="さとうきび",IF(K70&gt;=4,調査年-J70,調査年-J70+1),
調査年-J70)))</f>
        <v>0</v>
      </c>
      <c r="AF70" s="408">
        <f t="shared" si="18"/>
        <v>0</v>
      </c>
      <c r="AG70" s="408">
        <f t="shared" si="3"/>
        <v>0</v>
      </c>
      <c r="AH70" s="408">
        <f t="shared" si="4"/>
        <v>0</v>
      </c>
      <c r="AI70" s="408">
        <f t="shared" si="5"/>
        <v>0</v>
      </c>
      <c r="AJ70" s="408">
        <f t="shared" si="6"/>
        <v>0</v>
      </c>
      <c r="AK70" s="408">
        <f t="shared" si="16"/>
        <v>0</v>
      </c>
      <c r="AL70" s="408">
        <f t="shared" si="7"/>
        <v>0</v>
      </c>
      <c r="AM70" s="408">
        <f t="shared" si="8"/>
        <v>0</v>
      </c>
      <c r="AN70" s="417"/>
      <c r="AO70" s="69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3">
        <f t="shared" si="9"/>
        <v>0</v>
      </c>
      <c r="AQ70" s="408">
        <f t="shared" si="10"/>
        <v>0</v>
      </c>
      <c r="AR70" s="693">
        <f t="shared" si="11"/>
        <v>0</v>
      </c>
      <c r="AS70" s="408">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408">
        <f t="shared" si="12"/>
        <v>0</v>
      </c>
      <c r="AU70" s="408" t="str">
        <f t="shared" si="13"/>
        <v/>
      </c>
      <c r="AV70" s="707"/>
      <c r="AW70" s="707"/>
      <c r="AX70" s="707"/>
      <c r="AY70" s="707"/>
      <c r="AZ70" s="707"/>
    </row>
    <row r="71" spans="3:52" s="46" customFormat="1" ht="30" hidden="1" customHeight="1" outlineLevel="1">
      <c r="C71" s="695">
        <v>56</v>
      </c>
      <c r="D71" s="708"/>
      <c r="E71" s="697"/>
      <c r="F71" s="698"/>
      <c r="G71" s="1901"/>
      <c r="H71" s="1902"/>
      <c r="I71" s="699"/>
      <c r="J71" s="700"/>
      <c r="K71" s="701"/>
      <c r="L71" s="702"/>
      <c r="M71" s="702"/>
      <c r="N71" s="702"/>
      <c r="O71" s="702"/>
      <c r="P71" s="1074"/>
      <c r="Q71" s="703"/>
      <c r="R71" s="704"/>
      <c r="S71" s="702"/>
      <c r="T71" s="689"/>
      <c r="U71" s="2"/>
      <c r="V71" s="1082"/>
      <c r="W71" s="690"/>
      <c r="X71" s="2"/>
      <c r="Y71" s="705">
        <f t="shared" si="17"/>
        <v>0</v>
      </c>
      <c r="Z71" s="691">
        <f t="shared" si="14"/>
        <v>0</v>
      </c>
      <c r="AA71" s="691">
        <f t="shared" si="15"/>
        <v>0</v>
      </c>
      <c r="AB71" s="705">
        <f>IF(Y71=0,,VLOOKUP(Y71,リスト!CX:CY,2,0))</f>
        <v>0</v>
      </c>
      <c r="AC71" s="705">
        <f t="shared" si="1"/>
        <v>0</v>
      </c>
      <c r="AD71" s="706">
        <f>IF(AC71=0,,VLOOKUP(AC71,リスト!DK:DL,2,0))</f>
        <v>0</v>
      </c>
      <c r="AE71" s="691">
        <f>IF(Y71=0,,
IF(OR(リスト!$C$21="小麦",リスト!$C$21="二条大麦",リスト!$C$21="六条大麦",リスト!$C$21="はだか麦",リスト!$C$21="なたね"),IF(K71&lt;9,調査年-J71,調査年-J71-1),
IF(リスト!$C$21="さとうきび",IF(K71&gt;=4,調査年-J71,調査年-J71+1),
調査年-J71)))</f>
        <v>0</v>
      </c>
      <c r="AF71" s="408">
        <f t="shared" si="18"/>
        <v>0</v>
      </c>
      <c r="AG71" s="408">
        <f t="shared" si="3"/>
        <v>0</v>
      </c>
      <c r="AH71" s="408">
        <f t="shared" si="4"/>
        <v>0</v>
      </c>
      <c r="AI71" s="408">
        <f t="shared" si="5"/>
        <v>0</v>
      </c>
      <c r="AJ71" s="408">
        <f t="shared" si="6"/>
        <v>0</v>
      </c>
      <c r="AK71" s="408">
        <f t="shared" si="16"/>
        <v>0</v>
      </c>
      <c r="AL71" s="408">
        <f t="shared" si="7"/>
        <v>0</v>
      </c>
      <c r="AM71" s="408">
        <f t="shared" si="8"/>
        <v>0</v>
      </c>
      <c r="AN71" s="417"/>
      <c r="AO71" s="69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3">
        <f t="shared" si="9"/>
        <v>0</v>
      </c>
      <c r="AQ71" s="408">
        <f t="shared" si="10"/>
        <v>0</v>
      </c>
      <c r="AR71" s="693">
        <f t="shared" si="11"/>
        <v>0</v>
      </c>
      <c r="AS71" s="408">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408">
        <f t="shared" si="12"/>
        <v>0</v>
      </c>
      <c r="AU71" s="408" t="str">
        <f t="shared" si="13"/>
        <v/>
      </c>
      <c r="AV71" s="707"/>
      <c r="AW71" s="707"/>
      <c r="AX71" s="707"/>
      <c r="AY71" s="707"/>
      <c r="AZ71" s="707"/>
    </row>
    <row r="72" spans="3:52" s="46" customFormat="1" ht="30" hidden="1" customHeight="1" outlineLevel="1">
      <c r="C72" s="695">
        <v>57</v>
      </c>
      <c r="D72" s="708"/>
      <c r="E72" s="697"/>
      <c r="F72" s="698"/>
      <c r="G72" s="1901"/>
      <c r="H72" s="1902"/>
      <c r="I72" s="699"/>
      <c r="J72" s="700"/>
      <c r="K72" s="701"/>
      <c r="L72" s="702"/>
      <c r="M72" s="702"/>
      <c r="N72" s="702"/>
      <c r="O72" s="702"/>
      <c r="P72" s="1074"/>
      <c r="Q72" s="703"/>
      <c r="R72" s="704"/>
      <c r="S72" s="702"/>
      <c r="T72" s="689"/>
      <c r="U72" s="2"/>
      <c r="V72" s="1082"/>
      <c r="W72" s="690"/>
      <c r="X72" s="2"/>
      <c r="Y72" s="705">
        <f t="shared" si="17"/>
        <v>0</v>
      </c>
      <c r="Z72" s="691">
        <f t="shared" si="14"/>
        <v>0</v>
      </c>
      <c r="AA72" s="691">
        <f t="shared" si="15"/>
        <v>0</v>
      </c>
      <c r="AB72" s="705">
        <f>IF(Y72=0,,VLOOKUP(Y72,リスト!CX:CY,2,0))</f>
        <v>0</v>
      </c>
      <c r="AC72" s="705">
        <f t="shared" si="1"/>
        <v>0</v>
      </c>
      <c r="AD72" s="706">
        <f>IF(AC72=0,,VLOOKUP(AC72,リスト!DK:DL,2,0))</f>
        <v>0</v>
      </c>
      <c r="AE72" s="691">
        <f>IF(Y72=0,,
IF(OR(リスト!$C$21="小麦",リスト!$C$21="二条大麦",リスト!$C$21="六条大麦",リスト!$C$21="はだか麦",リスト!$C$21="なたね"),IF(K72&lt;9,調査年-J72,調査年-J72-1),
IF(リスト!$C$21="さとうきび",IF(K72&gt;=4,調査年-J72,調査年-J72+1),
調査年-J72)))</f>
        <v>0</v>
      </c>
      <c r="AF72" s="408">
        <f t="shared" si="18"/>
        <v>0</v>
      </c>
      <c r="AG72" s="408">
        <f t="shared" si="3"/>
        <v>0</v>
      </c>
      <c r="AH72" s="408">
        <f t="shared" si="4"/>
        <v>0</v>
      </c>
      <c r="AI72" s="408">
        <f t="shared" si="5"/>
        <v>0</v>
      </c>
      <c r="AJ72" s="408">
        <f t="shared" si="6"/>
        <v>0</v>
      </c>
      <c r="AK72" s="408">
        <f t="shared" si="16"/>
        <v>0</v>
      </c>
      <c r="AL72" s="408">
        <f t="shared" si="7"/>
        <v>0</v>
      </c>
      <c r="AM72" s="408">
        <f t="shared" si="8"/>
        <v>0</v>
      </c>
      <c r="AN72" s="417"/>
      <c r="AO72" s="69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3">
        <f t="shared" si="9"/>
        <v>0</v>
      </c>
      <c r="AQ72" s="408">
        <f t="shared" si="10"/>
        <v>0</v>
      </c>
      <c r="AR72" s="693">
        <f t="shared" si="11"/>
        <v>0</v>
      </c>
      <c r="AS72" s="408">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408">
        <f t="shared" si="12"/>
        <v>0</v>
      </c>
      <c r="AU72" s="408" t="str">
        <f t="shared" si="13"/>
        <v/>
      </c>
      <c r="AV72" s="707"/>
      <c r="AW72" s="707"/>
      <c r="AX72" s="707"/>
      <c r="AY72" s="707"/>
      <c r="AZ72" s="707"/>
    </row>
    <row r="73" spans="3:52" s="46" customFormat="1" ht="30" hidden="1" customHeight="1" outlineLevel="1">
      <c r="C73" s="695">
        <v>58</v>
      </c>
      <c r="D73" s="708"/>
      <c r="E73" s="697"/>
      <c r="F73" s="698"/>
      <c r="G73" s="1901"/>
      <c r="H73" s="1902"/>
      <c r="I73" s="699"/>
      <c r="J73" s="700"/>
      <c r="K73" s="701"/>
      <c r="L73" s="702"/>
      <c r="M73" s="702"/>
      <c r="N73" s="702"/>
      <c r="O73" s="702"/>
      <c r="P73" s="1074"/>
      <c r="Q73" s="703"/>
      <c r="R73" s="704"/>
      <c r="S73" s="702"/>
      <c r="T73" s="689"/>
      <c r="U73" s="2"/>
      <c r="V73" s="1082"/>
      <c r="W73" s="690"/>
      <c r="X73" s="2"/>
      <c r="Y73" s="705">
        <f t="shared" si="17"/>
        <v>0</v>
      </c>
      <c r="Z73" s="691">
        <f t="shared" si="14"/>
        <v>0</v>
      </c>
      <c r="AA73" s="691">
        <f t="shared" si="15"/>
        <v>0</v>
      </c>
      <c r="AB73" s="705">
        <f>IF(Y73=0,,VLOOKUP(Y73,リスト!CX:CY,2,0))</f>
        <v>0</v>
      </c>
      <c r="AC73" s="705">
        <f t="shared" si="1"/>
        <v>0</v>
      </c>
      <c r="AD73" s="706">
        <f>IF(AC73=0,,VLOOKUP(AC73,リスト!DK:DL,2,0))</f>
        <v>0</v>
      </c>
      <c r="AE73" s="691">
        <f>IF(Y73=0,,
IF(OR(リスト!$C$21="小麦",リスト!$C$21="二条大麦",リスト!$C$21="六条大麦",リスト!$C$21="はだか麦",リスト!$C$21="なたね"),IF(K73&lt;9,調査年-J73,調査年-J73-1),
IF(リスト!$C$21="さとうきび",IF(K73&gt;=4,調査年-J73,調査年-J73+1),
調査年-J73)))</f>
        <v>0</v>
      </c>
      <c r="AF73" s="408">
        <f t="shared" si="18"/>
        <v>0</v>
      </c>
      <c r="AG73" s="408">
        <f t="shared" si="3"/>
        <v>0</v>
      </c>
      <c r="AH73" s="408">
        <f t="shared" si="4"/>
        <v>0</v>
      </c>
      <c r="AI73" s="408">
        <f t="shared" si="5"/>
        <v>0</v>
      </c>
      <c r="AJ73" s="408">
        <f t="shared" si="6"/>
        <v>0</v>
      </c>
      <c r="AK73" s="408">
        <f t="shared" si="16"/>
        <v>0</v>
      </c>
      <c r="AL73" s="408">
        <f t="shared" si="7"/>
        <v>0</v>
      </c>
      <c r="AM73" s="408">
        <f t="shared" si="8"/>
        <v>0</v>
      </c>
      <c r="AN73" s="417"/>
      <c r="AO73" s="69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3">
        <f t="shared" si="9"/>
        <v>0</v>
      </c>
      <c r="AQ73" s="408">
        <f t="shared" si="10"/>
        <v>0</v>
      </c>
      <c r="AR73" s="693">
        <f t="shared" si="11"/>
        <v>0</v>
      </c>
      <c r="AS73" s="408">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408">
        <f t="shared" si="12"/>
        <v>0</v>
      </c>
      <c r="AU73" s="408" t="str">
        <f t="shared" si="13"/>
        <v/>
      </c>
      <c r="AV73" s="707"/>
      <c r="AW73" s="707"/>
      <c r="AX73" s="707"/>
      <c r="AY73" s="707"/>
      <c r="AZ73" s="707"/>
    </row>
    <row r="74" spans="3:52" s="46" customFormat="1" ht="30" hidden="1" customHeight="1" outlineLevel="1">
      <c r="C74" s="695">
        <v>59</v>
      </c>
      <c r="D74" s="708"/>
      <c r="E74" s="697"/>
      <c r="F74" s="698"/>
      <c r="G74" s="1901"/>
      <c r="H74" s="1902"/>
      <c r="I74" s="699"/>
      <c r="J74" s="700"/>
      <c r="K74" s="701"/>
      <c r="L74" s="702"/>
      <c r="M74" s="702"/>
      <c r="N74" s="702"/>
      <c r="O74" s="702"/>
      <c r="P74" s="1074"/>
      <c r="Q74" s="703"/>
      <c r="R74" s="704"/>
      <c r="S74" s="702"/>
      <c r="T74" s="689"/>
      <c r="U74" s="2"/>
      <c r="V74" s="1082"/>
      <c r="W74" s="690"/>
      <c r="X74" s="2"/>
      <c r="Y74" s="705">
        <f t="shared" si="17"/>
        <v>0</v>
      </c>
      <c r="Z74" s="691">
        <f t="shared" si="14"/>
        <v>0</v>
      </c>
      <c r="AA74" s="691">
        <f t="shared" si="15"/>
        <v>0</v>
      </c>
      <c r="AB74" s="705">
        <f>IF(Y74=0,,VLOOKUP(Y74,リスト!CX:CY,2,0))</f>
        <v>0</v>
      </c>
      <c r="AC74" s="705">
        <f t="shared" si="1"/>
        <v>0</v>
      </c>
      <c r="AD74" s="706">
        <f>IF(AC74=0,,VLOOKUP(AC74,リスト!DK:DL,2,0))</f>
        <v>0</v>
      </c>
      <c r="AE74" s="691">
        <f>IF(Y74=0,,
IF(OR(リスト!$C$21="小麦",リスト!$C$21="二条大麦",リスト!$C$21="六条大麦",リスト!$C$21="はだか麦",リスト!$C$21="なたね"),IF(K74&lt;9,調査年-J74,調査年-J74-1),
IF(リスト!$C$21="さとうきび",IF(K74&gt;=4,調査年-J74,調査年-J74+1),
調査年-J74)))</f>
        <v>0</v>
      </c>
      <c r="AF74" s="408">
        <f t="shared" si="18"/>
        <v>0</v>
      </c>
      <c r="AG74" s="408">
        <f t="shared" si="3"/>
        <v>0</v>
      </c>
      <c r="AH74" s="408">
        <f t="shared" si="4"/>
        <v>0</v>
      </c>
      <c r="AI74" s="408">
        <f t="shared" si="5"/>
        <v>0</v>
      </c>
      <c r="AJ74" s="408">
        <f t="shared" si="6"/>
        <v>0</v>
      </c>
      <c r="AK74" s="408">
        <f t="shared" si="16"/>
        <v>0</v>
      </c>
      <c r="AL74" s="408">
        <f t="shared" si="7"/>
        <v>0</v>
      </c>
      <c r="AM74" s="408">
        <f t="shared" si="8"/>
        <v>0</v>
      </c>
      <c r="AN74" s="417"/>
      <c r="AO74" s="69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3">
        <f t="shared" si="9"/>
        <v>0</v>
      </c>
      <c r="AQ74" s="408">
        <f t="shared" si="10"/>
        <v>0</v>
      </c>
      <c r="AR74" s="693">
        <f t="shared" si="11"/>
        <v>0</v>
      </c>
      <c r="AS74" s="408">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408">
        <f t="shared" si="12"/>
        <v>0</v>
      </c>
      <c r="AU74" s="408" t="str">
        <f t="shared" si="13"/>
        <v/>
      </c>
      <c r="AV74" s="707"/>
      <c r="AW74" s="707"/>
      <c r="AX74" s="707"/>
      <c r="AY74" s="707"/>
      <c r="AZ74" s="707"/>
    </row>
    <row r="75" spans="3:52" s="46" customFormat="1" ht="30" hidden="1" customHeight="1" outlineLevel="1">
      <c r="C75" s="695">
        <v>60</v>
      </c>
      <c r="D75" s="708"/>
      <c r="E75" s="697"/>
      <c r="F75" s="698"/>
      <c r="G75" s="1901"/>
      <c r="H75" s="1902"/>
      <c r="I75" s="699"/>
      <c r="J75" s="700"/>
      <c r="K75" s="701"/>
      <c r="L75" s="702"/>
      <c r="M75" s="702"/>
      <c r="N75" s="702"/>
      <c r="O75" s="702"/>
      <c r="P75" s="1074"/>
      <c r="Q75" s="703"/>
      <c r="R75" s="704"/>
      <c r="S75" s="702"/>
      <c r="T75" s="689"/>
      <c r="U75" s="2"/>
      <c r="V75" s="1082"/>
      <c r="W75" s="690"/>
      <c r="X75" s="2"/>
      <c r="Y75" s="705">
        <f t="shared" si="17"/>
        <v>0</v>
      </c>
      <c r="Z75" s="691">
        <f t="shared" si="14"/>
        <v>0</v>
      </c>
      <c r="AA75" s="691">
        <f t="shared" si="15"/>
        <v>0</v>
      </c>
      <c r="AB75" s="705">
        <f>IF(Y75=0,,VLOOKUP(Y75,リスト!CX:CY,2,0))</f>
        <v>0</v>
      </c>
      <c r="AC75" s="705">
        <f t="shared" si="1"/>
        <v>0</v>
      </c>
      <c r="AD75" s="706">
        <f>IF(AC75=0,,VLOOKUP(AC75,リスト!DK:DL,2,0))</f>
        <v>0</v>
      </c>
      <c r="AE75" s="691">
        <f>IF(Y75=0,,
IF(OR(リスト!$C$21="小麦",リスト!$C$21="二条大麦",リスト!$C$21="六条大麦",リスト!$C$21="はだか麦",リスト!$C$21="なたね"),IF(K75&lt;9,調査年-J75,調査年-J75-1),
IF(リスト!$C$21="さとうきび",IF(K75&gt;=4,調査年-J75,調査年-J75+1),
調査年-J75)))</f>
        <v>0</v>
      </c>
      <c r="AF75" s="408">
        <f t="shared" si="18"/>
        <v>0</v>
      </c>
      <c r="AG75" s="408">
        <f t="shared" si="3"/>
        <v>0</v>
      </c>
      <c r="AH75" s="408">
        <f t="shared" si="4"/>
        <v>0</v>
      </c>
      <c r="AI75" s="408">
        <f t="shared" si="5"/>
        <v>0</v>
      </c>
      <c r="AJ75" s="408">
        <f t="shared" si="6"/>
        <v>0</v>
      </c>
      <c r="AK75" s="408">
        <f t="shared" si="16"/>
        <v>0</v>
      </c>
      <c r="AL75" s="408">
        <f t="shared" si="7"/>
        <v>0</v>
      </c>
      <c r="AM75" s="408">
        <f t="shared" si="8"/>
        <v>0</v>
      </c>
      <c r="AN75" s="417"/>
      <c r="AO75" s="69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3">
        <f t="shared" si="9"/>
        <v>0</v>
      </c>
      <c r="AQ75" s="408">
        <f t="shared" si="10"/>
        <v>0</v>
      </c>
      <c r="AR75" s="693">
        <f t="shared" si="11"/>
        <v>0</v>
      </c>
      <c r="AS75" s="408">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408">
        <f t="shared" si="12"/>
        <v>0</v>
      </c>
      <c r="AU75" s="408" t="str">
        <f t="shared" si="13"/>
        <v/>
      </c>
      <c r="AV75" s="707"/>
      <c r="AW75" s="707"/>
      <c r="AX75" s="707"/>
      <c r="AY75" s="707"/>
      <c r="AZ75" s="707"/>
    </row>
    <row r="76" spans="3:52" s="46" customFormat="1" ht="30" hidden="1" customHeight="1" outlineLevel="1">
      <c r="C76" s="695">
        <v>61</v>
      </c>
      <c r="D76" s="708"/>
      <c r="E76" s="697"/>
      <c r="F76" s="698"/>
      <c r="G76" s="1901"/>
      <c r="H76" s="1902"/>
      <c r="I76" s="699"/>
      <c r="J76" s="700"/>
      <c r="K76" s="701"/>
      <c r="L76" s="702"/>
      <c r="M76" s="702"/>
      <c r="N76" s="702"/>
      <c r="O76" s="702"/>
      <c r="P76" s="1074"/>
      <c r="Q76" s="703"/>
      <c r="R76" s="704"/>
      <c r="S76" s="702"/>
      <c r="T76" s="689"/>
      <c r="U76" s="2"/>
      <c r="V76" s="1082"/>
      <c r="W76" s="690"/>
      <c r="X76" s="2"/>
      <c r="Y76" s="705">
        <f t="shared" si="17"/>
        <v>0</v>
      </c>
      <c r="Z76" s="691">
        <f t="shared" si="14"/>
        <v>0</v>
      </c>
      <c r="AA76" s="691">
        <f t="shared" si="15"/>
        <v>0</v>
      </c>
      <c r="AB76" s="705">
        <f>IF(Y76=0,,VLOOKUP(Y76,リスト!CX:CY,2,0))</f>
        <v>0</v>
      </c>
      <c r="AC76" s="705">
        <f t="shared" si="1"/>
        <v>0</v>
      </c>
      <c r="AD76" s="706">
        <f>IF(AC76=0,,VLOOKUP(AC76,リスト!DK:DL,2,0))</f>
        <v>0</v>
      </c>
      <c r="AE76" s="691">
        <f>IF(Y76=0,,
IF(OR(リスト!$C$21="小麦",リスト!$C$21="二条大麦",リスト!$C$21="六条大麦",リスト!$C$21="はだか麦",リスト!$C$21="なたね"),IF(K76&lt;9,調査年-J76,調査年-J76-1),
IF(リスト!$C$21="さとうきび",IF(K76&gt;=4,調査年-J76,調査年-J76+1),
調査年-J76)))</f>
        <v>0</v>
      </c>
      <c r="AF76" s="408">
        <f t="shared" si="18"/>
        <v>0</v>
      </c>
      <c r="AG76" s="408">
        <f t="shared" si="3"/>
        <v>0</v>
      </c>
      <c r="AH76" s="408">
        <f t="shared" si="4"/>
        <v>0</v>
      </c>
      <c r="AI76" s="408">
        <f t="shared" si="5"/>
        <v>0</v>
      </c>
      <c r="AJ76" s="408">
        <f t="shared" si="6"/>
        <v>0</v>
      </c>
      <c r="AK76" s="408">
        <f t="shared" si="16"/>
        <v>0</v>
      </c>
      <c r="AL76" s="408">
        <f t="shared" si="7"/>
        <v>0</v>
      </c>
      <c r="AM76" s="408">
        <f t="shared" si="8"/>
        <v>0</v>
      </c>
      <c r="AN76" s="417"/>
      <c r="AO76" s="69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3">
        <f t="shared" si="9"/>
        <v>0</v>
      </c>
      <c r="AQ76" s="408">
        <f t="shared" si="10"/>
        <v>0</v>
      </c>
      <c r="AR76" s="693">
        <f t="shared" si="11"/>
        <v>0</v>
      </c>
      <c r="AS76" s="408">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408">
        <f t="shared" si="12"/>
        <v>0</v>
      </c>
      <c r="AU76" s="408" t="str">
        <f t="shared" si="13"/>
        <v/>
      </c>
      <c r="AV76" s="707"/>
      <c r="AW76" s="707"/>
      <c r="AX76" s="707"/>
      <c r="AY76" s="707"/>
      <c r="AZ76" s="707"/>
    </row>
    <row r="77" spans="3:52" s="46" customFormat="1" ht="30" hidden="1" customHeight="1" outlineLevel="1">
      <c r="C77" s="695">
        <v>62</v>
      </c>
      <c r="D77" s="696"/>
      <c r="E77" s="697"/>
      <c r="F77" s="698"/>
      <c r="G77" s="1901"/>
      <c r="H77" s="1902"/>
      <c r="I77" s="699"/>
      <c r="J77" s="700"/>
      <c r="K77" s="701"/>
      <c r="L77" s="702"/>
      <c r="M77" s="702"/>
      <c r="N77" s="702"/>
      <c r="O77" s="702"/>
      <c r="P77" s="1074"/>
      <c r="Q77" s="703"/>
      <c r="R77" s="704"/>
      <c r="S77" s="702"/>
      <c r="T77" s="689"/>
      <c r="U77" s="2"/>
      <c r="V77" s="1082"/>
      <c r="W77" s="690"/>
      <c r="X77" s="2"/>
      <c r="Y77" s="705">
        <f t="shared" si="17"/>
        <v>0</v>
      </c>
      <c r="Z77" s="691">
        <f t="shared" si="14"/>
        <v>0</v>
      </c>
      <c r="AA77" s="691">
        <f t="shared" si="15"/>
        <v>0</v>
      </c>
      <c r="AB77" s="705">
        <f>IF(Y77=0,,VLOOKUP(Y77,リスト!CX:CY,2,0))</f>
        <v>0</v>
      </c>
      <c r="AC77" s="705">
        <f t="shared" si="1"/>
        <v>0</v>
      </c>
      <c r="AD77" s="706">
        <f>IF(AC77=0,,VLOOKUP(AC77,リスト!DK:DL,2,0))</f>
        <v>0</v>
      </c>
      <c r="AE77" s="691">
        <f>IF(Y77=0,,
IF(OR(リスト!$C$21="小麦",リスト!$C$21="二条大麦",リスト!$C$21="六条大麦",リスト!$C$21="はだか麦",リスト!$C$21="なたね"),IF(K77&lt;9,調査年-J77,調査年-J77-1),
IF(リスト!$C$21="さとうきび",IF(K77&gt;=4,調査年-J77,調査年-J77+1),
調査年-J77)))</f>
        <v>0</v>
      </c>
      <c r="AF77" s="408">
        <f t="shared" si="18"/>
        <v>0</v>
      </c>
      <c r="AG77" s="408">
        <f t="shared" si="3"/>
        <v>0</v>
      </c>
      <c r="AH77" s="408">
        <f t="shared" si="4"/>
        <v>0</v>
      </c>
      <c r="AI77" s="408">
        <f t="shared" si="5"/>
        <v>0</v>
      </c>
      <c r="AJ77" s="408">
        <f t="shared" si="6"/>
        <v>0</v>
      </c>
      <c r="AK77" s="408">
        <f t="shared" si="16"/>
        <v>0</v>
      </c>
      <c r="AL77" s="408">
        <f t="shared" si="7"/>
        <v>0</v>
      </c>
      <c r="AM77" s="408">
        <f t="shared" si="8"/>
        <v>0</v>
      </c>
      <c r="AN77" s="417"/>
      <c r="AO77" s="69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3">
        <f t="shared" si="9"/>
        <v>0</v>
      </c>
      <c r="AQ77" s="408">
        <f t="shared" si="10"/>
        <v>0</v>
      </c>
      <c r="AR77" s="693">
        <f t="shared" si="11"/>
        <v>0</v>
      </c>
      <c r="AS77" s="408">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408">
        <f t="shared" si="12"/>
        <v>0</v>
      </c>
      <c r="AU77" s="408" t="str">
        <f t="shared" si="13"/>
        <v/>
      </c>
      <c r="AV77" s="707"/>
      <c r="AW77" s="707"/>
      <c r="AX77" s="707"/>
      <c r="AY77" s="707"/>
      <c r="AZ77" s="707"/>
    </row>
    <row r="78" spans="3:52" s="46" customFormat="1" ht="30" hidden="1" customHeight="1" outlineLevel="1">
      <c r="C78" s="695">
        <v>63</v>
      </c>
      <c r="D78" s="708"/>
      <c r="E78" s="697"/>
      <c r="F78" s="698"/>
      <c r="G78" s="1901"/>
      <c r="H78" s="1902"/>
      <c r="I78" s="699"/>
      <c r="J78" s="700"/>
      <c r="K78" s="701"/>
      <c r="L78" s="702"/>
      <c r="M78" s="702"/>
      <c r="N78" s="702"/>
      <c r="O78" s="702"/>
      <c r="P78" s="1074"/>
      <c r="Q78" s="703"/>
      <c r="R78" s="704"/>
      <c r="S78" s="702"/>
      <c r="T78" s="689"/>
      <c r="U78" s="2"/>
      <c r="V78" s="1082"/>
      <c r="W78" s="690"/>
      <c r="X78" s="2"/>
      <c r="Y78" s="705">
        <f t="shared" si="17"/>
        <v>0</v>
      </c>
      <c r="Z78" s="691">
        <f t="shared" si="14"/>
        <v>0</v>
      </c>
      <c r="AA78" s="691">
        <f t="shared" si="15"/>
        <v>0</v>
      </c>
      <c r="AB78" s="705">
        <f>IF(Y78=0,,VLOOKUP(Y78,リスト!CX:CY,2,0))</f>
        <v>0</v>
      </c>
      <c r="AC78" s="705">
        <f t="shared" si="1"/>
        <v>0</v>
      </c>
      <c r="AD78" s="706">
        <f>IF(AC78=0,,VLOOKUP(AC78,リスト!DK:DL,2,0))</f>
        <v>0</v>
      </c>
      <c r="AE78" s="691">
        <f>IF(Y78=0,,
IF(OR(リスト!$C$21="小麦",リスト!$C$21="二条大麦",リスト!$C$21="六条大麦",リスト!$C$21="はだか麦",リスト!$C$21="なたね"),IF(K78&lt;9,調査年-J78,調査年-J78-1),
IF(リスト!$C$21="さとうきび",IF(K78&gt;=4,調査年-J78,調査年-J78+1),
調査年-J78)))</f>
        <v>0</v>
      </c>
      <c r="AF78" s="408">
        <f t="shared" si="18"/>
        <v>0</v>
      </c>
      <c r="AG78" s="408">
        <f t="shared" si="3"/>
        <v>0</v>
      </c>
      <c r="AH78" s="408">
        <f t="shared" si="4"/>
        <v>0</v>
      </c>
      <c r="AI78" s="408">
        <f t="shared" si="5"/>
        <v>0</v>
      </c>
      <c r="AJ78" s="408">
        <f t="shared" si="6"/>
        <v>0</v>
      </c>
      <c r="AK78" s="408">
        <f t="shared" si="16"/>
        <v>0</v>
      </c>
      <c r="AL78" s="408">
        <f t="shared" si="7"/>
        <v>0</v>
      </c>
      <c r="AM78" s="408">
        <f t="shared" si="8"/>
        <v>0</v>
      </c>
      <c r="AN78" s="417"/>
      <c r="AO78" s="69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3">
        <f t="shared" si="9"/>
        <v>0</v>
      </c>
      <c r="AQ78" s="408">
        <f t="shared" si="10"/>
        <v>0</v>
      </c>
      <c r="AR78" s="693">
        <f t="shared" si="11"/>
        <v>0</v>
      </c>
      <c r="AS78" s="408">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408">
        <f t="shared" si="12"/>
        <v>0</v>
      </c>
      <c r="AU78" s="408" t="str">
        <f t="shared" si="13"/>
        <v/>
      </c>
      <c r="AV78" s="707"/>
      <c r="AW78" s="707"/>
      <c r="AX78" s="707"/>
      <c r="AY78" s="707"/>
      <c r="AZ78" s="707"/>
    </row>
    <row r="79" spans="3:52" s="46" customFormat="1" ht="30" hidden="1" customHeight="1" outlineLevel="1">
      <c r="C79" s="695">
        <v>64</v>
      </c>
      <c r="D79" s="708"/>
      <c r="E79" s="697"/>
      <c r="F79" s="698"/>
      <c r="G79" s="1901"/>
      <c r="H79" s="1902"/>
      <c r="I79" s="699"/>
      <c r="J79" s="700"/>
      <c r="K79" s="701"/>
      <c r="L79" s="702"/>
      <c r="M79" s="702"/>
      <c r="N79" s="702"/>
      <c r="O79" s="702"/>
      <c r="P79" s="1074"/>
      <c r="Q79" s="703"/>
      <c r="R79" s="704"/>
      <c r="S79" s="702"/>
      <c r="T79" s="689"/>
      <c r="U79" s="2"/>
      <c r="V79" s="1082"/>
      <c r="W79" s="690"/>
      <c r="X79" s="2"/>
      <c r="Y79" s="705">
        <f t="shared" si="17"/>
        <v>0</v>
      </c>
      <c r="Z79" s="691">
        <f t="shared" si="14"/>
        <v>0</v>
      </c>
      <c r="AA79" s="691">
        <f t="shared" si="15"/>
        <v>0</v>
      </c>
      <c r="AB79" s="705">
        <f>IF(Y79=0,,VLOOKUP(Y79,リスト!CX:CY,2,0))</f>
        <v>0</v>
      </c>
      <c r="AC79" s="705">
        <f t="shared" si="1"/>
        <v>0</v>
      </c>
      <c r="AD79" s="706">
        <f>IF(AC79=0,,VLOOKUP(AC79,リスト!DK:DL,2,0))</f>
        <v>0</v>
      </c>
      <c r="AE79" s="691">
        <f>IF(Y79=0,,
IF(OR(リスト!$C$21="小麦",リスト!$C$21="二条大麦",リスト!$C$21="六条大麦",リスト!$C$21="はだか麦",リスト!$C$21="なたね"),IF(K79&lt;9,調査年-J79,調査年-J79-1),
IF(リスト!$C$21="さとうきび",IF(K79&gt;=4,調査年-J79,調査年-J79+1),
調査年-J79)))</f>
        <v>0</v>
      </c>
      <c r="AF79" s="408">
        <f t="shared" si="18"/>
        <v>0</v>
      </c>
      <c r="AG79" s="408">
        <f t="shared" si="3"/>
        <v>0</v>
      </c>
      <c r="AH79" s="408">
        <f t="shared" si="4"/>
        <v>0</v>
      </c>
      <c r="AI79" s="408">
        <f t="shared" si="5"/>
        <v>0</v>
      </c>
      <c r="AJ79" s="408">
        <f t="shared" si="6"/>
        <v>0</v>
      </c>
      <c r="AK79" s="408">
        <f t="shared" si="16"/>
        <v>0</v>
      </c>
      <c r="AL79" s="408">
        <f t="shared" si="7"/>
        <v>0</v>
      </c>
      <c r="AM79" s="408">
        <f t="shared" si="8"/>
        <v>0</v>
      </c>
      <c r="AN79" s="417"/>
      <c r="AO79" s="69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3">
        <f t="shared" si="9"/>
        <v>0</v>
      </c>
      <c r="AQ79" s="408">
        <f t="shared" si="10"/>
        <v>0</v>
      </c>
      <c r="AR79" s="693">
        <f t="shared" si="11"/>
        <v>0</v>
      </c>
      <c r="AS79" s="408">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408">
        <f t="shared" si="12"/>
        <v>0</v>
      </c>
      <c r="AU79" s="408" t="str">
        <f t="shared" si="13"/>
        <v/>
      </c>
      <c r="AV79" s="707"/>
      <c r="AW79" s="707"/>
      <c r="AX79" s="707"/>
      <c r="AY79" s="707"/>
      <c r="AZ79" s="707"/>
    </row>
    <row r="80" spans="3:52" s="46" customFormat="1" ht="30" hidden="1" customHeight="1" outlineLevel="1">
      <c r="C80" s="695">
        <v>65</v>
      </c>
      <c r="D80" s="708"/>
      <c r="E80" s="697"/>
      <c r="F80" s="698"/>
      <c r="G80" s="1901"/>
      <c r="H80" s="1902"/>
      <c r="I80" s="699"/>
      <c r="J80" s="700"/>
      <c r="K80" s="701"/>
      <c r="L80" s="702"/>
      <c r="M80" s="702"/>
      <c r="N80" s="702"/>
      <c r="O80" s="702"/>
      <c r="P80" s="1074"/>
      <c r="Q80" s="703"/>
      <c r="R80" s="704"/>
      <c r="S80" s="702"/>
      <c r="T80" s="689"/>
      <c r="U80" s="2"/>
      <c r="V80" s="1082"/>
      <c r="W80" s="690"/>
      <c r="X80" s="2"/>
      <c r="Y80" s="705">
        <f t="shared" si="17"/>
        <v>0</v>
      </c>
      <c r="Z80" s="691">
        <f t="shared" si="14"/>
        <v>0</v>
      </c>
      <c r="AA80" s="691">
        <f t="shared" si="15"/>
        <v>0</v>
      </c>
      <c r="AB80" s="705">
        <f>IF(Y80=0,,VLOOKUP(Y80,リスト!CX:CY,2,0))</f>
        <v>0</v>
      </c>
      <c r="AC80" s="705">
        <f t="shared" ref="AC80:AC115" si="19">IF(AA80=1,3,
IF(OR(G80="[2]中古",
F80="[8]その他",
E80="[13]その他の建築物",
AND(OR(E80="[14]稲架",E80="[15]コンクリートけい畔",E80="[16]暗きょ排水施設",E80="[19]用水路",E80="[25]たい肥盤"),F80="[7]その他")),
MIN(AB80,I80),AB80))</f>
        <v>0</v>
      </c>
      <c r="AD80" s="706">
        <f>IF(AC80=0,,VLOOKUP(AC80,リスト!DK:DL,2,0))</f>
        <v>0</v>
      </c>
      <c r="AE80" s="691">
        <f>IF(Y80=0,,
IF(OR(リスト!$C$21="小麦",リスト!$C$21="二条大麦",リスト!$C$21="六条大麦",リスト!$C$21="はだか麦",リスト!$C$21="なたね"),IF(K80&lt;9,調査年-J80,調査年-J80-1),
IF(リスト!$C$21="さとうきび",IF(K80&gt;=4,調査年-J80,調査年-J80+1),
調査年-J80)))</f>
        <v>0</v>
      </c>
      <c r="AF80" s="408">
        <f t="shared" ref="AF80:AF111" si="20">IF(OR(Y80=0,Z80=1),,
IF(AND(AC80&gt;0,AE80&lt;AC80,AG80&lt;=ROUND((L80-1)*AD80,0)),ROUND(AG80*IF(R80="[2]部分取り壊し",IFERROR(1-(V80%),1),1),0),
IF(AND(AC80&gt;0,AE80&lt;AC80),ROUND((L80-1)*AD80*IF(R80="[2]部分取り壊し",IFERROR(1-(V80%),1),1),0),)))</f>
        <v>0</v>
      </c>
      <c r="AG80" s="408">
        <f t="shared" ref="AG80:AG115" si="21">IF(OR(Y80=0,Z80=1),,
IF(AND(AC80&gt;0,AE80&lt;AC80),L80-ROUND((L80-1)*AD80*AE80,0),1
))</f>
        <v>0</v>
      </c>
      <c r="AH80" s="408">
        <f t="shared" ref="AH80:AH115" si="22">IF(OR(Y80=0,Z80=1),,
IF(R80=0,AF80,
IF(R80="[1]取り壊し",SUM(AG80,S80),
IF(R80="[3]売　却",AG80-S80,
IF(AND(R80="[2]部分取り壊し",AG80&gt;1),SUM(ROUND(AG80*(V80%),0),S80,AF80),
IF(AND(S80=0,AF80=0),,SUM(S80,AF80)))))))</f>
        <v>0</v>
      </c>
      <c r="AI80" s="408">
        <f t="shared" ref="AI80:AI115" si="23">IF(AND(AH80=0,AF80=0),,
IF(OR(R80="[1]取り壊し",R80="[2]部分取り壊し",R80="[3]売　却"),SUM(AH80)-SUM(AF80),))</f>
        <v>0</v>
      </c>
      <c r="AJ80" s="408">
        <f t="shared" ref="AJ80:AJ115" si="24">IF(OR(Z80=1,M80=0),,
IF(AND(AC80&gt;0,M80&gt;0,AE80&lt;AC80),M80-ROUND(M80*AD80*AE80,0),))</f>
        <v>0</v>
      </c>
      <c r="AK80" s="408">
        <f t="shared" si="16"/>
        <v>0</v>
      </c>
      <c r="AL80" s="408">
        <f t="shared" ref="AL80:AL115" si="25">IF(AND(L80&gt;0,R80="[2]部分取り壊し"),ROUND(L80*(1-V80%),0),)</f>
        <v>0</v>
      </c>
      <c r="AM80" s="408">
        <f t="shared" ref="AM80:AM115" si="26">IF(AND(M80&gt;0,R80="[2]部分取り壊し"),ROUND(M80*(1-V80%),0),)</f>
        <v>0</v>
      </c>
      <c r="AN80" s="417"/>
      <c r="AO80" s="69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3">
        <f t="shared" ref="AP80:AP115" si="27">IF(P80=0,,IF(AH80=0,,ROUND(AH80*P80%,0)))</f>
        <v>0</v>
      </c>
      <c r="AQ80" s="408">
        <f t="shared" ref="AQ80:AQ115" si="28">IF(P80=0,,IF(AI80=0,,ROUND(AI80*P80%,0)))</f>
        <v>0</v>
      </c>
      <c r="AR80" s="693">
        <f t="shared" ref="AR80:AR115" si="29">IF(P80=0,,IF(AG80=0,,ROUND(AG80*P80%,0)))</f>
        <v>0</v>
      </c>
      <c r="AS80" s="408">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408">
        <f t="shared" ref="AT80:AT115" si="30">IF(P80=0,,IF(O80=0,,ROUND(O80*P80%,0)))</f>
        <v>0</v>
      </c>
      <c r="AU80" s="408" t="str">
        <f t="shared" ref="AU80:AU115" si="31">IF(OR(AS80&gt;0,AT80&gt;0),SUM(AS80:AT80),"")</f>
        <v/>
      </c>
      <c r="AV80" s="707"/>
      <c r="AW80" s="707"/>
      <c r="AX80" s="707"/>
      <c r="AY80" s="707"/>
      <c r="AZ80" s="707"/>
    </row>
    <row r="81" spans="3:52" s="46" customFormat="1" ht="30" hidden="1" customHeight="1" outlineLevel="1">
      <c r="C81" s="695">
        <v>66</v>
      </c>
      <c r="D81" s="708"/>
      <c r="E81" s="697"/>
      <c r="F81" s="698"/>
      <c r="G81" s="1901"/>
      <c r="H81" s="1902"/>
      <c r="I81" s="699"/>
      <c r="J81" s="700"/>
      <c r="K81" s="701"/>
      <c r="L81" s="702"/>
      <c r="M81" s="702"/>
      <c r="N81" s="702"/>
      <c r="O81" s="702"/>
      <c r="P81" s="1074"/>
      <c r="Q81" s="703"/>
      <c r="R81" s="704"/>
      <c r="S81" s="702"/>
      <c r="T81" s="689"/>
      <c r="U81" s="2"/>
      <c r="V81" s="1082"/>
      <c r="W81" s="690"/>
      <c r="X81" s="2"/>
      <c r="Y81" s="705">
        <f t="shared" si="17"/>
        <v>0</v>
      </c>
      <c r="Z81" s="691">
        <f t="shared" ref="Z81:Z115" si="32">IF(Y81=0,,IF(L81+M81&lt;100000,1,0))</f>
        <v>0</v>
      </c>
      <c r="AA81" s="691">
        <f t="shared" ref="AA81:AA115" si="33">IF(Y81=0,,IF(AND(Z81=0,L81+M81&lt;200000),1,))</f>
        <v>0</v>
      </c>
      <c r="AB81" s="705">
        <f>IF(Y81=0,,VLOOKUP(Y81,リスト!CX:CY,2,0))</f>
        <v>0</v>
      </c>
      <c r="AC81" s="705">
        <f t="shared" si="19"/>
        <v>0</v>
      </c>
      <c r="AD81" s="706">
        <f>IF(AC81=0,,VLOOKUP(AC81,リスト!DK:DL,2,0))</f>
        <v>0</v>
      </c>
      <c r="AE81" s="691">
        <f>IF(Y81=0,,
IF(OR(リスト!$C$21="小麦",リスト!$C$21="二条大麦",リスト!$C$21="六条大麦",リスト!$C$21="はだか麦",リスト!$C$21="なたね"),IF(K81&lt;9,調査年-J81,調査年-J81-1),
IF(リスト!$C$21="さとうきび",IF(K81&gt;=4,調査年-J81,調査年-J81+1),
調査年-J81)))</f>
        <v>0</v>
      </c>
      <c r="AF81" s="408">
        <f t="shared" si="20"/>
        <v>0</v>
      </c>
      <c r="AG81" s="408">
        <f t="shared" si="21"/>
        <v>0</v>
      </c>
      <c r="AH81" s="408">
        <f t="shared" si="22"/>
        <v>0</v>
      </c>
      <c r="AI81" s="408">
        <f t="shared" si="23"/>
        <v>0</v>
      </c>
      <c r="AJ81" s="408">
        <f t="shared" si="24"/>
        <v>0</v>
      </c>
      <c r="AK81" s="408">
        <f t="shared" ref="AK81:AK115" si="34">IF(OR(Y81=0,Z81=1),IF(AND(Z81=1,AE81=0),M81,),
IF(AND(AC81&gt;0,AE81&lt;AC81,SUM(AJ81)&gt;0,AJ81&lt;=ROUND(M81*AD81,0)),ROUND(AJ81*IF(R81="[2]部分取り壊し",IFERROR(1-(V81%),1),1),),
IF(AND(AC81&gt;0,AE81&lt;AC81,SUM(M81)&gt;0),ROUND(M81*AD81*IF(R81="[2]部分取り壊し",IFERROR(1-(V81%),1),1),0),)))</f>
        <v>0</v>
      </c>
      <c r="AL81" s="408">
        <f t="shared" si="25"/>
        <v>0</v>
      </c>
      <c r="AM81" s="408">
        <f t="shared" si="26"/>
        <v>0</v>
      </c>
      <c r="AN81" s="417"/>
      <c r="AO81" s="69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3">
        <f t="shared" si="27"/>
        <v>0</v>
      </c>
      <c r="AQ81" s="408">
        <f t="shared" si="28"/>
        <v>0</v>
      </c>
      <c r="AR81" s="693">
        <f t="shared" si="29"/>
        <v>0</v>
      </c>
      <c r="AS81" s="408">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408">
        <f t="shared" si="30"/>
        <v>0</v>
      </c>
      <c r="AU81" s="408" t="str">
        <f t="shared" si="31"/>
        <v/>
      </c>
      <c r="AV81" s="707"/>
      <c r="AW81" s="707"/>
      <c r="AX81" s="707"/>
      <c r="AY81" s="707"/>
      <c r="AZ81" s="707"/>
    </row>
    <row r="82" spans="3:52" s="46" customFormat="1" ht="30" hidden="1" customHeight="1" outlineLevel="1">
      <c r="C82" s="695">
        <v>67</v>
      </c>
      <c r="D82" s="708"/>
      <c r="E82" s="697"/>
      <c r="F82" s="698"/>
      <c r="G82" s="1901"/>
      <c r="H82" s="1902"/>
      <c r="I82" s="699"/>
      <c r="J82" s="700"/>
      <c r="K82" s="701"/>
      <c r="L82" s="702"/>
      <c r="M82" s="702"/>
      <c r="N82" s="702"/>
      <c r="O82" s="702"/>
      <c r="P82" s="1074"/>
      <c r="Q82" s="703"/>
      <c r="R82" s="704"/>
      <c r="S82" s="702"/>
      <c r="T82" s="689"/>
      <c r="U82" s="2"/>
      <c r="V82" s="1082"/>
      <c r="W82" s="690"/>
      <c r="X82" s="2"/>
      <c r="Y82" s="705">
        <f t="shared" ref="Y82:Y115" si="35">IF(AND(E82&gt;0,F82&gt;0),"["&amp;RIGHT(LEFT(E82,3),2)&amp;RIGHT(LEFT(F82,FIND("]",F82)-1),IF(FIND("]",F82)-1&gt;2,2,1))&amp;"]",)</f>
        <v>0</v>
      </c>
      <c r="Z82" s="691">
        <f t="shared" si="32"/>
        <v>0</v>
      </c>
      <c r="AA82" s="691">
        <f t="shared" si="33"/>
        <v>0</v>
      </c>
      <c r="AB82" s="705">
        <f>IF(Y82=0,,VLOOKUP(Y82,リスト!CX:CY,2,0))</f>
        <v>0</v>
      </c>
      <c r="AC82" s="705">
        <f t="shared" si="19"/>
        <v>0</v>
      </c>
      <c r="AD82" s="706">
        <f>IF(AC82=0,,VLOOKUP(AC82,リスト!DK:DL,2,0))</f>
        <v>0</v>
      </c>
      <c r="AE82" s="691">
        <f>IF(Y82=0,,
IF(OR(リスト!$C$21="小麦",リスト!$C$21="二条大麦",リスト!$C$21="六条大麦",リスト!$C$21="はだか麦",リスト!$C$21="なたね"),IF(K82&lt;9,調査年-J82,調査年-J82-1),
IF(リスト!$C$21="さとうきび",IF(K82&gt;=4,調査年-J82,調査年-J82+1),
調査年-J82)))</f>
        <v>0</v>
      </c>
      <c r="AF82" s="408">
        <f t="shared" si="20"/>
        <v>0</v>
      </c>
      <c r="AG82" s="408">
        <f t="shared" si="21"/>
        <v>0</v>
      </c>
      <c r="AH82" s="408">
        <f t="shared" si="22"/>
        <v>0</v>
      </c>
      <c r="AI82" s="408">
        <f t="shared" si="23"/>
        <v>0</v>
      </c>
      <c r="AJ82" s="408">
        <f t="shared" si="24"/>
        <v>0</v>
      </c>
      <c r="AK82" s="408">
        <f t="shared" si="34"/>
        <v>0</v>
      </c>
      <c r="AL82" s="408">
        <f t="shared" si="25"/>
        <v>0</v>
      </c>
      <c r="AM82" s="408">
        <f t="shared" si="26"/>
        <v>0</v>
      </c>
      <c r="AN82" s="417"/>
      <c r="AO82" s="69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3">
        <f t="shared" si="27"/>
        <v>0</v>
      </c>
      <c r="AQ82" s="408">
        <f t="shared" si="28"/>
        <v>0</v>
      </c>
      <c r="AR82" s="693">
        <f t="shared" si="29"/>
        <v>0</v>
      </c>
      <c r="AS82" s="408">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408">
        <f t="shared" si="30"/>
        <v>0</v>
      </c>
      <c r="AU82" s="408" t="str">
        <f t="shared" si="31"/>
        <v/>
      </c>
      <c r="AV82" s="707"/>
      <c r="AW82" s="707"/>
      <c r="AX82" s="707"/>
      <c r="AY82" s="707"/>
      <c r="AZ82" s="707"/>
    </row>
    <row r="83" spans="3:52" s="46" customFormat="1" ht="30" hidden="1" customHeight="1" outlineLevel="1">
      <c r="C83" s="695">
        <v>68</v>
      </c>
      <c r="D83" s="708"/>
      <c r="E83" s="697"/>
      <c r="F83" s="698"/>
      <c r="G83" s="1901"/>
      <c r="H83" s="1902"/>
      <c r="I83" s="699"/>
      <c r="J83" s="700"/>
      <c r="K83" s="701"/>
      <c r="L83" s="702"/>
      <c r="M83" s="702"/>
      <c r="N83" s="702"/>
      <c r="O83" s="702"/>
      <c r="P83" s="1074"/>
      <c r="Q83" s="703"/>
      <c r="R83" s="704"/>
      <c r="S83" s="702"/>
      <c r="T83" s="689"/>
      <c r="U83" s="2"/>
      <c r="V83" s="1082"/>
      <c r="W83" s="690"/>
      <c r="X83" s="2"/>
      <c r="Y83" s="705">
        <f t="shared" si="35"/>
        <v>0</v>
      </c>
      <c r="Z83" s="691">
        <f t="shared" si="32"/>
        <v>0</v>
      </c>
      <c r="AA83" s="691">
        <f t="shared" si="33"/>
        <v>0</v>
      </c>
      <c r="AB83" s="705">
        <f>IF(Y83=0,,VLOOKUP(Y83,リスト!CX:CY,2,0))</f>
        <v>0</v>
      </c>
      <c r="AC83" s="705">
        <f t="shared" si="19"/>
        <v>0</v>
      </c>
      <c r="AD83" s="706">
        <f>IF(AC83=0,,VLOOKUP(AC83,リスト!DK:DL,2,0))</f>
        <v>0</v>
      </c>
      <c r="AE83" s="691">
        <f>IF(Y83=0,,
IF(OR(リスト!$C$21="小麦",リスト!$C$21="二条大麦",リスト!$C$21="六条大麦",リスト!$C$21="はだか麦",リスト!$C$21="なたね"),IF(K83&lt;9,調査年-J83,調査年-J83-1),
IF(リスト!$C$21="さとうきび",IF(K83&gt;=4,調査年-J83,調査年-J83+1),
調査年-J83)))</f>
        <v>0</v>
      </c>
      <c r="AF83" s="408">
        <f t="shared" si="20"/>
        <v>0</v>
      </c>
      <c r="AG83" s="408">
        <f t="shared" si="21"/>
        <v>0</v>
      </c>
      <c r="AH83" s="408">
        <f t="shared" si="22"/>
        <v>0</v>
      </c>
      <c r="AI83" s="408">
        <f t="shared" si="23"/>
        <v>0</v>
      </c>
      <c r="AJ83" s="408">
        <f t="shared" si="24"/>
        <v>0</v>
      </c>
      <c r="AK83" s="408">
        <f t="shared" si="34"/>
        <v>0</v>
      </c>
      <c r="AL83" s="408">
        <f t="shared" si="25"/>
        <v>0</v>
      </c>
      <c r="AM83" s="408">
        <f t="shared" si="26"/>
        <v>0</v>
      </c>
      <c r="AN83" s="417"/>
      <c r="AO83" s="69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3">
        <f t="shared" si="27"/>
        <v>0</v>
      </c>
      <c r="AQ83" s="408">
        <f t="shared" si="28"/>
        <v>0</v>
      </c>
      <c r="AR83" s="693">
        <f t="shared" si="29"/>
        <v>0</v>
      </c>
      <c r="AS83" s="408">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408">
        <f t="shared" si="30"/>
        <v>0</v>
      </c>
      <c r="AU83" s="408" t="str">
        <f t="shared" si="31"/>
        <v/>
      </c>
      <c r="AV83" s="707"/>
      <c r="AW83" s="707"/>
      <c r="AX83" s="707"/>
      <c r="AY83" s="707"/>
      <c r="AZ83" s="707"/>
    </row>
    <row r="84" spans="3:52" s="46" customFormat="1" ht="30" hidden="1" customHeight="1" outlineLevel="1">
      <c r="C84" s="695">
        <v>69</v>
      </c>
      <c r="D84" s="708"/>
      <c r="E84" s="697"/>
      <c r="F84" s="698"/>
      <c r="G84" s="1901"/>
      <c r="H84" s="1902"/>
      <c r="I84" s="699"/>
      <c r="J84" s="700"/>
      <c r="K84" s="701"/>
      <c r="L84" s="702"/>
      <c r="M84" s="702"/>
      <c r="N84" s="702"/>
      <c r="O84" s="702"/>
      <c r="P84" s="1074"/>
      <c r="Q84" s="703"/>
      <c r="R84" s="704"/>
      <c r="S84" s="702"/>
      <c r="T84" s="689"/>
      <c r="U84" s="2"/>
      <c r="V84" s="1082"/>
      <c r="W84" s="690"/>
      <c r="X84" s="2"/>
      <c r="Y84" s="705">
        <f t="shared" si="35"/>
        <v>0</v>
      </c>
      <c r="Z84" s="691">
        <f t="shared" si="32"/>
        <v>0</v>
      </c>
      <c r="AA84" s="691">
        <f t="shared" si="33"/>
        <v>0</v>
      </c>
      <c r="AB84" s="705">
        <f>IF(Y84=0,,VLOOKUP(Y84,リスト!CX:CY,2,0))</f>
        <v>0</v>
      </c>
      <c r="AC84" s="705">
        <f t="shared" si="19"/>
        <v>0</v>
      </c>
      <c r="AD84" s="706">
        <f>IF(AC84=0,,VLOOKUP(AC84,リスト!DK:DL,2,0))</f>
        <v>0</v>
      </c>
      <c r="AE84" s="691">
        <f>IF(Y84=0,,
IF(OR(リスト!$C$21="小麦",リスト!$C$21="二条大麦",リスト!$C$21="六条大麦",リスト!$C$21="はだか麦",リスト!$C$21="なたね"),IF(K84&lt;9,調査年-J84,調査年-J84-1),
IF(リスト!$C$21="さとうきび",IF(K84&gt;=4,調査年-J84,調査年-J84+1),
調査年-J84)))</f>
        <v>0</v>
      </c>
      <c r="AF84" s="408">
        <f t="shared" si="20"/>
        <v>0</v>
      </c>
      <c r="AG84" s="408">
        <f t="shared" si="21"/>
        <v>0</v>
      </c>
      <c r="AH84" s="408">
        <f t="shared" si="22"/>
        <v>0</v>
      </c>
      <c r="AI84" s="408">
        <f t="shared" si="23"/>
        <v>0</v>
      </c>
      <c r="AJ84" s="408">
        <f t="shared" si="24"/>
        <v>0</v>
      </c>
      <c r="AK84" s="408">
        <f t="shared" si="34"/>
        <v>0</v>
      </c>
      <c r="AL84" s="408">
        <f t="shared" si="25"/>
        <v>0</v>
      </c>
      <c r="AM84" s="408">
        <f t="shared" si="26"/>
        <v>0</v>
      </c>
      <c r="AN84" s="417"/>
      <c r="AO84" s="69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3">
        <f t="shared" si="27"/>
        <v>0</v>
      </c>
      <c r="AQ84" s="408">
        <f t="shared" si="28"/>
        <v>0</v>
      </c>
      <c r="AR84" s="693">
        <f t="shared" si="29"/>
        <v>0</v>
      </c>
      <c r="AS84" s="408">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408">
        <f t="shared" si="30"/>
        <v>0</v>
      </c>
      <c r="AU84" s="408" t="str">
        <f t="shared" si="31"/>
        <v/>
      </c>
      <c r="AV84" s="707"/>
      <c r="AW84" s="707"/>
      <c r="AX84" s="707"/>
      <c r="AY84" s="707"/>
      <c r="AZ84" s="707"/>
    </row>
    <row r="85" spans="3:52" s="46" customFormat="1" ht="30" hidden="1" customHeight="1" outlineLevel="1">
      <c r="C85" s="695">
        <v>70</v>
      </c>
      <c r="D85" s="708"/>
      <c r="E85" s="697"/>
      <c r="F85" s="698"/>
      <c r="G85" s="1901"/>
      <c r="H85" s="1902"/>
      <c r="I85" s="699"/>
      <c r="J85" s="700"/>
      <c r="K85" s="701"/>
      <c r="L85" s="702"/>
      <c r="M85" s="702"/>
      <c r="N85" s="702"/>
      <c r="O85" s="702"/>
      <c r="P85" s="1074"/>
      <c r="Q85" s="703"/>
      <c r="R85" s="704"/>
      <c r="S85" s="702"/>
      <c r="T85" s="689"/>
      <c r="U85" s="2"/>
      <c r="V85" s="1082"/>
      <c r="W85" s="690"/>
      <c r="X85" s="2"/>
      <c r="Y85" s="705">
        <f t="shared" si="35"/>
        <v>0</v>
      </c>
      <c r="Z85" s="691">
        <f t="shared" si="32"/>
        <v>0</v>
      </c>
      <c r="AA85" s="691">
        <f t="shared" si="33"/>
        <v>0</v>
      </c>
      <c r="AB85" s="705">
        <f>IF(Y85=0,,VLOOKUP(Y85,リスト!CX:CY,2,0))</f>
        <v>0</v>
      </c>
      <c r="AC85" s="705">
        <f t="shared" si="19"/>
        <v>0</v>
      </c>
      <c r="AD85" s="706">
        <f>IF(AC85=0,,VLOOKUP(AC85,リスト!DK:DL,2,0))</f>
        <v>0</v>
      </c>
      <c r="AE85" s="691">
        <f>IF(Y85=0,,
IF(OR(リスト!$C$21="小麦",リスト!$C$21="二条大麦",リスト!$C$21="六条大麦",リスト!$C$21="はだか麦",リスト!$C$21="なたね"),IF(K85&lt;9,調査年-J85,調査年-J85-1),
IF(リスト!$C$21="さとうきび",IF(K85&gt;=4,調査年-J85,調査年-J85+1),
調査年-J85)))</f>
        <v>0</v>
      </c>
      <c r="AF85" s="408">
        <f t="shared" si="20"/>
        <v>0</v>
      </c>
      <c r="AG85" s="408">
        <f t="shared" si="21"/>
        <v>0</v>
      </c>
      <c r="AH85" s="408">
        <f t="shared" si="22"/>
        <v>0</v>
      </c>
      <c r="AI85" s="408">
        <f t="shared" si="23"/>
        <v>0</v>
      </c>
      <c r="AJ85" s="408">
        <f t="shared" si="24"/>
        <v>0</v>
      </c>
      <c r="AK85" s="408">
        <f t="shared" si="34"/>
        <v>0</v>
      </c>
      <c r="AL85" s="408">
        <f t="shared" si="25"/>
        <v>0</v>
      </c>
      <c r="AM85" s="408">
        <f t="shared" si="26"/>
        <v>0</v>
      </c>
      <c r="AN85" s="417"/>
      <c r="AO85" s="69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3">
        <f t="shared" si="27"/>
        <v>0</v>
      </c>
      <c r="AQ85" s="408">
        <f t="shared" si="28"/>
        <v>0</v>
      </c>
      <c r="AR85" s="693">
        <f t="shared" si="29"/>
        <v>0</v>
      </c>
      <c r="AS85" s="408">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408">
        <f t="shared" si="30"/>
        <v>0</v>
      </c>
      <c r="AU85" s="408" t="str">
        <f t="shared" si="31"/>
        <v/>
      </c>
      <c r="AV85" s="707"/>
      <c r="AW85" s="707"/>
      <c r="AX85" s="707"/>
      <c r="AY85" s="707"/>
      <c r="AZ85" s="707"/>
    </row>
    <row r="86" spans="3:52" s="46" customFormat="1" ht="30" hidden="1" customHeight="1" outlineLevel="1">
      <c r="C86" s="695">
        <v>71</v>
      </c>
      <c r="D86" s="708"/>
      <c r="E86" s="697"/>
      <c r="F86" s="698"/>
      <c r="G86" s="1901"/>
      <c r="H86" s="1902"/>
      <c r="I86" s="699"/>
      <c r="J86" s="700"/>
      <c r="K86" s="701"/>
      <c r="L86" s="702"/>
      <c r="M86" s="702"/>
      <c r="N86" s="702"/>
      <c r="O86" s="702"/>
      <c r="P86" s="1074"/>
      <c r="Q86" s="703"/>
      <c r="R86" s="704"/>
      <c r="S86" s="702"/>
      <c r="T86" s="689"/>
      <c r="U86" s="2"/>
      <c r="V86" s="1082"/>
      <c r="W86" s="690"/>
      <c r="X86" s="2"/>
      <c r="Y86" s="705">
        <f t="shared" si="35"/>
        <v>0</v>
      </c>
      <c r="Z86" s="691">
        <f t="shared" si="32"/>
        <v>0</v>
      </c>
      <c r="AA86" s="691">
        <f t="shared" si="33"/>
        <v>0</v>
      </c>
      <c r="AB86" s="705">
        <f>IF(Y86=0,,VLOOKUP(Y86,リスト!CX:CY,2,0))</f>
        <v>0</v>
      </c>
      <c r="AC86" s="705">
        <f t="shared" si="19"/>
        <v>0</v>
      </c>
      <c r="AD86" s="706">
        <f>IF(AC86=0,,VLOOKUP(AC86,リスト!DK:DL,2,0))</f>
        <v>0</v>
      </c>
      <c r="AE86" s="691">
        <f>IF(Y86=0,,
IF(OR(リスト!$C$21="小麦",リスト!$C$21="二条大麦",リスト!$C$21="六条大麦",リスト!$C$21="はだか麦",リスト!$C$21="なたね"),IF(K86&lt;9,調査年-J86,調査年-J86-1),
IF(リスト!$C$21="さとうきび",IF(K86&gt;=4,調査年-J86,調査年-J86+1),
調査年-J86)))</f>
        <v>0</v>
      </c>
      <c r="AF86" s="408">
        <f t="shared" si="20"/>
        <v>0</v>
      </c>
      <c r="AG86" s="408">
        <f t="shared" si="21"/>
        <v>0</v>
      </c>
      <c r="AH86" s="408">
        <f t="shared" si="22"/>
        <v>0</v>
      </c>
      <c r="AI86" s="408">
        <f t="shared" si="23"/>
        <v>0</v>
      </c>
      <c r="AJ86" s="408">
        <f t="shared" si="24"/>
        <v>0</v>
      </c>
      <c r="AK86" s="408">
        <f t="shared" si="34"/>
        <v>0</v>
      </c>
      <c r="AL86" s="408">
        <f t="shared" si="25"/>
        <v>0</v>
      </c>
      <c r="AM86" s="408">
        <f t="shared" si="26"/>
        <v>0</v>
      </c>
      <c r="AN86" s="417"/>
      <c r="AO86" s="69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3">
        <f t="shared" si="27"/>
        <v>0</v>
      </c>
      <c r="AQ86" s="408">
        <f t="shared" si="28"/>
        <v>0</v>
      </c>
      <c r="AR86" s="693">
        <f t="shared" si="29"/>
        <v>0</v>
      </c>
      <c r="AS86" s="408">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408">
        <f t="shared" si="30"/>
        <v>0</v>
      </c>
      <c r="AU86" s="408" t="str">
        <f t="shared" si="31"/>
        <v/>
      </c>
      <c r="AV86" s="707"/>
      <c r="AW86" s="707"/>
      <c r="AX86" s="707"/>
      <c r="AY86" s="707"/>
      <c r="AZ86" s="707"/>
    </row>
    <row r="87" spans="3:52" s="46" customFormat="1" ht="30" hidden="1" customHeight="1" outlineLevel="1">
      <c r="C87" s="695">
        <v>72</v>
      </c>
      <c r="D87" s="708"/>
      <c r="E87" s="697"/>
      <c r="F87" s="698"/>
      <c r="G87" s="1901"/>
      <c r="H87" s="1902"/>
      <c r="I87" s="699"/>
      <c r="J87" s="700"/>
      <c r="K87" s="701"/>
      <c r="L87" s="702"/>
      <c r="M87" s="702"/>
      <c r="N87" s="702"/>
      <c r="O87" s="702"/>
      <c r="P87" s="1074"/>
      <c r="Q87" s="703"/>
      <c r="R87" s="704"/>
      <c r="S87" s="702"/>
      <c r="T87" s="689"/>
      <c r="U87" s="2"/>
      <c r="V87" s="1082"/>
      <c r="W87" s="690"/>
      <c r="X87" s="2"/>
      <c r="Y87" s="705">
        <f t="shared" si="35"/>
        <v>0</v>
      </c>
      <c r="Z87" s="691">
        <f t="shared" si="32"/>
        <v>0</v>
      </c>
      <c r="AA87" s="691">
        <f t="shared" si="33"/>
        <v>0</v>
      </c>
      <c r="AB87" s="705">
        <f>IF(Y87=0,,VLOOKUP(Y87,リスト!CX:CY,2,0))</f>
        <v>0</v>
      </c>
      <c r="AC87" s="705">
        <f t="shared" si="19"/>
        <v>0</v>
      </c>
      <c r="AD87" s="706">
        <f>IF(AC87=0,,VLOOKUP(AC87,リスト!DK:DL,2,0))</f>
        <v>0</v>
      </c>
      <c r="AE87" s="691">
        <f>IF(Y87=0,,
IF(OR(リスト!$C$21="小麦",リスト!$C$21="二条大麦",リスト!$C$21="六条大麦",リスト!$C$21="はだか麦",リスト!$C$21="なたね"),IF(K87&lt;9,調査年-J87,調査年-J87-1),
IF(リスト!$C$21="さとうきび",IF(K87&gt;=4,調査年-J87,調査年-J87+1),
調査年-J87)))</f>
        <v>0</v>
      </c>
      <c r="AF87" s="408">
        <f t="shared" si="20"/>
        <v>0</v>
      </c>
      <c r="AG87" s="408">
        <f t="shared" si="21"/>
        <v>0</v>
      </c>
      <c r="AH87" s="408">
        <f t="shared" si="22"/>
        <v>0</v>
      </c>
      <c r="AI87" s="408">
        <f t="shared" si="23"/>
        <v>0</v>
      </c>
      <c r="AJ87" s="408">
        <f t="shared" si="24"/>
        <v>0</v>
      </c>
      <c r="AK87" s="408">
        <f t="shared" si="34"/>
        <v>0</v>
      </c>
      <c r="AL87" s="408">
        <f t="shared" si="25"/>
        <v>0</v>
      </c>
      <c r="AM87" s="408">
        <f t="shared" si="26"/>
        <v>0</v>
      </c>
      <c r="AN87" s="417"/>
      <c r="AO87" s="69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3">
        <f t="shared" si="27"/>
        <v>0</v>
      </c>
      <c r="AQ87" s="408">
        <f t="shared" si="28"/>
        <v>0</v>
      </c>
      <c r="AR87" s="693">
        <f t="shared" si="29"/>
        <v>0</v>
      </c>
      <c r="AS87" s="408">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408">
        <f t="shared" si="30"/>
        <v>0</v>
      </c>
      <c r="AU87" s="408" t="str">
        <f t="shared" si="31"/>
        <v/>
      </c>
      <c r="AV87" s="707"/>
      <c r="AW87" s="707"/>
      <c r="AX87" s="707"/>
      <c r="AY87" s="707"/>
      <c r="AZ87" s="707"/>
    </row>
    <row r="88" spans="3:52" s="46" customFormat="1" ht="30" hidden="1" customHeight="1" outlineLevel="1">
      <c r="C88" s="695">
        <v>73</v>
      </c>
      <c r="D88" s="708"/>
      <c r="E88" s="697"/>
      <c r="F88" s="698"/>
      <c r="G88" s="1901"/>
      <c r="H88" s="1902"/>
      <c r="I88" s="699"/>
      <c r="J88" s="700"/>
      <c r="K88" s="701"/>
      <c r="L88" s="702"/>
      <c r="M88" s="702"/>
      <c r="N88" s="702"/>
      <c r="O88" s="702"/>
      <c r="P88" s="1074"/>
      <c r="Q88" s="703"/>
      <c r="R88" s="704"/>
      <c r="S88" s="702"/>
      <c r="T88" s="689"/>
      <c r="U88" s="2"/>
      <c r="V88" s="1082"/>
      <c r="W88" s="690"/>
      <c r="X88" s="2"/>
      <c r="Y88" s="705">
        <f t="shared" si="35"/>
        <v>0</v>
      </c>
      <c r="Z88" s="691">
        <f t="shared" si="32"/>
        <v>0</v>
      </c>
      <c r="AA88" s="691">
        <f t="shared" si="33"/>
        <v>0</v>
      </c>
      <c r="AB88" s="705">
        <f>IF(Y88=0,,VLOOKUP(Y88,リスト!CX:CY,2,0))</f>
        <v>0</v>
      </c>
      <c r="AC88" s="705">
        <f t="shared" si="19"/>
        <v>0</v>
      </c>
      <c r="AD88" s="706">
        <f>IF(AC88=0,,VLOOKUP(AC88,リスト!DK:DL,2,0))</f>
        <v>0</v>
      </c>
      <c r="AE88" s="691">
        <f>IF(Y88=0,,
IF(OR(リスト!$C$21="小麦",リスト!$C$21="二条大麦",リスト!$C$21="六条大麦",リスト!$C$21="はだか麦",リスト!$C$21="なたね"),IF(K88&lt;9,調査年-J88,調査年-J88-1),
IF(リスト!$C$21="さとうきび",IF(K88&gt;=4,調査年-J88,調査年-J88+1),
調査年-J88)))</f>
        <v>0</v>
      </c>
      <c r="AF88" s="408">
        <f t="shared" si="20"/>
        <v>0</v>
      </c>
      <c r="AG88" s="408">
        <f t="shared" si="21"/>
        <v>0</v>
      </c>
      <c r="AH88" s="408">
        <f t="shared" si="22"/>
        <v>0</v>
      </c>
      <c r="AI88" s="408">
        <f t="shared" si="23"/>
        <v>0</v>
      </c>
      <c r="AJ88" s="408">
        <f t="shared" si="24"/>
        <v>0</v>
      </c>
      <c r="AK88" s="408">
        <f t="shared" si="34"/>
        <v>0</v>
      </c>
      <c r="AL88" s="408">
        <f t="shared" si="25"/>
        <v>0</v>
      </c>
      <c r="AM88" s="408">
        <f t="shared" si="26"/>
        <v>0</v>
      </c>
      <c r="AN88" s="417"/>
      <c r="AO88" s="69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3">
        <f t="shared" si="27"/>
        <v>0</v>
      </c>
      <c r="AQ88" s="408">
        <f t="shared" si="28"/>
        <v>0</v>
      </c>
      <c r="AR88" s="693">
        <f t="shared" si="29"/>
        <v>0</v>
      </c>
      <c r="AS88" s="408">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408">
        <f t="shared" si="30"/>
        <v>0</v>
      </c>
      <c r="AU88" s="408" t="str">
        <f t="shared" si="31"/>
        <v/>
      </c>
      <c r="AV88" s="707"/>
      <c r="AW88" s="707"/>
      <c r="AX88" s="707"/>
      <c r="AY88" s="707"/>
      <c r="AZ88" s="707"/>
    </row>
    <row r="89" spans="3:52" s="46" customFormat="1" ht="30" hidden="1" customHeight="1" outlineLevel="1">
      <c r="C89" s="695">
        <v>74</v>
      </c>
      <c r="D89" s="708"/>
      <c r="E89" s="697"/>
      <c r="F89" s="698"/>
      <c r="G89" s="1901"/>
      <c r="H89" s="1902"/>
      <c r="I89" s="699"/>
      <c r="J89" s="700"/>
      <c r="K89" s="701"/>
      <c r="L89" s="702"/>
      <c r="M89" s="702"/>
      <c r="N89" s="702"/>
      <c r="O89" s="702"/>
      <c r="P89" s="1074"/>
      <c r="Q89" s="703"/>
      <c r="R89" s="704"/>
      <c r="S89" s="702"/>
      <c r="T89" s="689"/>
      <c r="U89" s="2"/>
      <c r="V89" s="1082"/>
      <c r="W89" s="690"/>
      <c r="X89" s="2"/>
      <c r="Y89" s="705">
        <f t="shared" si="35"/>
        <v>0</v>
      </c>
      <c r="Z89" s="691">
        <f t="shared" si="32"/>
        <v>0</v>
      </c>
      <c r="AA89" s="691">
        <f t="shared" si="33"/>
        <v>0</v>
      </c>
      <c r="AB89" s="705">
        <f>IF(Y89=0,,VLOOKUP(Y89,リスト!CX:CY,2,0))</f>
        <v>0</v>
      </c>
      <c r="AC89" s="705">
        <f t="shared" si="19"/>
        <v>0</v>
      </c>
      <c r="AD89" s="706">
        <f>IF(AC89=0,,VLOOKUP(AC89,リスト!DK:DL,2,0))</f>
        <v>0</v>
      </c>
      <c r="AE89" s="691">
        <f>IF(Y89=0,,
IF(OR(リスト!$C$21="小麦",リスト!$C$21="二条大麦",リスト!$C$21="六条大麦",リスト!$C$21="はだか麦",リスト!$C$21="なたね"),IF(K89&lt;9,調査年-J89,調査年-J89-1),
IF(リスト!$C$21="さとうきび",IF(K89&gt;=4,調査年-J89,調査年-J89+1),
調査年-J89)))</f>
        <v>0</v>
      </c>
      <c r="AF89" s="408">
        <f t="shared" si="20"/>
        <v>0</v>
      </c>
      <c r="AG89" s="408">
        <f t="shared" si="21"/>
        <v>0</v>
      </c>
      <c r="AH89" s="408">
        <f t="shared" si="22"/>
        <v>0</v>
      </c>
      <c r="AI89" s="408">
        <f t="shared" si="23"/>
        <v>0</v>
      </c>
      <c r="AJ89" s="408">
        <f t="shared" si="24"/>
        <v>0</v>
      </c>
      <c r="AK89" s="408">
        <f t="shared" si="34"/>
        <v>0</v>
      </c>
      <c r="AL89" s="408">
        <f t="shared" si="25"/>
        <v>0</v>
      </c>
      <c r="AM89" s="408">
        <f t="shared" si="26"/>
        <v>0</v>
      </c>
      <c r="AN89" s="417"/>
      <c r="AO89" s="69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3">
        <f t="shared" si="27"/>
        <v>0</v>
      </c>
      <c r="AQ89" s="408">
        <f t="shared" si="28"/>
        <v>0</v>
      </c>
      <c r="AR89" s="693">
        <f t="shared" si="29"/>
        <v>0</v>
      </c>
      <c r="AS89" s="408">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408">
        <f t="shared" si="30"/>
        <v>0</v>
      </c>
      <c r="AU89" s="408" t="str">
        <f t="shared" si="31"/>
        <v/>
      </c>
      <c r="AV89" s="707"/>
      <c r="AW89" s="707"/>
      <c r="AX89" s="707"/>
      <c r="AY89" s="707"/>
      <c r="AZ89" s="707"/>
    </row>
    <row r="90" spans="3:52" s="46" customFormat="1" ht="30" hidden="1" customHeight="1" outlineLevel="1">
      <c r="C90" s="695">
        <v>75</v>
      </c>
      <c r="D90" s="708"/>
      <c r="E90" s="697"/>
      <c r="F90" s="698"/>
      <c r="G90" s="1901"/>
      <c r="H90" s="1902"/>
      <c r="I90" s="699"/>
      <c r="J90" s="700"/>
      <c r="K90" s="701"/>
      <c r="L90" s="702"/>
      <c r="M90" s="702"/>
      <c r="N90" s="702"/>
      <c r="O90" s="702"/>
      <c r="P90" s="1074"/>
      <c r="Q90" s="703"/>
      <c r="R90" s="704"/>
      <c r="S90" s="702"/>
      <c r="T90" s="689"/>
      <c r="U90" s="2"/>
      <c r="V90" s="1082"/>
      <c r="W90" s="690"/>
      <c r="X90" s="2"/>
      <c r="Y90" s="705">
        <f t="shared" si="35"/>
        <v>0</v>
      </c>
      <c r="Z90" s="691">
        <f t="shared" si="32"/>
        <v>0</v>
      </c>
      <c r="AA90" s="691">
        <f t="shared" si="33"/>
        <v>0</v>
      </c>
      <c r="AB90" s="705">
        <f>IF(Y90=0,,VLOOKUP(Y90,リスト!CX:CY,2,0))</f>
        <v>0</v>
      </c>
      <c r="AC90" s="705">
        <f t="shared" si="19"/>
        <v>0</v>
      </c>
      <c r="AD90" s="706">
        <f>IF(AC90=0,,VLOOKUP(AC90,リスト!DK:DL,2,0))</f>
        <v>0</v>
      </c>
      <c r="AE90" s="691">
        <f>IF(Y90=0,,
IF(OR(リスト!$C$21="小麦",リスト!$C$21="二条大麦",リスト!$C$21="六条大麦",リスト!$C$21="はだか麦",リスト!$C$21="なたね"),IF(K90&lt;9,調査年-J90,調査年-J90-1),
IF(リスト!$C$21="さとうきび",IF(K90&gt;=4,調査年-J90,調査年-J90+1),
調査年-J90)))</f>
        <v>0</v>
      </c>
      <c r="AF90" s="408">
        <f t="shared" si="20"/>
        <v>0</v>
      </c>
      <c r="AG90" s="408">
        <f t="shared" si="21"/>
        <v>0</v>
      </c>
      <c r="AH90" s="408">
        <f t="shared" si="22"/>
        <v>0</v>
      </c>
      <c r="AI90" s="408">
        <f t="shared" si="23"/>
        <v>0</v>
      </c>
      <c r="AJ90" s="408">
        <f t="shared" si="24"/>
        <v>0</v>
      </c>
      <c r="AK90" s="408">
        <f t="shared" si="34"/>
        <v>0</v>
      </c>
      <c r="AL90" s="408">
        <f t="shared" si="25"/>
        <v>0</v>
      </c>
      <c r="AM90" s="408">
        <f t="shared" si="26"/>
        <v>0</v>
      </c>
      <c r="AN90" s="417"/>
      <c r="AO90" s="69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3">
        <f t="shared" si="27"/>
        <v>0</v>
      </c>
      <c r="AQ90" s="408">
        <f t="shared" si="28"/>
        <v>0</v>
      </c>
      <c r="AR90" s="693">
        <f t="shared" si="29"/>
        <v>0</v>
      </c>
      <c r="AS90" s="408">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408">
        <f t="shared" si="30"/>
        <v>0</v>
      </c>
      <c r="AU90" s="408" t="str">
        <f t="shared" si="31"/>
        <v/>
      </c>
      <c r="AV90" s="707"/>
      <c r="AW90" s="707"/>
      <c r="AX90" s="707"/>
      <c r="AY90" s="707"/>
      <c r="AZ90" s="707"/>
    </row>
    <row r="91" spans="3:52" s="46" customFormat="1" ht="30" hidden="1" customHeight="1" outlineLevel="1">
      <c r="C91" s="695">
        <v>76</v>
      </c>
      <c r="D91" s="708"/>
      <c r="E91" s="697"/>
      <c r="F91" s="698"/>
      <c r="G91" s="1901"/>
      <c r="H91" s="1902"/>
      <c r="I91" s="699"/>
      <c r="J91" s="700"/>
      <c r="K91" s="701"/>
      <c r="L91" s="702"/>
      <c r="M91" s="702"/>
      <c r="N91" s="702"/>
      <c r="O91" s="702"/>
      <c r="P91" s="1074"/>
      <c r="Q91" s="703"/>
      <c r="R91" s="704"/>
      <c r="S91" s="702"/>
      <c r="T91" s="689"/>
      <c r="U91" s="2"/>
      <c r="V91" s="1082"/>
      <c r="W91" s="690"/>
      <c r="X91" s="2"/>
      <c r="Y91" s="705">
        <f t="shared" si="35"/>
        <v>0</v>
      </c>
      <c r="Z91" s="691">
        <f t="shared" si="32"/>
        <v>0</v>
      </c>
      <c r="AA91" s="691">
        <f t="shared" si="33"/>
        <v>0</v>
      </c>
      <c r="AB91" s="705">
        <f>IF(Y91=0,,VLOOKUP(Y91,リスト!CX:CY,2,0))</f>
        <v>0</v>
      </c>
      <c r="AC91" s="705">
        <f t="shared" si="19"/>
        <v>0</v>
      </c>
      <c r="AD91" s="706">
        <f>IF(AC91=0,,VLOOKUP(AC91,リスト!DK:DL,2,0))</f>
        <v>0</v>
      </c>
      <c r="AE91" s="691">
        <f>IF(Y91=0,,
IF(OR(リスト!$C$21="小麦",リスト!$C$21="二条大麦",リスト!$C$21="六条大麦",リスト!$C$21="はだか麦",リスト!$C$21="なたね"),IF(K91&lt;9,調査年-J91,調査年-J91-1),
IF(リスト!$C$21="さとうきび",IF(K91&gt;=4,調査年-J91,調査年-J91+1),
調査年-J91)))</f>
        <v>0</v>
      </c>
      <c r="AF91" s="408">
        <f t="shared" si="20"/>
        <v>0</v>
      </c>
      <c r="AG91" s="408">
        <f t="shared" si="21"/>
        <v>0</v>
      </c>
      <c r="AH91" s="408">
        <f t="shared" si="22"/>
        <v>0</v>
      </c>
      <c r="AI91" s="408">
        <f t="shared" si="23"/>
        <v>0</v>
      </c>
      <c r="AJ91" s="408">
        <f t="shared" si="24"/>
        <v>0</v>
      </c>
      <c r="AK91" s="408">
        <f t="shared" si="34"/>
        <v>0</v>
      </c>
      <c r="AL91" s="408">
        <f t="shared" si="25"/>
        <v>0</v>
      </c>
      <c r="AM91" s="408">
        <f t="shared" si="26"/>
        <v>0</v>
      </c>
      <c r="AN91" s="417"/>
      <c r="AO91" s="69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3">
        <f t="shared" si="27"/>
        <v>0</v>
      </c>
      <c r="AQ91" s="408">
        <f t="shared" si="28"/>
        <v>0</v>
      </c>
      <c r="AR91" s="693">
        <f t="shared" si="29"/>
        <v>0</v>
      </c>
      <c r="AS91" s="408">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408">
        <f t="shared" si="30"/>
        <v>0</v>
      </c>
      <c r="AU91" s="408" t="str">
        <f t="shared" si="31"/>
        <v/>
      </c>
      <c r="AV91" s="707"/>
      <c r="AW91" s="707"/>
      <c r="AX91" s="707"/>
      <c r="AY91" s="707"/>
      <c r="AZ91" s="707"/>
    </row>
    <row r="92" spans="3:52" s="46" customFormat="1" ht="30" hidden="1" customHeight="1" outlineLevel="1">
      <c r="C92" s="695">
        <v>77</v>
      </c>
      <c r="D92" s="708"/>
      <c r="E92" s="697"/>
      <c r="F92" s="698"/>
      <c r="G92" s="1901"/>
      <c r="H92" s="1902"/>
      <c r="I92" s="699"/>
      <c r="J92" s="700"/>
      <c r="K92" s="701"/>
      <c r="L92" s="702"/>
      <c r="M92" s="702"/>
      <c r="N92" s="702"/>
      <c r="O92" s="702"/>
      <c r="P92" s="1074"/>
      <c r="Q92" s="703"/>
      <c r="R92" s="704"/>
      <c r="S92" s="702"/>
      <c r="T92" s="689"/>
      <c r="U92" s="2"/>
      <c r="V92" s="1082"/>
      <c r="W92" s="690"/>
      <c r="X92" s="2"/>
      <c r="Y92" s="705">
        <f t="shared" si="35"/>
        <v>0</v>
      </c>
      <c r="Z92" s="691">
        <f t="shared" si="32"/>
        <v>0</v>
      </c>
      <c r="AA92" s="691">
        <f t="shared" si="33"/>
        <v>0</v>
      </c>
      <c r="AB92" s="705">
        <f>IF(Y92=0,,VLOOKUP(Y92,リスト!CX:CY,2,0))</f>
        <v>0</v>
      </c>
      <c r="AC92" s="705">
        <f t="shared" si="19"/>
        <v>0</v>
      </c>
      <c r="AD92" s="706">
        <f>IF(AC92=0,,VLOOKUP(AC92,リスト!DK:DL,2,0))</f>
        <v>0</v>
      </c>
      <c r="AE92" s="691">
        <f>IF(Y92=0,,
IF(OR(リスト!$C$21="小麦",リスト!$C$21="二条大麦",リスト!$C$21="六条大麦",リスト!$C$21="はだか麦",リスト!$C$21="なたね"),IF(K92&lt;9,調査年-J92,調査年-J92-1),
IF(リスト!$C$21="さとうきび",IF(K92&gt;=4,調査年-J92,調査年-J92+1),
調査年-J92)))</f>
        <v>0</v>
      </c>
      <c r="AF92" s="408">
        <f t="shared" si="20"/>
        <v>0</v>
      </c>
      <c r="AG92" s="408">
        <f t="shared" si="21"/>
        <v>0</v>
      </c>
      <c r="AH92" s="408">
        <f t="shared" si="22"/>
        <v>0</v>
      </c>
      <c r="AI92" s="408">
        <f t="shared" si="23"/>
        <v>0</v>
      </c>
      <c r="AJ92" s="408">
        <f t="shared" si="24"/>
        <v>0</v>
      </c>
      <c r="AK92" s="408">
        <f t="shared" si="34"/>
        <v>0</v>
      </c>
      <c r="AL92" s="408">
        <f t="shared" si="25"/>
        <v>0</v>
      </c>
      <c r="AM92" s="408">
        <f t="shared" si="26"/>
        <v>0</v>
      </c>
      <c r="AN92" s="417"/>
      <c r="AO92" s="69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3">
        <f t="shared" si="27"/>
        <v>0</v>
      </c>
      <c r="AQ92" s="408">
        <f t="shared" si="28"/>
        <v>0</v>
      </c>
      <c r="AR92" s="693">
        <f t="shared" si="29"/>
        <v>0</v>
      </c>
      <c r="AS92" s="408">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408">
        <f t="shared" si="30"/>
        <v>0</v>
      </c>
      <c r="AU92" s="408" t="str">
        <f t="shared" si="31"/>
        <v/>
      </c>
      <c r="AV92" s="707"/>
      <c r="AW92" s="707"/>
      <c r="AX92" s="707"/>
      <c r="AY92" s="707"/>
      <c r="AZ92" s="707"/>
    </row>
    <row r="93" spans="3:52" s="46" customFormat="1" ht="30" hidden="1" customHeight="1" outlineLevel="1">
      <c r="C93" s="695">
        <v>78</v>
      </c>
      <c r="D93" s="708"/>
      <c r="E93" s="697"/>
      <c r="F93" s="698"/>
      <c r="G93" s="1901"/>
      <c r="H93" s="1902"/>
      <c r="I93" s="699"/>
      <c r="J93" s="700"/>
      <c r="K93" s="701"/>
      <c r="L93" s="702"/>
      <c r="M93" s="702"/>
      <c r="N93" s="702"/>
      <c r="O93" s="702"/>
      <c r="P93" s="1074"/>
      <c r="Q93" s="703"/>
      <c r="R93" s="704"/>
      <c r="S93" s="702"/>
      <c r="T93" s="689"/>
      <c r="U93" s="2"/>
      <c r="V93" s="1082"/>
      <c r="W93" s="690"/>
      <c r="X93" s="2"/>
      <c r="Y93" s="705">
        <f t="shared" si="35"/>
        <v>0</v>
      </c>
      <c r="Z93" s="691">
        <f t="shared" si="32"/>
        <v>0</v>
      </c>
      <c r="AA93" s="691">
        <f t="shared" si="33"/>
        <v>0</v>
      </c>
      <c r="AB93" s="705">
        <f>IF(Y93=0,,VLOOKUP(Y93,リスト!CX:CY,2,0))</f>
        <v>0</v>
      </c>
      <c r="AC93" s="705">
        <f t="shared" si="19"/>
        <v>0</v>
      </c>
      <c r="AD93" s="706">
        <f>IF(AC93=0,,VLOOKUP(AC93,リスト!DK:DL,2,0))</f>
        <v>0</v>
      </c>
      <c r="AE93" s="691">
        <f>IF(Y93=0,,
IF(OR(リスト!$C$21="小麦",リスト!$C$21="二条大麦",リスト!$C$21="六条大麦",リスト!$C$21="はだか麦",リスト!$C$21="なたね"),IF(K93&lt;9,調査年-J93,調査年-J93-1),
IF(リスト!$C$21="さとうきび",IF(K93&gt;=4,調査年-J93,調査年-J93+1),
調査年-J93)))</f>
        <v>0</v>
      </c>
      <c r="AF93" s="408">
        <f t="shared" si="20"/>
        <v>0</v>
      </c>
      <c r="AG93" s="408">
        <f t="shared" si="21"/>
        <v>0</v>
      </c>
      <c r="AH93" s="408">
        <f t="shared" si="22"/>
        <v>0</v>
      </c>
      <c r="AI93" s="408">
        <f t="shared" si="23"/>
        <v>0</v>
      </c>
      <c r="AJ93" s="408">
        <f t="shared" si="24"/>
        <v>0</v>
      </c>
      <c r="AK93" s="408">
        <f t="shared" si="34"/>
        <v>0</v>
      </c>
      <c r="AL93" s="408">
        <f t="shared" si="25"/>
        <v>0</v>
      </c>
      <c r="AM93" s="408">
        <f t="shared" si="26"/>
        <v>0</v>
      </c>
      <c r="AN93" s="417"/>
      <c r="AO93" s="69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3">
        <f t="shared" si="27"/>
        <v>0</v>
      </c>
      <c r="AQ93" s="408">
        <f t="shared" si="28"/>
        <v>0</v>
      </c>
      <c r="AR93" s="693">
        <f t="shared" si="29"/>
        <v>0</v>
      </c>
      <c r="AS93" s="408">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408">
        <f t="shared" si="30"/>
        <v>0</v>
      </c>
      <c r="AU93" s="408" t="str">
        <f t="shared" si="31"/>
        <v/>
      </c>
      <c r="AV93" s="707"/>
      <c r="AW93" s="707"/>
      <c r="AX93" s="707"/>
      <c r="AY93" s="707"/>
      <c r="AZ93" s="707"/>
    </row>
    <row r="94" spans="3:52" s="46" customFormat="1" ht="30" hidden="1" customHeight="1" outlineLevel="1">
      <c r="C94" s="695">
        <v>79</v>
      </c>
      <c r="D94" s="708"/>
      <c r="E94" s="697"/>
      <c r="F94" s="698"/>
      <c r="G94" s="1901"/>
      <c r="H94" s="1902"/>
      <c r="I94" s="699"/>
      <c r="J94" s="700"/>
      <c r="K94" s="701"/>
      <c r="L94" s="702"/>
      <c r="M94" s="702"/>
      <c r="N94" s="702"/>
      <c r="O94" s="702"/>
      <c r="P94" s="1074"/>
      <c r="Q94" s="703"/>
      <c r="R94" s="704"/>
      <c r="S94" s="702"/>
      <c r="T94" s="689"/>
      <c r="U94" s="2"/>
      <c r="V94" s="1082"/>
      <c r="W94" s="690"/>
      <c r="X94" s="2"/>
      <c r="Y94" s="705">
        <f t="shared" si="35"/>
        <v>0</v>
      </c>
      <c r="Z94" s="691">
        <f t="shared" si="32"/>
        <v>0</v>
      </c>
      <c r="AA94" s="691">
        <f t="shared" si="33"/>
        <v>0</v>
      </c>
      <c r="AB94" s="705">
        <f>IF(Y94=0,,VLOOKUP(Y94,リスト!CX:CY,2,0))</f>
        <v>0</v>
      </c>
      <c r="AC94" s="705">
        <f t="shared" si="19"/>
        <v>0</v>
      </c>
      <c r="AD94" s="706">
        <f>IF(AC94=0,,VLOOKUP(AC94,リスト!DK:DL,2,0))</f>
        <v>0</v>
      </c>
      <c r="AE94" s="691">
        <f>IF(Y94=0,,
IF(OR(リスト!$C$21="小麦",リスト!$C$21="二条大麦",リスト!$C$21="六条大麦",リスト!$C$21="はだか麦",リスト!$C$21="なたね"),IF(K94&lt;9,調査年-J94,調査年-J94-1),
IF(リスト!$C$21="さとうきび",IF(K94&gt;=4,調査年-J94,調査年-J94+1),
調査年-J94)))</f>
        <v>0</v>
      </c>
      <c r="AF94" s="408">
        <f t="shared" si="20"/>
        <v>0</v>
      </c>
      <c r="AG94" s="408">
        <f t="shared" si="21"/>
        <v>0</v>
      </c>
      <c r="AH94" s="408">
        <f t="shared" si="22"/>
        <v>0</v>
      </c>
      <c r="AI94" s="408">
        <f t="shared" si="23"/>
        <v>0</v>
      </c>
      <c r="AJ94" s="408">
        <f t="shared" si="24"/>
        <v>0</v>
      </c>
      <c r="AK94" s="408">
        <f t="shared" si="34"/>
        <v>0</v>
      </c>
      <c r="AL94" s="408">
        <f t="shared" si="25"/>
        <v>0</v>
      </c>
      <c r="AM94" s="408">
        <f t="shared" si="26"/>
        <v>0</v>
      </c>
      <c r="AN94" s="417"/>
      <c r="AO94" s="69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3">
        <f t="shared" si="27"/>
        <v>0</v>
      </c>
      <c r="AQ94" s="408">
        <f t="shared" si="28"/>
        <v>0</v>
      </c>
      <c r="AR94" s="693">
        <f t="shared" si="29"/>
        <v>0</v>
      </c>
      <c r="AS94" s="408">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408">
        <f t="shared" si="30"/>
        <v>0</v>
      </c>
      <c r="AU94" s="408" t="str">
        <f t="shared" si="31"/>
        <v/>
      </c>
      <c r="AV94" s="707"/>
      <c r="AW94" s="707"/>
      <c r="AX94" s="707"/>
      <c r="AY94" s="707"/>
      <c r="AZ94" s="707"/>
    </row>
    <row r="95" spans="3:52" s="46" customFormat="1" ht="30" hidden="1" customHeight="1" outlineLevel="1">
      <c r="C95" s="695">
        <v>80</v>
      </c>
      <c r="D95" s="708"/>
      <c r="E95" s="697"/>
      <c r="F95" s="698"/>
      <c r="G95" s="1901"/>
      <c r="H95" s="1902"/>
      <c r="I95" s="699"/>
      <c r="J95" s="700"/>
      <c r="K95" s="701"/>
      <c r="L95" s="702"/>
      <c r="M95" s="702"/>
      <c r="N95" s="702"/>
      <c r="O95" s="702"/>
      <c r="P95" s="1074"/>
      <c r="Q95" s="703"/>
      <c r="R95" s="704"/>
      <c r="S95" s="702"/>
      <c r="T95" s="689"/>
      <c r="U95" s="2"/>
      <c r="V95" s="1082"/>
      <c r="W95" s="690"/>
      <c r="X95" s="2"/>
      <c r="Y95" s="705">
        <f t="shared" si="35"/>
        <v>0</v>
      </c>
      <c r="Z95" s="691">
        <f t="shared" si="32"/>
        <v>0</v>
      </c>
      <c r="AA95" s="691">
        <f t="shared" si="33"/>
        <v>0</v>
      </c>
      <c r="AB95" s="705">
        <f>IF(Y95=0,,VLOOKUP(Y95,リスト!CX:CY,2,0))</f>
        <v>0</v>
      </c>
      <c r="AC95" s="705">
        <f t="shared" si="19"/>
        <v>0</v>
      </c>
      <c r="AD95" s="706">
        <f>IF(AC95=0,,VLOOKUP(AC95,リスト!DK:DL,2,0))</f>
        <v>0</v>
      </c>
      <c r="AE95" s="691">
        <f>IF(Y95=0,,
IF(OR(リスト!$C$21="小麦",リスト!$C$21="二条大麦",リスト!$C$21="六条大麦",リスト!$C$21="はだか麦",リスト!$C$21="なたね"),IF(K95&lt;9,調査年-J95,調査年-J95-1),
IF(リスト!$C$21="さとうきび",IF(K95&gt;=4,調査年-J95,調査年-J95+1),
調査年-J95)))</f>
        <v>0</v>
      </c>
      <c r="AF95" s="408">
        <f t="shared" si="20"/>
        <v>0</v>
      </c>
      <c r="AG95" s="408">
        <f t="shared" si="21"/>
        <v>0</v>
      </c>
      <c r="AH95" s="408">
        <f t="shared" si="22"/>
        <v>0</v>
      </c>
      <c r="AI95" s="408">
        <f t="shared" si="23"/>
        <v>0</v>
      </c>
      <c r="AJ95" s="408">
        <f t="shared" si="24"/>
        <v>0</v>
      </c>
      <c r="AK95" s="408">
        <f t="shared" si="34"/>
        <v>0</v>
      </c>
      <c r="AL95" s="408">
        <f t="shared" si="25"/>
        <v>0</v>
      </c>
      <c r="AM95" s="408">
        <f t="shared" si="26"/>
        <v>0</v>
      </c>
      <c r="AN95" s="417"/>
      <c r="AO95" s="69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3">
        <f t="shared" si="27"/>
        <v>0</v>
      </c>
      <c r="AQ95" s="408">
        <f t="shared" si="28"/>
        <v>0</v>
      </c>
      <c r="AR95" s="693">
        <f t="shared" si="29"/>
        <v>0</v>
      </c>
      <c r="AS95" s="408">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408">
        <f t="shared" si="30"/>
        <v>0</v>
      </c>
      <c r="AU95" s="408" t="str">
        <f t="shared" si="31"/>
        <v/>
      </c>
      <c r="AV95" s="707"/>
      <c r="AW95" s="707"/>
      <c r="AX95" s="707"/>
      <c r="AY95" s="707"/>
      <c r="AZ95" s="707"/>
    </row>
    <row r="96" spans="3:52" s="46" customFormat="1" ht="30" hidden="1" customHeight="1" outlineLevel="1">
      <c r="C96" s="695">
        <v>81</v>
      </c>
      <c r="D96" s="708"/>
      <c r="E96" s="697"/>
      <c r="F96" s="698"/>
      <c r="G96" s="1901"/>
      <c r="H96" s="1902"/>
      <c r="I96" s="699"/>
      <c r="J96" s="700"/>
      <c r="K96" s="701"/>
      <c r="L96" s="702"/>
      <c r="M96" s="702"/>
      <c r="N96" s="702"/>
      <c r="O96" s="702"/>
      <c r="P96" s="1074"/>
      <c r="Q96" s="703"/>
      <c r="R96" s="704"/>
      <c r="S96" s="702"/>
      <c r="T96" s="689"/>
      <c r="U96" s="2"/>
      <c r="V96" s="1082"/>
      <c r="W96" s="690"/>
      <c r="X96" s="2"/>
      <c r="Y96" s="705">
        <f t="shared" si="35"/>
        <v>0</v>
      </c>
      <c r="Z96" s="691">
        <f t="shared" si="32"/>
        <v>0</v>
      </c>
      <c r="AA96" s="691">
        <f t="shared" si="33"/>
        <v>0</v>
      </c>
      <c r="AB96" s="705">
        <f>IF(Y96=0,,VLOOKUP(Y96,リスト!CX:CY,2,0))</f>
        <v>0</v>
      </c>
      <c r="AC96" s="705">
        <f t="shared" si="19"/>
        <v>0</v>
      </c>
      <c r="AD96" s="706">
        <f>IF(AC96=0,,VLOOKUP(AC96,リスト!DK:DL,2,0))</f>
        <v>0</v>
      </c>
      <c r="AE96" s="691">
        <f>IF(Y96=0,,
IF(OR(リスト!$C$21="小麦",リスト!$C$21="二条大麦",リスト!$C$21="六条大麦",リスト!$C$21="はだか麦",リスト!$C$21="なたね"),IF(K96&lt;9,調査年-J96,調査年-J96-1),
IF(リスト!$C$21="さとうきび",IF(K96&gt;=4,調査年-J96,調査年-J96+1),
調査年-J96)))</f>
        <v>0</v>
      </c>
      <c r="AF96" s="408">
        <f t="shared" si="20"/>
        <v>0</v>
      </c>
      <c r="AG96" s="408">
        <f t="shared" si="21"/>
        <v>0</v>
      </c>
      <c r="AH96" s="408">
        <f t="shared" si="22"/>
        <v>0</v>
      </c>
      <c r="AI96" s="408">
        <f t="shared" si="23"/>
        <v>0</v>
      </c>
      <c r="AJ96" s="408">
        <f t="shared" si="24"/>
        <v>0</v>
      </c>
      <c r="AK96" s="408">
        <f t="shared" si="34"/>
        <v>0</v>
      </c>
      <c r="AL96" s="408">
        <f t="shared" si="25"/>
        <v>0</v>
      </c>
      <c r="AM96" s="408">
        <f t="shared" si="26"/>
        <v>0</v>
      </c>
      <c r="AN96" s="417"/>
      <c r="AO96" s="69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3">
        <f t="shared" si="27"/>
        <v>0</v>
      </c>
      <c r="AQ96" s="408">
        <f t="shared" si="28"/>
        <v>0</v>
      </c>
      <c r="AR96" s="693">
        <f t="shared" si="29"/>
        <v>0</v>
      </c>
      <c r="AS96" s="408">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408">
        <f t="shared" si="30"/>
        <v>0</v>
      </c>
      <c r="AU96" s="408" t="str">
        <f t="shared" si="31"/>
        <v/>
      </c>
      <c r="AV96" s="707"/>
      <c r="AW96" s="707"/>
      <c r="AX96" s="707"/>
      <c r="AY96" s="707"/>
      <c r="AZ96" s="707"/>
    </row>
    <row r="97" spans="3:52" s="46" customFormat="1" ht="30" hidden="1" customHeight="1" outlineLevel="1">
      <c r="C97" s="695">
        <v>82</v>
      </c>
      <c r="D97" s="708"/>
      <c r="E97" s="697"/>
      <c r="F97" s="698"/>
      <c r="G97" s="1901"/>
      <c r="H97" s="1902"/>
      <c r="I97" s="699"/>
      <c r="J97" s="700"/>
      <c r="K97" s="701"/>
      <c r="L97" s="702"/>
      <c r="M97" s="702"/>
      <c r="N97" s="702"/>
      <c r="O97" s="702"/>
      <c r="P97" s="1074"/>
      <c r="Q97" s="703"/>
      <c r="R97" s="704"/>
      <c r="S97" s="702"/>
      <c r="T97" s="689"/>
      <c r="U97" s="2"/>
      <c r="V97" s="1082"/>
      <c r="W97" s="690"/>
      <c r="X97" s="2"/>
      <c r="Y97" s="705">
        <f t="shared" si="35"/>
        <v>0</v>
      </c>
      <c r="Z97" s="691">
        <f t="shared" si="32"/>
        <v>0</v>
      </c>
      <c r="AA97" s="691">
        <f t="shared" si="33"/>
        <v>0</v>
      </c>
      <c r="AB97" s="705">
        <f>IF(Y97=0,,VLOOKUP(Y97,リスト!CX:CY,2,0))</f>
        <v>0</v>
      </c>
      <c r="AC97" s="705">
        <f t="shared" si="19"/>
        <v>0</v>
      </c>
      <c r="AD97" s="706">
        <f>IF(AC97=0,,VLOOKUP(AC97,リスト!DK:DL,2,0))</f>
        <v>0</v>
      </c>
      <c r="AE97" s="691">
        <f>IF(Y97=0,,
IF(OR(リスト!$C$21="小麦",リスト!$C$21="二条大麦",リスト!$C$21="六条大麦",リスト!$C$21="はだか麦",リスト!$C$21="なたね"),IF(K97&lt;9,調査年-J97,調査年-J97-1),
IF(リスト!$C$21="さとうきび",IF(K97&gt;=4,調査年-J97,調査年-J97+1),
調査年-J97)))</f>
        <v>0</v>
      </c>
      <c r="AF97" s="408">
        <f t="shared" si="20"/>
        <v>0</v>
      </c>
      <c r="AG97" s="408">
        <f t="shared" si="21"/>
        <v>0</v>
      </c>
      <c r="AH97" s="408">
        <f t="shared" si="22"/>
        <v>0</v>
      </c>
      <c r="AI97" s="408">
        <f t="shared" si="23"/>
        <v>0</v>
      </c>
      <c r="AJ97" s="408">
        <f t="shared" si="24"/>
        <v>0</v>
      </c>
      <c r="AK97" s="408">
        <f t="shared" si="34"/>
        <v>0</v>
      </c>
      <c r="AL97" s="408">
        <f t="shared" si="25"/>
        <v>0</v>
      </c>
      <c r="AM97" s="408">
        <f t="shared" si="26"/>
        <v>0</v>
      </c>
      <c r="AN97" s="417"/>
      <c r="AO97" s="69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3">
        <f t="shared" si="27"/>
        <v>0</v>
      </c>
      <c r="AQ97" s="408">
        <f t="shared" si="28"/>
        <v>0</v>
      </c>
      <c r="AR97" s="693">
        <f t="shared" si="29"/>
        <v>0</v>
      </c>
      <c r="AS97" s="408">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408">
        <f t="shared" si="30"/>
        <v>0</v>
      </c>
      <c r="AU97" s="408" t="str">
        <f t="shared" si="31"/>
        <v/>
      </c>
      <c r="AV97" s="707"/>
      <c r="AW97" s="707"/>
      <c r="AX97" s="707"/>
      <c r="AY97" s="707"/>
      <c r="AZ97" s="707"/>
    </row>
    <row r="98" spans="3:52" s="46" customFormat="1" ht="30" hidden="1" customHeight="1" outlineLevel="1">
      <c r="C98" s="695">
        <v>83</v>
      </c>
      <c r="D98" s="708"/>
      <c r="E98" s="697"/>
      <c r="F98" s="698"/>
      <c r="G98" s="1901"/>
      <c r="H98" s="1902"/>
      <c r="I98" s="699"/>
      <c r="J98" s="700"/>
      <c r="K98" s="701"/>
      <c r="L98" s="702"/>
      <c r="M98" s="702"/>
      <c r="N98" s="702"/>
      <c r="O98" s="702"/>
      <c r="P98" s="1074"/>
      <c r="Q98" s="703"/>
      <c r="R98" s="704"/>
      <c r="S98" s="702"/>
      <c r="T98" s="689"/>
      <c r="U98" s="2"/>
      <c r="V98" s="1082"/>
      <c r="W98" s="690"/>
      <c r="X98" s="2"/>
      <c r="Y98" s="705">
        <f t="shared" si="35"/>
        <v>0</v>
      </c>
      <c r="Z98" s="691">
        <f t="shared" si="32"/>
        <v>0</v>
      </c>
      <c r="AA98" s="691">
        <f t="shared" si="33"/>
        <v>0</v>
      </c>
      <c r="AB98" s="705">
        <f>IF(Y98=0,,VLOOKUP(Y98,リスト!CX:CY,2,0))</f>
        <v>0</v>
      </c>
      <c r="AC98" s="705">
        <f t="shared" si="19"/>
        <v>0</v>
      </c>
      <c r="AD98" s="706">
        <f>IF(AC98=0,,VLOOKUP(AC98,リスト!DK:DL,2,0))</f>
        <v>0</v>
      </c>
      <c r="AE98" s="691">
        <f>IF(Y98=0,,
IF(OR(リスト!$C$21="小麦",リスト!$C$21="二条大麦",リスト!$C$21="六条大麦",リスト!$C$21="はだか麦",リスト!$C$21="なたね"),IF(K98&lt;9,調査年-J98,調査年-J98-1),
IF(リスト!$C$21="さとうきび",IF(K98&gt;=4,調査年-J98,調査年-J98+1),
調査年-J98)))</f>
        <v>0</v>
      </c>
      <c r="AF98" s="408">
        <f t="shared" si="20"/>
        <v>0</v>
      </c>
      <c r="AG98" s="408">
        <f t="shared" si="21"/>
        <v>0</v>
      </c>
      <c r="AH98" s="408">
        <f t="shared" si="22"/>
        <v>0</v>
      </c>
      <c r="AI98" s="408">
        <f t="shared" si="23"/>
        <v>0</v>
      </c>
      <c r="AJ98" s="408">
        <f t="shared" si="24"/>
        <v>0</v>
      </c>
      <c r="AK98" s="408">
        <f t="shared" si="34"/>
        <v>0</v>
      </c>
      <c r="AL98" s="408">
        <f t="shared" si="25"/>
        <v>0</v>
      </c>
      <c r="AM98" s="408">
        <f t="shared" si="26"/>
        <v>0</v>
      </c>
      <c r="AN98" s="417"/>
      <c r="AO98" s="69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3">
        <f t="shared" si="27"/>
        <v>0</v>
      </c>
      <c r="AQ98" s="408">
        <f t="shared" si="28"/>
        <v>0</v>
      </c>
      <c r="AR98" s="693">
        <f t="shared" si="29"/>
        <v>0</v>
      </c>
      <c r="AS98" s="408">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408">
        <f t="shared" si="30"/>
        <v>0</v>
      </c>
      <c r="AU98" s="408" t="str">
        <f t="shared" si="31"/>
        <v/>
      </c>
      <c r="AV98" s="707"/>
      <c r="AW98" s="707"/>
      <c r="AX98" s="707"/>
      <c r="AY98" s="707"/>
      <c r="AZ98" s="707"/>
    </row>
    <row r="99" spans="3:52" s="46" customFormat="1" ht="30" hidden="1" customHeight="1" outlineLevel="1">
      <c r="C99" s="695">
        <v>84</v>
      </c>
      <c r="D99" s="708"/>
      <c r="E99" s="697"/>
      <c r="F99" s="698"/>
      <c r="G99" s="1901"/>
      <c r="H99" s="1902"/>
      <c r="I99" s="699"/>
      <c r="J99" s="700"/>
      <c r="K99" s="701"/>
      <c r="L99" s="702"/>
      <c r="M99" s="702"/>
      <c r="N99" s="702"/>
      <c r="O99" s="702"/>
      <c r="P99" s="1074"/>
      <c r="Q99" s="703"/>
      <c r="R99" s="704"/>
      <c r="S99" s="702"/>
      <c r="T99" s="689"/>
      <c r="U99" s="2"/>
      <c r="V99" s="1082"/>
      <c r="W99" s="690"/>
      <c r="X99" s="2"/>
      <c r="Y99" s="705">
        <f t="shared" si="35"/>
        <v>0</v>
      </c>
      <c r="Z99" s="691">
        <f t="shared" si="32"/>
        <v>0</v>
      </c>
      <c r="AA99" s="691">
        <f t="shared" si="33"/>
        <v>0</v>
      </c>
      <c r="AB99" s="705">
        <f>IF(Y99=0,,VLOOKUP(Y99,リスト!CX:CY,2,0))</f>
        <v>0</v>
      </c>
      <c r="AC99" s="705">
        <f t="shared" si="19"/>
        <v>0</v>
      </c>
      <c r="AD99" s="706">
        <f>IF(AC99=0,,VLOOKUP(AC99,リスト!DK:DL,2,0))</f>
        <v>0</v>
      </c>
      <c r="AE99" s="691">
        <f>IF(Y99=0,,
IF(OR(リスト!$C$21="小麦",リスト!$C$21="二条大麦",リスト!$C$21="六条大麦",リスト!$C$21="はだか麦",リスト!$C$21="なたね"),IF(K99&lt;9,調査年-J99,調査年-J99-1),
IF(リスト!$C$21="さとうきび",IF(K99&gt;=4,調査年-J99,調査年-J99+1),
調査年-J99)))</f>
        <v>0</v>
      </c>
      <c r="AF99" s="408">
        <f t="shared" si="20"/>
        <v>0</v>
      </c>
      <c r="AG99" s="408">
        <f t="shared" si="21"/>
        <v>0</v>
      </c>
      <c r="AH99" s="408">
        <f t="shared" si="22"/>
        <v>0</v>
      </c>
      <c r="AI99" s="408">
        <f t="shared" si="23"/>
        <v>0</v>
      </c>
      <c r="AJ99" s="408">
        <f t="shared" si="24"/>
        <v>0</v>
      </c>
      <c r="AK99" s="408">
        <f t="shared" si="34"/>
        <v>0</v>
      </c>
      <c r="AL99" s="408">
        <f t="shared" si="25"/>
        <v>0</v>
      </c>
      <c r="AM99" s="408">
        <f t="shared" si="26"/>
        <v>0</v>
      </c>
      <c r="AN99" s="417"/>
      <c r="AO99" s="69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3">
        <f t="shared" si="27"/>
        <v>0</v>
      </c>
      <c r="AQ99" s="408">
        <f t="shared" si="28"/>
        <v>0</v>
      </c>
      <c r="AR99" s="693">
        <f t="shared" si="29"/>
        <v>0</v>
      </c>
      <c r="AS99" s="408">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408">
        <f t="shared" si="30"/>
        <v>0</v>
      </c>
      <c r="AU99" s="408" t="str">
        <f t="shared" si="31"/>
        <v/>
      </c>
      <c r="AV99" s="707"/>
      <c r="AW99" s="707"/>
      <c r="AX99" s="707"/>
      <c r="AY99" s="707"/>
      <c r="AZ99" s="707"/>
    </row>
    <row r="100" spans="3:52" s="46" customFormat="1" ht="30" hidden="1" customHeight="1" outlineLevel="1">
      <c r="C100" s="695">
        <v>85</v>
      </c>
      <c r="D100" s="708"/>
      <c r="E100" s="697"/>
      <c r="F100" s="698"/>
      <c r="G100" s="1901"/>
      <c r="H100" s="1902"/>
      <c r="I100" s="699"/>
      <c r="J100" s="700"/>
      <c r="K100" s="701"/>
      <c r="L100" s="702"/>
      <c r="M100" s="702"/>
      <c r="N100" s="702"/>
      <c r="O100" s="702"/>
      <c r="P100" s="1074"/>
      <c r="Q100" s="703"/>
      <c r="R100" s="704"/>
      <c r="S100" s="702"/>
      <c r="T100" s="689"/>
      <c r="U100" s="2"/>
      <c r="V100" s="1082"/>
      <c r="W100" s="690"/>
      <c r="X100" s="2"/>
      <c r="Y100" s="705">
        <f t="shared" si="35"/>
        <v>0</v>
      </c>
      <c r="Z100" s="691">
        <f t="shared" si="32"/>
        <v>0</v>
      </c>
      <c r="AA100" s="691">
        <f t="shared" si="33"/>
        <v>0</v>
      </c>
      <c r="AB100" s="705">
        <f>IF(Y100=0,,VLOOKUP(Y100,リスト!CX:CY,2,0))</f>
        <v>0</v>
      </c>
      <c r="AC100" s="705">
        <f t="shared" si="19"/>
        <v>0</v>
      </c>
      <c r="AD100" s="706">
        <f>IF(AC100=0,,VLOOKUP(AC100,リスト!DK:DL,2,0))</f>
        <v>0</v>
      </c>
      <c r="AE100" s="691">
        <f>IF(Y100=0,,
IF(OR(リスト!$C$21="小麦",リスト!$C$21="二条大麦",リスト!$C$21="六条大麦",リスト!$C$21="はだか麦",リスト!$C$21="なたね"),IF(K100&lt;9,調査年-J100,調査年-J100-1),
IF(リスト!$C$21="さとうきび",IF(K100&gt;=4,調査年-J100,調査年-J100+1),
調査年-J100)))</f>
        <v>0</v>
      </c>
      <c r="AF100" s="408">
        <f t="shared" si="20"/>
        <v>0</v>
      </c>
      <c r="AG100" s="408">
        <f t="shared" si="21"/>
        <v>0</v>
      </c>
      <c r="AH100" s="408">
        <f t="shared" si="22"/>
        <v>0</v>
      </c>
      <c r="AI100" s="408">
        <f t="shared" si="23"/>
        <v>0</v>
      </c>
      <c r="AJ100" s="408">
        <f t="shared" si="24"/>
        <v>0</v>
      </c>
      <c r="AK100" s="408">
        <f t="shared" si="34"/>
        <v>0</v>
      </c>
      <c r="AL100" s="408">
        <f t="shared" si="25"/>
        <v>0</v>
      </c>
      <c r="AM100" s="408">
        <f t="shared" si="26"/>
        <v>0</v>
      </c>
      <c r="AN100" s="417"/>
      <c r="AO100" s="69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3">
        <f t="shared" si="27"/>
        <v>0</v>
      </c>
      <c r="AQ100" s="408">
        <f t="shared" si="28"/>
        <v>0</v>
      </c>
      <c r="AR100" s="693">
        <f t="shared" si="29"/>
        <v>0</v>
      </c>
      <c r="AS100" s="408">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408">
        <f t="shared" si="30"/>
        <v>0</v>
      </c>
      <c r="AU100" s="408" t="str">
        <f t="shared" si="31"/>
        <v/>
      </c>
      <c r="AV100" s="707"/>
      <c r="AW100" s="707"/>
      <c r="AX100" s="707"/>
      <c r="AY100" s="707"/>
      <c r="AZ100" s="707"/>
    </row>
    <row r="101" spans="3:52" s="46" customFormat="1" ht="30" hidden="1" customHeight="1" outlineLevel="1">
      <c r="C101" s="695">
        <v>86</v>
      </c>
      <c r="D101" s="708"/>
      <c r="E101" s="697"/>
      <c r="F101" s="698"/>
      <c r="G101" s="1901"/>
      <c r="H101" s="1902"/>
      <c r="I101" s="699"/>
      <c r="J101" s="700"/>
      <c r="K101" s="701"/>
      <c r="L101" s="702"/>
      <c r="M101" s="702"/>
      <c r="N101" s="702"/>
      <c r="O101" s="702"/>
      <c r="P101" s="1074"/>
      <c r="Q101" s="703"/>
      <c r="R101" s="704"/>
      <c r="S101" s="702"/>
      <c r="T101" s="689"/>
      <c r="U101" s="2"/>
      <c r="V101" s="1082"/>
      <c r="W101" s="690"/>
      <c r="X101" s="2"/>
      <c r="Y101" s="705">
        <f t="shared" si="35"/>
        <v>0</v>
      </c>
      <c r="Z101" s="691">
        <f t="shared" si="32"/>
        <v>0</v>
      </c>
      <c r="AA101" s="691">
        <f t="shared" si="33"/>
        <v>0</v>
      </c>
      <c r="AB101" s="705">
        <f>IF(Y101=0,,VLOOKUP(Y101,リスト!CX:CY,2,0))</f>
        <v>0</v>
      </c>
      <c r="AC101" s="705">
        <f t="shared" si="19"/>
        <v>0</v>
      </c>
      <c r="AD101" s="706">
        <f>IF(AC101=0,,VLOOKUP(AC101,リスト!DK:DL,2,0))</f>
        <v>0</v>
      </c>
      <c r="AE101" s="691">
        <f>IF(Y101=0,,
IF(OR(リスト!$C$21="小麦",リスト!$C$21="二条大麦",リスト!$C$21="六条大麦",リスト!$C$21="はだか麦",リスト!$C$21="なたね"),IF(K101&lt;9,調査年-J101,調査年-J101-1),
IF(リスト!$C$21="さとうきび",IF(K101&gt;=4,調査年-J101,調査年-J101+1),
調査年-J101)))</f>
        <v>0</v>
      </c>
      <c r="AF101" s="408">
        <f t="shared" si="20"/>
        <v>0</v>
      </c>
      <c r="AG101" s="408">
        <f t="shared" si="21"/>
        <v>0</v>
      </c>
      <c r="AH101" s="408">
        <f t="shared" si="22"/>
        <v>0</v>
      </c>
      <c r="AI101" s="408">
        <f t="shared" si="23"/>
        <v>0</v>
      </c>
      <c r="AJ101" s="408">
        <f t="shared" si="24"/>
        <v>0</v>
      </c>
      <c r="AK101" s="408">
        <f t="shared" si="34"/>
        <v>0</v>
      </c>
      <c r="AL101" s="408">
        <f t="shared" si="25"/>
        <v>0</v>
      </c>
      <c r="AM101" s="408">
        <f t="shared" si="26"/>
        <v>0</v>
      </c>
      <c r="AN101" s="417"/>
      <c r="AO101" s="69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3">
        <f t="shared" si="27"/>
        <v>0</v>
      </c>
      <c r="AQ101" s="408">
        <f t="shared" si="28"/>
        <v>0</v>
      </c>
      <c r="AR101" s="693">
        <f t="shared" si="29"/>
        <v>0</v>
      </c>
      <c r="AS101" s="408">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408">
        <f t="shared" si="30"/>
        <v>0</v>
      </c>
      <c r="AU101" s="408" t="str">
        <f t="shared" si="31"/>
        <v/>
      </c>
      <c r="AV101" s="707"/>
      <c r="AW101" s="707"/>
      <c r="AX101" s="707"/>
      <c r="AY101" s="707"/>
      <c r="AZ101" s="707"/>
    </row>
    <row r="102" spans="3:52" s="46" customFormat="1" ht="30" hidden="1" customHeight="1" outlineLevel="1">
      <c r="C102" s="695">
        <v>87</v>
      </c>
      <c r="D102" s="708"/>
      <c r="E102" s="697"/>
      <c r="F102" s="698"/>
      <c r="G102" s="1901"/>
      <c r="H102" s="1902"/>
      <c r="I102" s="699"/>
      <c r="J102" s="700"/>
      <c r="K102" s="701"/>
      <c r="L102" s="702"/>
      <c r="M102" s="702"/>
      <c r="N102" s="702"/>
      <c r="O102" s="702"/>
      <c r="P102" s="1074"/>
      <c r="Q102" s="703"/>
      <c r="R102" s="704"/>
      <c r="S102" s="702"/>
      <c r="T102" s="689"/>
      <c r="U102" s="2"/>
      <c r="V102" s="1082"/>
      <c r="W102" s="690"/>
      <c r="X102" s="2"/>
      <c r="Y102" s="705">
        <f t="shared" si="35"/>
        <v>0</v>
      </c>
      <c r="Z102" s="691">
        <f t="shared" si="32"/>
        <v>0</v>
      </c>
      <c r="AA102" s="691">
        <f t="shared" si="33"/>
        <v>0</v>
      </c>
      <c r="AB102" s="705">
        <f>IF(Y102=0,,VLOOKUP(Y102,リスト!CX:CY,2,0))</f>
        <v>0</v>
      </c>
      <c r="AC102" s="705">
        <f t="shared" si="19"/>
        <v>0</v>
      </c>
      <c r="AD102" s="706">
        <f>IF(AC102=0,,VLOOKUP(AC102,リスト!DK:DL,2,0))</f>
        <v>0</v>
      </c>
      <c r="AE102" s="691">
        <f>IF(Y102=0,,
IF(OR(リスト!$C$21="小麦",リスト!$C$21="二条大麦",リスト!$C$21="六条大麦",リスト!$C$21="はだか麦",リスト!$C$21="なたね"),IF(K102&lt;9,調査年-J102,調査年-J102-1),
IF(リスト!$C$21="さとうきび",IF(K102&gt;=4,調査年-J102,調査年-J102+1),
調査年-J102)))</f>
        <v>0</v>
      </c>
      <c r="AF102" s="408">
        <f t="shared" si="20"/>
        <v>0</v>
      </c>
      <c r="AG102" s="408">
        <f t="shared" si="21"/>
        <v>0</v>
      </c>
      <c r="AH102" s="408">
        <f t="shared" si="22"/>
        <v>0</v>
      </c>
      <c r="AI102" s="408">
        <f t="shared" si="23"/>
        <v>0</v>
      </c>
      <c r="AJ102" s="408">
        <f t="shared" si="24"/>
        <v>0</v>
      </c>
      <c r="AK102" s="408">
        <f t="shared" si="34"/>
        <v>0</v>
      </c>
      <c r="AL102" s="408">
        <f t="shared" si="25"/>
        <v>0</v>
      </c>
      <c r="AM102" s="408">
        <f t="shared" si="26"/>
        <v>0</v>
      </c>
      <c r="AN102" s="417"/>
      <c r="AO102" s="69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3">
        <f t="shared" si="27"/>
        <v>0</v>
      </c>
      <c r="AQ102" s="408">
        <f t="shared" si="28"/>
        <v>0</v>
      </c>
      <c r="AR102" s="693">
        <f t="shared" si="29"/>
        <v>0</v>
      </c>
      <c r="AS102" s="408">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408">
        <f t="shared" si="30"/>
        <v>0</v>
      </c>
      <c r="AU102" s="408" t="str">
        <f t="shared" si="31"/>
        <v/>
      </c>
      <c r="AV102" s="707"/>
      <c r="AW102" s="707"/>
      <c r="AX102" s="707"/>
      <c r="AY102" s="707"/>
      <c r="AZ102" s="707"/>
    </row>
    <row r="103" spans="3:52" s="46" customFormat="1" ht="30" hidden="1" customHeight="1" outlineLevel="1">
      <c r="C103" s="695">
        <v>88</v>
      </c>
      <c r="D103" s="708"/>
      <c r="E103" s="697"/>
      <c r="F103" s="698"/>
      <c r="G103" s="1901"/>
      <c r="H103" s="1902"/>
      <c r="I103" s="699"/>
      <c r="J103" s="700"/>
      <c r="K103" s="701"/>
      <c r="L103" s="702"/>
      <c r="M103" s="702"/>
      <c r="N103" s="702"/>
      <c r="O103" s="702"/>
      <c r="P103" s="1074"/>
      <c r="Q103" s="703"/>
      <c r="R103" s="704"/>
      <c r="S103" s="702"/>
      <c r="T103" s="689"/>
      <c r="U103" s="2"/>
      <c r="V103" s="1082"/>
      <c r="W103" s="690"/>
      <c r="X103" s="2"/>
      <c r="Y103" s="705">
        <f t="shared" si="35"/>
        <v>0</v>
      </c>
      <c r="Z103" s="691">
        <f t="shared" si="32"/>
        <v>0</v>
      </c>
      <c r="AA103" s="691">
        <f t="shared" si="33"/>
        <v>0</v>
      </c>
      <c r="AB103" s="705">
        <f>IF(Y103=0,,VLOOKUP(Y103,リスト!CX:CY,2,0))</f>
        <v>0</v>
      </c>
      <c r="AC103" s="705">
        <f t="shared" si="19"/>
        <v>0</v>
      </c>
      <c r="AD103" s="706">
        <f>IF(AC103=0,,VLOOKUP(AC103,リスト!DK:DL,2,0))</f>
        <v>0</v>
      </c>
      <c r="AE103" s="691">
        <f>IF(Y103=0,,
IF(OR(リスト!$C$21="小麦",リスト!$C$21="二条大麦",リスト!$C$21="六条大麦",リスト!$C$21="はだか麦",リスト!$C$21="なたね"),IF(K103&lt;9,調査年-J103,調査年-J103-1),
IF(リスト!$C$21="さとうきび",IF(K103&gt;=4,調査年-J103,調査年-J103+1),
調査年-J103)))</f>
        <v>0</v>
      </c>
      <c r="AF103" s="408">
        <f t="shared" si="20"/>
        <v>0</v>
      </c>
      <c r="AG103" s="408">
        <f t="shared" si="21"/>
        <v>0</v>
      </c>
      <c r="AH103" s="408">
        <f t="shared" si="22"/>
        <v>0</v>
      </c>
      <c r="AI103" s="408">
        <f t="shared" si="23"/>
        <v>0</v>
      </c>
      <c r="AJ103" s="408">
        <f t="shared" si="24"/>
        <v>0</v>
      </c>
      <c r="AK103" s="408">
        <f t="shared" si="34"/>
        <v>0</v>
      </c>
      <c r="AL103" s="408">
        <f t="shared" si="25"/>
        <v>0</v>
      </c>
      <c r="AM103" s="408">
        <f t="shared" si="26"/>
        <v>0</v>
      </c>
      <c r="AN103" s="417"/>
      <c r="AO103" s="69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3">
        <f t="shared" si="27"/>
        <v>0</v>
      </c>
      <c r="AQ103" s="408">
        <f t="shared" si="28"/>
        <v>0</v>
      </c>
      <c r="AR103" s="693">
        <f t="shared" si="29"/>
        <v>0</v>
      </c>
      <c r="AS103" s="408">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408">
        <f t="shared" si="30"/>
        <v>0</v>
      </c>
      <c r="AU103" s="408" t="str">
        <f t="shared" si="31"/>
        <v/>
      </c>
      <c r="AV103" s="707"/>
      <c r="AW103" s="707"/>
      <c r="AX103" s="707"/>
      <c r="AY103" s="707"/>
      <c r="AZ103" s="707"/>
    </row>
    <row r="104" spans="3:52" s="46" customFormat="1" ht="30" hidden="1" customHeight="1" outlineLevel="1">
      <c r="C104" s="695">
        <v>89</v>
      </c>
      <c r="D104" s="708"/>
      <c r="E104" s="697"/>
      <c r="F104" s="698"/>
      <c r="G104" s="1901"/>
      <c r="H104" s="1902"/>
      <c r="I104" s="699"/>
      <c r="J104" s="700"/>
      <c r="K104" s="701"/>
      <c r="L104" s="702"/>
      <c r="M104" s="702"/>
      <c r="N104" s="702"/>
      <c r="O104" s="702"/>
      <c r="P104" s="1074"/>
      <c r="Q104" s="703"/>
      <c r="R104" s="704"/>
      <c r="S104" s="702"/>
      <c r="T104" s="689"/>
      <c r="U104" s="2"/>
      <c r="V104" s="1082"/>
      <c r="W104" s="690"/>
      <c r="X104" s="2"/>
      <c r="Y104" s="705">
        <f t="shared" si="35"/>
        <v>0</v>
      </c>
      <c r="Z104" s="691">
        <f t="shared" si="32"/>
        <v>0</v>
      </c>
      <c r="AA104" s="691">
        <f t="shared" si="33"/>
        <v>0</v>
      </c>
      <c r="AB104" s="705">
        <f>IF(Y104=0,,VLOOKUP(Y104,リスト!CX:CY,2,0))</f>
        <v>0</v>
      </c>
      <c r="AC104" s="705">
        <f t="shared" si="19"/>
        <v>0</v>
      </c>
      <c r="AD104" s="706">
        <f>IF(AC104=0,,VLOOKUP(AC104,リスト!DK:DL,2,0))</f>
        <v>0</v>
      </c>
      <c r="AE104" s="691">
        <f>IF(Y104=0,,
IF(OR(リスト!$C$21="小麦",リスト!$C$21="二条大麦",リスト!$C$21="六条大麦",リスト!$C$21="はだか麦",リスト!$C$21="なたね"),IF(K104&lt;9,調査年-J104,調査年-J104-1),
IF(リスト!$C$21="さとうきび",IF(K104&gt;=4,調査年-J104,調査年-J104+1),
調査年-J104)))</f>
        <v>0</v>
      </c>
      <c r="AF104" s="408">
        <f t="shared" si="20"/>
        <v>0</v>
      </c>
      <c r="AG104" s="408">
        <f t="shared" si="21"/>
        <v>0</v>
      </c>
      <c r="AH104" s="408">
        <f t="shared" si="22"/>
        <v>0</v>
      </c>
      <c r="AI104" s="408">
        <f t="shared" si="23"/>
        <v>0</v>
      </c>
      <c r="AJ104" s="408">
        <f t="shared" si="24"/>
        <v>0</v>
      </c>
      <c r="AK104" s="408">
        <f t="shared" si="34"/>
        <v>0</v>
      </c>
      <c r="AL104" s="408">
        <f t="shared" si="25"/>
        <v>0</v>
      </c>
      <c r="AM104" s="408">
        <f t="shared" si="26"/>
        <v>0</v>
      </c>
      <c r="AN104" s="417"/>
      <c r="AO104" s="69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3">
        <f t="shared" si="27"/>
        <v>0</v>
      </c>
      <c r="AQ104" s="408">
        <f t="shared" si="28"/>
        <v>0</v>
      </c>
      <c r="AR104" s="693">
        <f t="shared" si="29"/>
        <v>0</v>
      </c>
      <c r="AS104" s="408">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408">
        <f t="shared" si="30"/>
        <v>0</v>
      </c>
      <c r="AU104" s="408" t="str">
        <f t="shared" si="31"/>
        <v/>
      </c>
      <c r="AV104" s="707"/>
      <c r="AW104" s="707"/>
      <c r="AX104" s="707"/>
      <c r="AY104" s="707"/>
      <c r="AZ104" s="707"/>
    </row>
    <row r="105" spans="3:52" s="46" customFormat="1" ht="30" hidden="1" customHeight="1" outlineLevel="1">
      <c r="C105" s="695">
        <v>90</v>
      </c>
      <c r="D105" s="708"/>
      <c r="E105" s="697"/>
      <c r="F105" s="698"/>
      <c r="G105" s="1901"/>
      <c r="H105" s="1902"/>
      <c r="I105" s="699"/>
      <c r="J105" s="700"/>
      <c r="K105" s="701"/>
      <c r="L105" s="702"/>
      <c r="M105" s="702"/>
      <c r="N105" s="702"/>
      <c r="O105" s="702"/>
      <c r="P105" s="1074"/>
      <c r="Q105" s="703"/>
      <c r="R105" s="704"/>
      <c r="S105" s="702"/>
      <c r="T105" s="689"/>
      <c r="U105" s="2"/>
      <c r="V105" s="1082"/>
      <c r="W105" s="690"/>
      <c r="X105" s="2"/>
      <c r="Y105" s="705">
        <f t="shared" si="35"/>
        <v>0</v>
      </c>
      <c r="Z105" s="691">
        <f t="shared" si="32"/>
        <v>0</v>
      </c>
      <c r="AA105" s="691">
        <f t="shared" si="33"/>
        <v>0</v>
      </c>
      <c r="AB105" s="705">
        <f>IF(Y105=0,,VLOOKUP(Y105,リスト!CX:CY,2,0))</f>
        <v>0</v>
      </c>
      <c r="AC105" s="705">
        <f t="shared" si="19"/>
        <v>0</v>
      </c>
      <c r="AD105" s="706">
        <f>IF(AC105=0,,VLOOKUP(AC105,リスト!DK:DL,2,0))</f>
        <v>0</v>
      </c>
      <c r="AE105" s="691">
        <f>IF(Y105=0,,
IF(OR(リスト!$C$21="小麦",リスト!$C$21="二条大麦",リスト!$C$21="六条大麦",リスト!$C$21="はだか麦",リスト!$C$21="なたね"),IF(K105&lt;9,調査年-J105,調査年-J105-1),
IF(リスト!$C$21="さとうきび",IF(K105&gt;=4,調査年-J105,調査年-J105+1),
調査年-J105)))</f>
        <v>0</v>
      </c>
      <c r="AF105" s="408">
        <f t="shared" si="20"/>
        <v>0</v>
      </c>
      <c r="AG105" s="408">
        <f t="shared" si="21"/>
        <v>0</v>
      </c>
      <c r="AH105" s="408">
        <f t="shared" si="22"/>
        <v>0</v>
      </c>
      <c r="AI105" s="408">
        <f t="shared" si="23"/>
        <v>0</v>
      </c>
      <c r="AJ105" s="408">
        <f t="shared" si="24"/>
        <v>0</v>
      </c>
      <c r="AK105" s="408">
        <f t="shared" si="34"/>
        <v>0</v>
      </c>
      <c r="AL105" s="408">
        <f t="shared" si="25"/>
        <v>0</v>
      </c>
      <c r="AM105" s="408">
        <f t="shared" si="26"/>
        <v>0</v>
      </c>
      <c r="AN105" s="417"/>
      <c r="AO105" s="69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3">
        <f t="shared" si="27"/>
        <v>0</v>
      </c>
      <c r="AQ105" s="408">
        <f t="shared" si="28"/>
        <v>0</v>
      </c>
      <c r="AR105" s="693">
        <f t="shared" si="29"/>
        <v>0</v>
      </c>
      <c r="AS105" s="408">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408">
        <f t="shared" si="30"/>
        <v>0</v>
      </c>
      <c r="AU105" s="408" t="str">
        <f t="shared" si="31"/>
        <v/>
      </c>
      <c r="AV105" s="707"/>
      <c r="AW105" s="707"/>
      <c r="AX105" s="707"/>
      <c r="AY105" s="707"/>
      <c r="AZ105" s="707"/>
    </row>
    <row r="106" spans="3:52" s="46" customFormat="1" ht="30" hidden="1" customHeight="1" outlineLevel="1">
      <c r="C106" s="695">
        <v>91</v>
      </c>
      <c r="D106" s="708"/>
      <c r="E106" s="697"/>
      <c r="F106" s="698"/>
      <c r="G106" s="1901"/>
      <c r="H106" s="1902"/>
      <c r="I106" s="699"/>
      <c r="J106" s="700"/>
      <c r="K106" s="701"/>
      <c r="L106" s="702"/>
      <c r="M106" s="702"/>
      <c r="N106" s="702"/>
      <c r="O106" s="702"/>
      <c r="P106" s="1074"/>
      <c r="Q106" s="703"/>
      <c r="R106" s="704"/>
      <c r="S106" s="702"/>
      <c r="T106" s="689"/>
      <c r="U106" s="2"/>
      <c r="V106" s="1082"/>
      <c r="W106" s="690"/>
      <c r="X106" s="2"/>
      <c r="Y106" s="705">
        <f t="shared" si="35"/>
        <v>0</v>
      </c>
      <c r="Z106" s="691">
        <f t="shared" si="32"/>
        <v>0</v>
      </c>
      <c r="AA106" s="691">
        <f t="shared" si="33"/>
        <v>0</v>
      </c>
      <c r="AB106" s="705">
        <f>IF(Y106=0,,VLOOKUP(Y106,リスト!CX:CY,2,0))</f>
        <v>0</v>
      </c>
      <c r="AC106" s="705">
        <f t="shared" si="19"/>
        <v>0</v>
      </c>
      <c r="AD106" s="706">
        <f>IF(AC106=0,,VLOOKUP(AC106,リスト!DK:DL,2,0))</f>
        <v>0</v>
      </c>
      <c r="AE106" s="691">
        <f>IF(Y106=0,,
IF(OR(リスト!$C$21="小麦",リスト!$C$21="二条大麦",リスト!$C$21="六条大麦",リスト!$C$21="はだか麦",リスト!$C$21="なたね"),IF(K106&lt;9,調査年-J106,調査年-J106-1),
IF(リスト!$C$21="さとうきび",IF(K106&gt;=4,調査年-J106,調査年-J106+1),
調査年-J106)))</f>
        <v>0</v>
      </c>
      <c r="AF106" s="408">
        <f t="shared" si="20"/>
        <v>0</v>
      </c>
      <c r="AG106" s="408">
        <f t="shared" si="21"/>
        <v>0</v>
      </c>
      <c r="AH106" s="408">
        <f t="shared" si="22"/>
        <v>0</v>
      </c>
      <c r="AI106" s="408">
        <f t="shared" si="23"/>
        <v>0</v>
      </c>
      <c r="AJ106" s="408">
        <f t="shared" si="24"/>
        <v>0</v>
      </c>
      <c r="AK106" s="408">
        <f t="shared" si="34"/>
        <v>0</v>
      </c>
      <c r="AL106" s="408">
        <f t="shared" si="25"/>
        <v>0</v>
      </c>
      <c r="AM106" s="408">
        <f t="shared" si="26"/>
        <v>0</v>
      </c>
      <c r="AN106" s="417"/>
      <c r="AO106" s="69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3">
        <f t="shared" si="27"/>
        <v>0</v>
      </c>
      <c r="AQ106" s="408">
        <f t="shared" si="28"/>
        <v>0</v>
      </c>
      <c r="AR106" s="693">
        <f t="shared" si="29"/>
        <v>0</v>
      </c>
      <c r="AS106" s="408">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408">
        <f t="shared" si="30"/>
        <v>0</v>
      </c>
      <c r="AU106" s="408" t="str">
        <f t="shared" si="31"/>
        <v/>
      </c>
      <c r="AV106" s="707"/>
      <c r="AW106" s="707"/>
      <c r="AX106" s="707"/>
      <c r="AY106" s="707"/>
      <c r="AZ106" s="707"/>
    </row>
    <row r="107" spans="3:52" s="46" customFormat="1" ht="30" hidden="1" customHeight="1" outlineLevel="1">
      <c r="C107" s="695">
        <v>92</v>
      </c>
      <c r="D107" s="708"/>
      <c r="E107" s="697"/>
      <c r="F107" s="698"/>
      <c r="G107" s="1901"/>
      <c r="H107" s="1902"/>
      <c r="I107" s="699"/>
      <c r="J107" s="700"/>
      <c r="K107" s="701"/>
      <c r="L107" s="702"/>
      <c r="M107" s="702"/>
      <c r="N107" s="702"/>
      <c r="O107" s="702"/>
      <c r="P107" s="1074"/>
      <c r="Q107" s="703"/>
      <c r="R107" s="704"/>
      <c r="S107" s="702"/>
      <c r="T107" s="689"/>
      <c r="U107" s="2"/>
      <c r="V107" s="1082"/>
      <c r="W107" s="690"/>
      <c r="X107" s="2"/>
      <c r="Y107" s="705">
        <f t="shared" si="35"/>
        <v>0</v>
      </c>
      <c r="Z107" s="691">
        <f t="shared" si="32"/>
        <v>0</v>
      </c>
      <c r="AA107" s="691">
        <f t="shared" si="33"/>
        <v>0</v>
      </c>
      <c r="AB107" s="705">
        <f>IF(Y107=0,,VLOOKUP(Y107,リスト!CX:CY,2,0))</f>
        <v>0</v>
      </c>
      <c r="AC107" s="705">
        <f t="shared" si="19"/>
        <v>0</v>
      </c>
      <c r="AD107" s="706">
        <f>IF(AC107=0,,VLOOKUP(AC107,リスト!DK:DL,2,0))</f>
        <v>0</v>
      </c>
      <c r="AE107" s="691">
        <f>IF(Y107=0,,
IF(OR(リスト!$C$21="小麦",リスト!$C$21="二条大麦",リスト!$C$21="六条大麦",リスト!$C$21="はだか麦",リスト!$C$21="なたね"),IF(K107&lt;9,調査年-J107,調査年-J107-1),
IF(リスト!$C$21="さとうきび",IF(K107&gt;=4,調査年-J107,調査年-J107+1),
調査年-J107)))</f>
        <v>0</v>
      </c>
      <c r="AF107" s="408">
        <f t="shared" si="20"/>
        <v>0</v>
      </c>
      <c r="AG107" s="408">
        <f t="shared" si="21"/>
        <v>0</v>
      </c>
      <c r="AH107" s="408">
        <f t="shared" si="22"/>
        <v>0</v>
      </c>
      <c r="AI107" s="408">
        <f t="shared" si="23"/>
        <v>0</v>
      </c>
      <c r="AJ107" s="408">
        <f t="shared" si="24"/>
        <v>0</v>
      </c>
      <c r="AK107" s="408">
        <f t="shared" si="34"/>
        <v>0</v>
      </c>
      <c r="AL107" s="408">
        <f t="shared" si="25"/>
        <v>0</v>
      </c>
      <c r="AM107" s="408">
        <f t="shared" si="26"/>
        <v>0</v>
      </c>
      <c r="AN107" s="417"/>
      <c r="AO107" s="69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3">
        <f t="shared" si="27"/>
        <v>0</v>
      </c>
      <c r="AQ107" s="408">
        <f t="shared" si="28"/>
        <v>0</v>
      </c>
      <c r="AR107" s="693">
        <f t="shared" si="29"/>
        <v>0</v>
      </c>
      <c r="AS107" s="408">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408">
        <f t="shared" si="30"/>
        <v>0</v>
      </c>
      <c r="AU107" s="408" t="str">
        <f t="shared" si="31"/>
        <v/>
      </c>
      <c r="AV107" s="707"/>
      <c r="AW107" s="707"/>
      <c r="AX107" s="707"/>
      <c r="AY107" s="707"/>
      <c r="AZ107" s="707"/>
    </row>
    <row r="108" spans="3:52" s="46" customFormat="1" ht="30" hidden="1" customHeight="1" outlineLevel="1">
      <c r="C108" s="695">
        <v>93</v>
      </c>
      <c r="D108" s="708"/>
      <c r="E108" s="697"/>
      <c r="F108" s="698"/>
      <c r="G108" s="1901"/>
      <c r="H108" s="1902"/>
      <c r="I108" s="699"/>
      <c r="J108" s="700"/>
      <c r="K108" s="701"/>
      <c r="L108" s="702"/>
      <c r="M108" s="702"/>
      <c r="N108" s="702"/>
      <c r="O108" s="702"/>
      <c r="P108" s="1074"/>
      <c r="Q108" s="703"/>
      <c r="R108" s="704"/>
      <c r="S108" s="702"/>
      <c r="T108" s="689"/>
      <c r="U108" s="2"/>
      <c r="V108" s="1082"/>
      <c r="W108" s="690"/>
      <c r="X108" s="2"/>
      <c r="Y108" s="705">
        <f t="shared" si="35"/>
        <v>0</v>
      </c>
      <c r="Z108" s="691">
        <f t="shared" si="32"/>
        <v>0</v>
      </c>
      <c r="AA108" s="691">
        <f t="shared" si="33"/>
        <v>0</v>
      </c>
      <c r="AB108" s="705">
        <f>IF(Y108=0,,VLOOKUP(Y108,リスト!CX:CY,2,0))</f>
        <v>0</v>
      </c>
      <c r="AC108" s="705">
        <f t="shared" si="19"/>
        <v>0</v>
      </c>
      <c r="AD108" s="706">
        <f>IF(AC108=0,,VLOOKUP(AC108,リスト!DK:DL,2,0))</f>
        <v>0</v>
      </c>
      <c r="AE108" s="691">
        <f>IF(Y108=0,,
IF(OR(リスト!$C$21="小麦",リスト!$C$21="二条大麦",リスト!$C$21="六条大麦",リスト!$C$21="はだか麦",リスト!$C$21="なたね"),IF(K108&lt;9,調査年-J108,調査年-J108-1),
IF(リスト!$C$21="さとうきび",IF(K108&gt;=4,調査年-J108,調査年-J108+1),
調査年-J108)))</f>
        <v>0</v>
      </c>
      <c r="AF108" s="408">
        <f t="shared" si="20"/>
        <v>0</v>
      </c>
      <c r="AG108" s="408">
        <f t="shared" si="21"/>
        <v>0</v>
      </c>
      <c r="AH108" s="408">
        <f t="shared" si="22"/>
        <v>0</v>
      </c>
      <c r="AI108" s="408">
        <f t="shared" si="23"/>
        <v>0</v>
      </c>
      <c r="AJ108" s="408">
        <f t="shared" si="24"/>
        <v>0</v>
      </c>
      <c r="AK108" s="408">
        <f t="shared" si="34"/>
        <v>0</v>
      </c>
      <c r="AL108" s="408">
        <f t="shared" si="25"/>
        <v>0</v>
      </c>
      <c r="AM108" s="408">
        <f t="shared" si="26"/>
        <v>0</v>
      </c>
      <c r="AN108" s="417"/>
      <c r="AO108" s="69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3">
        <f t="shared" si="27"/>
        <v>0</v>
      </c>
      <c r="AQ108" s="408">
        <f t="shared" si="28"/>
        <v>0</v>
      </c>
      <c r="AR108" s="693">
        <f t="shared" si="29"/>
        <v>0</v>
      </c>
      <c r="AS108" s="408">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408">
        <f t="shared" si="30"/>
        <v>0</v>
      </c>
      <c r="AU108" s="408" t="str">
        <f t="shared" si="31"/>
        <v/>
      </c>
      <c r="AV108" s="707"/>
      <c r="AW108" s="707"/>
      <c r="AX108" s="707"/>
      <c r="AY108" s="707"/>
      <c r="AZ108" s="707"/>
    </row>
    <row r="109" spans="3:52" s="46" customFormat="1" ht="30" hidden="1" customHeight="1" outlineLevel="1">
      <c r="C109" s="695">
        <v>94</v>
      </c>
      <c r="D109" s="708"/>
      <c r="E109" s="697"/>
      <c r="F109" s="698"/>
      <c r="G109" s="1901"/>
      <c r="H109" s="1902"/>
      <c r="I109" s="699"/>
      <c r="J109" s="700"/>
      <c r="K109" s="701"/>
      <c r="L109" s="702"/>
      <c r="M109" s="702"/>
      <c r="N109" s="702"/>
      <c r="O109" s="702"/>
      <c r="P109" s="1074"/>
      <c r="Q109" s="703"/>
      <c r="R109" s="704"/>
      <c r="S109" s="702"/>
      <c r="T109" s="689"/>
      <c r="U109" s="2"/>
      <c r="V109" s="1082"/>
      <c r="W109" s="690"/>
      <c r="X109" s="2"/>
      <c r="Y109" s="705">
        <f t="shared" si="35"/>
        <v>0</v>
      </c>
      <c r="Z109" s="691">
        <f t="shared" si="32"/>
        <v>0</v>
      </c>
      <c r="AA109" s="691">
        <f t="shared" si="33"/>
        <v>0</v>
      </c>
      <c r="AB109" s="705">
        <f>IF(Y109=0,,VLOOKUP(Y109,リスト!CX:CY,2,0))</f>
        <v>0</v>
      </c>
      <c r="AC109" s="705">
        <f t="shared" si="19"/>
        <v>0</v>
      </c>
      <c r="AD109" s="706">
        <f>IF(AC109=0,,VLOOKUP(AC109,リスト!DK:DL,2,0))</f>
        <v>0</v>
      </c>
      <c r="AE109" s="691">
        <f>IF(Y109=0,,
IF(OR(リスト!$C$21="小麦",リスト!$C$21="二条大麦",リスト!$C$21="六条大麦",リスト!$C$21="はだか麦",リスト!$C$21="なたね"),IF(K109&lt;9,調査年-J109,調査年-J109-1),
IF(リスト!$C$21="さとうきび",IF(K109&gt;=4,調査年-J109,調査年-J109+1),
調査年-J109)))</f>
        <v>0</v>
      </c>
      <c r="AF109" s="408">
        <f t="shared" si="20"/>
        <v>0</v>
      </c>
      <c r="AG109" s="408">
        <f t="shared" si="21"/>
        <v>0</v>
      </c>
      <c r="AH109" s="408">
        <f t="shared" si="22"/>
        <v>0</v>
      </c>
      <c r="AI109" s="408">
        <f t="shared" si="23"/>
        <v>0</v>
      </c>
      <c r="AJ109" s="408">
        <f t="shared" si="24"/>
        <v>0</v>
      </c>
      <c r="AK109" s="408">
        <f t="shared" si="34"/>
        <v>0</v>
      </c>
      <c r="AL109" s="408">
        <f t="shared" si="25"/>
        <v>0</v>
      </c>
      <c r="AM109" s="408">
        <f t="shared" si="26"/>
        <v>0</v>
      </c>
      <c r="AN109" s="417"/>
      <c r="AO109" s="69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3">
        <f t="shared" si="27"/>
        <v>0</v>
      </c>
      <c r="AQ109" s="408">
        <f t="shared" si="28"/>
        <v>0</v>
      </c>
      <c r="AR109" s="693">
        <f t="shared" si="29"/>
        <v>0</v>
      </c>
      <c r="AS109" s="408">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408">
        <f t="shared" si="30"/>
        <v>0</v>
      </c>
      <c r="AU109" s="408" t="str">
        <f t="shared" si="31"/>
        <v/>
      </c>
      <c r="AV109" s="707"/>
      <c r="AW109" s="707"/>
      <c r="AX109" s="707"/>
      <c r="AY109" s="707"/>
      <c r="AZ109" s="707"/>
    </row>
    <row r="110" spans="3:52" s="46" customFormat="1" ht="30" hidden="1" customHeight="1" outlineLevel="1">
      <c r="C110" s="695">
        <v>95</v>
      </c>
      <c r="D110" s="708"/>
      <c r="E110" s="697"/>
      <c r="F110" s="698"/>
      <c r="G110" s="1901"/>
      <c r="H110" s="1902"/>
      <c r="I110" s="699"/>
      <c r="J110" s="700"/>
      <c r="K110" s="701"/>
      <c r="L110" s="702"/>
      <c r="M110" s="702"/>
      <c r="N110" s="702"/>
      <c r="O110" s="702"/>
      <c r="P110" s="1074"/>
      <c r="Q110" s="703"/>
      <c r="R110" s="704"/>
      <c r="S110" s="702"/>
      <c r="T110" s="689"/>
      <c r="U110" s="2"/>
      <c r="V110" s="1082"/>
      <c r="W110" s="690"/>
      <c r="X110" s="2"/>
      <c r="Y110" s="705">
        <f t="shared" si="35"/>
        <v>0</v>
      </c>
      <c r="Z110" s="691">
        <f t="shared" si="32"/>
        <v>0</v>
      </c>
      <c r="AA110" s="691">
        <f t="shared" si="33"/>
        <v>0</v>
      </c>
      <c r="AB110" s="705">
        <f>IF(Y110=0,,VLOOKUP(Y110,リスト!CX:CY,2,0))</f>
        <v>0</v>
      </c>
      <c r="AC110" s="705">
        <f t="shared" si="19"/>
        <v>0</v>
      </c>
      <c r="AD110" s="706">
        <f>IF(AC110=0,,VLOOKUP(AC110,リスト!DK:DL,2,0))</f>
        <v>0</v>
      </c>
      <c r="AE110" s="691">
        <f>IF(Y110=0,,
IF(OR(リスト!$C$21="小麦",リスト!$C$21="二条大麦",リスト!$C$21="六条大麦",リスト!$C$21="はだか麦",リスト!$C$21="なたね"),IF(K110&lt;9,調査年-J110,調査年-J110-1),
IF(リスト!$C$21="さとうきび",IF(K110&gt;=4,調査年-J110,調査年-J110+1),
調査年-J110)))</f>
        <v>0</v>
      </c>
      <c r="AF110" s="408">
        <f t="shared" si="20"/>
        <v>0</v>
      </c>
      <c r="AG110" s="408">
        <f t="shared" si="21"/>
        <v>0</v>
      </c>
      <c r="AH110" s="408">
        <f t="shared" si="22"/>
        <v>0</v>
      </c>
      <c r="AI110" s="408">
        <f t="shared" si="23"/>
        <v>0</v>
      </c>
      <c r="AJ110" s="408">
        <f t="shared" si="24"/>
        <v>0</v>
      </c>
      <c r="AK110" s="408">
        <f t="shared" si="34"/>
        <v>0</v>
      </c>
      <c r="AL110" s="408">
        <f t="shared" si="25"/>
        <v>0</v>
      </c>
      <c r="AM110" s="408">
        <f t="shared" si="26"/>
        <v>0</v>
      </c>
      <c r="AN110" s="417"/>
      <c r="AO110" s="69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3">
        <f t="shared" si="27"/>
        <v>0</v>
      </c>
      <c r="AQ110" s="408">
        <f t="shared" si="28"/>
        <v>0</v>
      </c>
      <c r="AR110" s="693">
        <f t="shared" si="29"/>
        <v>0</v>
      </c>
      <c r="AS110" s="408">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408">
        <f t="shared" si="30"/>
        <v>0</v>
      </c>
      <c r="AU110" s="408" t="str">
        <f t="shared" si="31"/>
        <v/>
      </c>
      <c r="AV110" s="707"/>
      <c r="AW110" s="707"/>
      <c r="AX110" s="707"/>
      <c r="AY110" s="707"/>
      <c r="AZ110" s="707"/>
    </row>
    <row r="111" spans="3:52" s="46" customFormat="1" ht="30" hidden="1" customHeight="1" outlineLevel="1">
      <c r="C111" s="695">
        <v>96</v>
      </c>
      <c r="D111" s="708"/>
      <c r="E111" s="697"/>
      <c r="F111" s="698"/>
      <c r="G111" s="1901"/>
      <c r="H111" s="1902"/>
      <c r="I111" s="699"/>
      <c r="J111" s="700"/>
      <c r="K111" s="701"/>
      <c r="L111" s="702"/>
      <c r="M111" s="702"/>
      <c r="N111" s="702"/>
      <c r="O111" s="702"/>
      <c r="P111" s="1074"/>
      <c r="Q111" s="703"/>
      <c r="R111" s="704"/>
      <c r="S111" s="702"/>
      <c r="T111" s="689"/>
      <c r="U111" s="2"/>
      <c r="V111" s="1082"/>
      <c r="W111" s="690"/>
      <c r="X111" s="2"/>
      <c r="Y111" s="705">
        <f t="shared" si="35"/>
        <v>0</v>
      </c>
      <c r="Z111" s="691">
        <f t="shared" si="32"/>
        <v>0</v>
      </c>
      <c r="AA111" s="691">
        <f t="shared" si="33"/>
        <v>0</v>
      </c>
      <c r="AB111" s="705">
        <f>IF(Y111=0,,VLOOKUP(Y111,リスト!CX:CY,2,0))</f>
        <v>0</v>
      </c>
      <c r="AC111" s="705">
        <f t="shared" si="19"/>
        <v>0</v>
      </c>
      <c r="AD111" s="706">
        <f>IF(AC111=0,,VLOOKUP(AC111,リスト!DK:DL,2,0))</f>
        <v>0</v>
      </c>
      <c r="AE111" s="691">
        <f>IF(Y111=0,,
IF(OR(リスト!$C$21="小麦",リスト!$C$21="二条大麦",リスト!$C$21="六条大麦",リスト!$C$21="はだか麦",リスト!$C$21="なたね"),IF(K111&lt;9,調査年-J111,調査年-J111-1),
IF(リスト!$C$21="さとうきび",IF(K111&gt;=4,調査年-J111,調査年-J111+1),
調査年-J111)))</f>
        <v>0</v>
      </c>
      <c r="AF111" s="408">
        <f t="shared" si="20"/>
        <v>0</v>
      </c>
      <c r="AG111" s="408">
        <f t="shared" si="21"/>
        <v>0</v>
      </c>
      <c r="AH111" s="408">
        <f t="shared" si="22"/>
        <v>0</v>
      </c>
      <c r="AI111" s="408">
        <f t="shared" si="23"/>
        <v>0</v>
      </c>
      <c r="AJ111" s="408">
        <f t="shared" si="24"/>
        <v>0</v>
      </c>
      <c r="AK111" s="408">
        <f t="shared" si="34"/>
        <v>0</v>
      </c>
      <c r="AL111" s="408">
        <f t="shared" si="25"/>
        <v>0</v>
      </c>
      <c r="AM111" s="408">
        <f t="shared" si="26"/>
        <v>0</v>
      </c>
      <c r="AN111" s="417"/>
      <c r="AO111" s="69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3">
        <f t="shared" si="27"/>
        <v>0</v>
      </c>
      <c r="AQ111" s="408">
        <f t="shared" si="28"/>
        <v>0</v>
      </c>
      <c r="AR111" s="693">
        <f t="shared" si="29"/>
        <v>0</v>
      </c>
      <c r="AS111" s="408">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408">
        <f t="shared" si="30"/>
        <v>0</v>
      </c>
      <c r="AU111" s="408" t="str">
        <f t="shared" si="31"/>
        <v/>
      </c>
      <c r="AV111" s="707"/>
      <c r="AW111" s="707"/>
      <c r="AX111" s="707"/>
      <c r="AY111" s="707"/>
      <c r="AZ111" s="707"/>
    </row>
    <row r="112" spans="3:52" s="46" customFormat="1" ht="30" hidden="1" customHeight="1" outlineLevel="1">
      <c r="C112" s="695">
        <v>97</v>
      </c>
      <c r="D112" s="708"/>
      <c r="E112" s="697"/>
      <c r="F112" s="698"/>
      <c r="G112" s="1901"/>
      <c r="H112" s="1902"/>
      <c r="I112" s="699"/>
      <c r="J112" s="700"/>
      <c r="K112" s="701"/>
      <c r="L112" s="702"/>
      <c r="M112" s="702"/>
      <c r="N112" s="702"/>
      <c r="O112" s="702"/>
      <c r="P112" s="1074"/>
      <c r="Q112" s="703"/>
      <c r="R112" s="704"/>
      <c r="S112" s="702"/>
      <c r="T112" s="689"/>
      <c r="U112" s="2"/>
      <c r="V112" s="1082"/>
      <c r="W112" s="690"/>
      <c r="X112" s="2"/>
      <c r="Y112" s="705">
        <f t="shared" si="35"/>
        <v>0</v>
      </c>
      <c r="Z112" s="691">
        <f t="shared" si="32"/>
        <v>0</v>
      </c>
      <c r="AA112" s="691">
        <f t="shared" si="33"/>
        <v>0</v>
      </c>
      <c r="AB112" s="705">
        <f>IF(Y112=0,,VLOOKUP(Y112,リスト!CX:CY,2,0))</f>
        <v>0</v>
      </c>
      <c r="AC112" s="705">
        <f t="shared" si="19"/>
        <v>0</v>
      </c>
      <c r="AD112" s="706">
        <f>IF(AC112=0,,VLOOKUP(AC112,リスト!DK:DL,2,0))</f>
        <v>0</v>
      </c>
      <c r="AE112" s="691">
        <f>IF(Y112=0,,
IF(OR(リスト!$C$21="小麦",リスト!$C$21="二条大麦",リスト!$C$21="六条大麦",リスト!$C$21="はだか麦",リスト!$C$21="なたね"),IF(K112&lt;9,調査年-J112,調査年-J112-1),
IF(リスト!$C$21="さとうきび",IF(K112&gt;=4,調査年-J112,調査年-J112+1),
調査年-J112)))</f>
        <v>0</v>
      </c>
      <c r="AF112" s="408">
        <f t="shared" ref="AF112:AF115" si="36">IF(OR(Y112=0,Z112=1),,
IF(AND(AC112&gt;0,AE112&lt;AC112,AG112&lt;=ROUND((L112-1)*AD112,0)),ROUND(AG112*IF(R112="[2]部分取り壊し",IFERROR(1-(V112%),1),1),0),
IF(AND(AC112&gt;0,AE112&lt;AC112),ROUND((L112-1)*AD112*IF(R112="[2]部分取り壊し",IFERROR(1-(V112%),1),1),0),)))</f>
        <v>0</v>
      </c>
      <c r="AG112" s="408">
        <f t="shared" si="21"/>
        <v>0</v>
      </c>
      <c r="AH112" s="408">
        <f t="shared" si="22"/>
        <v>0</v>
      </c>
      <c r="AI112" s="408">
        <f t="shared" si="23"/>
        <v>0</v>
      </c>
      <c r="AJ112" s="408">
        <f t="shared" si="24"/>
        <v>0</v>
      </c>
      <c r="AK112" s="408">
        <f t="shared" si="34"/>
        <v>0</v>
      </c>
      <c r="AL112" s="408">
        <f t="shared" si="25"/>
        <v>0</v>
      </c>
      <c r="AM112" s="408">
        <f t="shared" si="26"/>
        <v>0</v>
      </c>
      <c r="AN112" s="417"/>
      <c r="AO112" s="69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3">
        <f t="shared" si="27"/>
        <v>0</v>
      </c>
      <c r="AQ112" s="408">
        <f t="shared" si="28"/>
        <v>0</v>
      </c>
      <c r="AR112" s="693">
        <f t="shared" si="29"/>
        <v>0</v>
      </c>
      <c r="AS112" s="408">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408">
        <f t="shared" si="30"/>
        <v>0</v>
      </c>
      <c r="AU112" s="408" t="str">
        <f t="shared" si="31"/>
        <v/>
      </c>
      <c r="AV112" s="707"/>
      <c r="AW112" s="707"/>
      <c r="AX112" s="707"/>
      <c r="AY112" s="707"/>
      <c r="AZ112" s="707"/>
    </row>
    <row r="113" spans="3:52" s="46" customFormat="1" ht="30" hidden="1" customHeight="1" outlineLevel="1">
      <c r="C113" s="695">
        <v>98</v>
      </c>
      <c r="D113" s="708"/>
      <c r="E113" s="697"/>
      <c r="F113" s="698"/>
      <c r="G113" s="1901"/>
      <c r="H113" s="1902"/>
      <c r="I113" s="699"/>
      <c r="J113" s="700"/>
      <c r="K113" s="701"/>
      <c r="L113" s="702"/>
      <c r="M113" s="702"/>
      <c r="N113" s="702"/>
      <c r="O113" s="702"/>
      <c r="P113" s="1074"/>
      <c r="Q113" s="703"/>
      <c r="R113" s="704"/>
      <c r="S113" s="702"/>
      <c r="T113" s="689"/>
      <c r="U113" s="2"/>
      <c r="V113" s="1082"/>
      <c r="W113" s="690"/>
      <c r="X113" s="2"/>
      <c r="Y113" s="705">
        <f t="shared" si="35"/>
        <v>0</v>
      </c>
      <c r="Z113" s="691">
        <f t="shared" si="32"/>
        <v>0</v>
      </c>
      <c r="AA113" s="691">
        <f t="shared" si="33"/>
        <v>0</v>
      </c>
      <c r="AB113" s="705">
        <f>IF(Y113=0,,VLOOKUP(Y113,リスト!CX:CY,2,0))</f>
        <v>0</v>
      </c>
      <c r="AC113" s="705">
        <f t="shared" si="19"/>
        <v>0</v>
      </c>
      <c r="AD113" s="706">
        <f>IF(AC113=0,,VLOOKUP(AC113,リスト!DK:DL,2,0))</f>
        <v>0</v>
      </c>
      <c r="AE113" s="691">
        <f>IF(Y113=0,,
IF(OR(リスト!$C$21="小麦",リスト!$C$21="二条大麦",リスト!$C$21="六条大麦",リスト!$C$21="はだか麦",リスト!$C$21="なたね"),IF(K113&lt;9,調査年-J113,調査年-J113-1),
IF(リスト!$C$21="さとうきび",IF(K113&gt;=4,調査年-J113,調査年-J113+1),
調査年-J113)))</f>
        <v>0</v>
      </c>
      <c r="AF113" s="408">
        <f t="shared" si="36"/>
        <v>0</v>
      </c>
      <c r="AG113" s="408">
        <f t="shared" si="21"/>
        <v>0</v>
      </c>
      <c r="AH113" s="408">
        <f t="shared" si="22"/>
        <v>0</v>
      </c>
      <c r="AI113" s="408">
        <f t="shared" si="23"/>
        <v>0</v>
      </c>
      <c r="AJ113" s="408">
        <f t="shared" si="24"/>
        <v>0</v>
      </c>
      <c r="AK113" s="408">
        <f t="shared" si="34"/>
        <v>0</v>
      </c>
      <c r="AL113" s="408">
        <f t="shared" si="25"/>
        <v>0</v>
      </c>
      <c r="AM113" s="408">
        <f t="shared" si="26"/>
        <v>0</v>
      </c>
      <c r="AN113" s="417"/>
      <c r="AO113" s="69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3">
        <f t="shared" si="27"/>
        <v>0</v>
      </c>
      <c r="AQ113" s="408">
        <f t="shared" si="28"/>
        <v>0</v>
      </c>
      <c r="AR113" s="693">
        <f t="shared" si="29"/>
        <v>0</v>
      </c>
      <c r="AS113" s="408">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408">
        <f t="shared" si="30"/>
        <v>0</v>
      </c>
      <c r="AU113" s="408" t="str">
        <f t="shared" si="31"/>
        <v/>
      </c>
      <c r="AV113" s="707"/>
      <c r="AW113" s="707"/>
      <c r="AX113" s="707"/>
      <c r="AY113" s="707"/>
      <c r="AZ113" s="707"/>
    </row>
    <row r="114" spans="3:52" s="46" customFormat="1" ht="30" hidden="1" customHeight="1" outlineLevel="1">
      <c r="C114" s="695">
        <v>99</v>
      </c>
      <c r="D114" s="708"/>
      <c r="E114" s="697"/>
      <c r="F114" s="698"/>
      <c r="G114" s="1901"/>
      <c r="H114" s="1902"/>
      <c r="I114" s="699"/>
      <c r="J114" s="700"/>
      <c r="K114" s="701"/>
      <c r="L114" s="702"/>
      <c r="M114" s="702"/>
      <c r="N114" s="702"/>
      <c r="O114" s="702"/>
      <c r="P114" s="1074"/>
      <c r="Q114" s="703"/>
      <c r="R114" s="704"/>
      <c r="S114" s="702"/>
      <c r="T114" s="689"/>
      <c r="U114" s="2"/>
      <c r="V114" s="1082"/>
      <c r="W114" s="690"/>
      <c r="X114" s="2"/>
      <c r="Y114" s="705">
        <f t="shared" si="35"/>
        <v>0</v>
      </c>
      <c r="Z114" s="691">
        <f t="shared" si="32"/>
        <v>0</v>
      </c>
      <c r="AA114" s="691">
        <f t="shared" si="33"/>
        <v>0</v>
      </c>
      <c r="AB114" s="705">
        <f>IF(Y114=0,,VLOOKUP(Y114,リスト!CX:CY,2,0))</f>
        <v>0</v>
      </c>
      <c r="AC114" s="705">
        <f t="shared" si="19"/>
        <v>0</v>
      </c>
      <c r="AD114" s="706">
        <f>IF(AC114=0,,VLOOKUP(AC114,リスト!DK:DL,2,0))</f>
        <v>0</v>
      </c>
      <c r="AE114" s="691">
        <f>IF(Y114=0,,
IF(OR(リスト!$C$21="小麦",リスト!$C$21="二条大麦",リスト!$C$21="六条大麦",リスト!$C$21="はだか麦",リスト!$C$21="なたね"),IF(K114&lt;9,調査年-J114,調査年-J114-1),
IF(リスト!$C$21="さとうきび",IF(K114&gt;=4,調査年-J114,調査年-J114+1),
調査年-J114)))</f>
        <v>0</v>
      </c>
      <c r="AF114" s="408">
        <f t="shared" si="36"/>
        <v>0</v>
      </c>
      <c r="AG114" s="408">
        <f t="shared" si="21"/>
        <v>0</v>
      </c>
      <c r="AH114" s="408">
        <f t="shared" si="22"/>
        <v>0</v>
      </c>
      <c r="AI114" s="408">
        <f t="shared" si="23"/>
        <v>0</v>
      </c>
      <c r="AJ114" s="408">
        <f t="shared" si="24"/>
        <v>0</v>
      </c>
      <c r="AK114" s="408">
        <f t="shared" si="34"/>
        <v>0</v>
      </c>
      <c r="AL114" s="408">
        <f t="shared" si="25"/>
        <v>0</v>
      </c>
      <c r="AM114" s="408">
        <f t="shared" si="26"/>
        <v>0</v>
      </c>
      <c r="AN114" s="417"/>
      <c r="AO114" s="69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3">
        <f t="shared" si="27"/>
        <v>0</v>
      </c>
      <c r="AQ114" s="408">
        <f t="shared" si="28"/>
        <v>0</v>
      </c>
      <c r="AR114" s="693">
        <f t="shared" si="29"/>
        <v>0</v>
      </c>
      <c r="AS114" s="408">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408">
        <f t="shared" si="30"/>
        <v>0</v>
      </c>
      <c r="AU114" s="408" t="str">
        <f t="shared" si="31"/>
        <v/>
      </c>
      <c r="AV114" s="707"/>
      <c r="AW114" s="707"/>
      <c r="AX114" s="707"/>
      <c r="AY114" s="707"/>
      <c r="AZ114" s="707"/>
    </row>
    <row r="115" spans="3:52" s="46" customFormat="1" ht="30" hidden="1" customHeight="1" outlineLevel="1" thickBot="1">
      <c r="C115" s="695">
        <v>100</v>
      </c>
      <c r="D115" s="710"/>
      <c r="E115" s="711"/>
      <c r="F115" s="712"/>
      <c r="G115" s="1933"/>
      <c r="H115" s="1934"/>
      <c r="I115" s="713"/>
      <c r="J115" s="714"/>
      <c r="K115" s="715"/>
      <c r="L115" s="716"/>
      <c r="M115" s="716"/>
      <c r="N115" s="716"/>
      <c r="O115" s="716"/>
      <c r="P115" s="1075"/>
      <c r="Q115" s="717"/>
      <c r="R115" s="718"/>
      <c r="S115" s="719"/>
      <c r="T115" s="689"/>
      <c r="U115" s="2"/>
      <c r="V115" s="1083"/>
      <c r="W115" s="690"/>
      <c r="X115" s="2"/>
      <c r="Y115" s="705">
        <f t="shared" si="35"/>
        <v>0</v>
      </c>
      <c r="Z115" s="691">
        <f t="shared" si="32"/>
        <v>0</v>
      </c>
      <c r="AA115" s="691">
        <f t="shared" si="33"/>
        <v>0</v>
      </c>
      <c r="AB115" s="705">
        <f>IF(Y115=0,,VLOOKUP(Y115,リスト!CX:CY,2,0))</f>
        <v>0</v>
      </c>
      <c r="AC115" s="705">
        <f t="shared" si="19"/>
        <v>0</v>
      </c>
      <c r="AD115" s="706">
        <f>IF(AC115=0,,VLOOKUP(AC115,リスト!DK:DL,2,0))</f>
        <v>0</v>
      </c>
      <c r="AE115" s="691">
        <f>IF(Y115=0,,
IF(OR(リスト!$C$21="小麦",リスト!$C$21="二条大麦",リスト!$C$21="六条大麦",リスト!$C$21="はだか麦",リスト!$C$21="なたね"),IF(K115&lt;9,調査年-J115,調査年-J115-1),
IF(リスト!$C$21="さとうきび",IF(K115&gt;=4,調査年-J115,調査年-J115+1),
調査年-J115)))</f>
        <v>0</v>
      </c>
      <c r="AF115" s="408">
        <f t="shared" si="36"/>
        <v>0</v>
      </c>
      <c r="AG115" s="408">
        <f t="shared" si="21"/>
        <v>0</v>
      </c>
      <c r="AH115" s="408">
        <f t="shared" si="22"/>
        <v>0</v>
      </c>
      <c r="AI115" s="408">
        <f t="shared" si="23"/>
        <v>0</v>
      </c>
      <c r="AJ115" s="408">
        <f t="shared" si="24"/>
        <v>0</v>
      </c>
      <c r="AK115" s="408">
        <f t="shared" si="34"/>
        <v>0</v>
      </c>
      <c r="AL115" s="408">
        <f t="shared" si="25"/>
        <v>0</v>
      </c>
      <c r="AM115" s="408">
        <f t="shared" si="26"/>
        <v>0</v>
      </c>
      <c r="AN115" s="417"/>
      <c r="AO115" s="69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3">
        <f t="shared" si="27"/>
        <v>0</v>
      </c>
      <c r="AQ115" s="408">
        <f t="shared" si="28"/>
        <v>0</v>
      </c>
      <c r="AR115" s="693">
        <f t="shared" si="29"/>
        <v>0</v>
      </c>
      <c r="AS115" s="408">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408">
        <f t="shared" si="30"/>
        <v>0</v>
      </c>
      <c r="AU115" s="408" t="str">
        <f t="shared" si="31"/>
        <v/>
      </c>
      <c r="AV115" s="707"/>
      <c r="AW115" s="707"/>
      <c r="AX115" s="707"/>
      <c r="AY115" s="707"/>
      <c r="AZ115" s="707"/>
    </row>
    <row r="116" spans="3:52" ht="14.25" customHeight="1" collapsed="1" thickTop="1">
      <c r="C116" s="404"/>
      <c r="D116" s="404"/>
      <c r="E116" s="405"/>
      <c r="F116" s="405"/>
      <c r="G116" s="405"/>
      <c r="H116" s="405"/>
      <c r="I116" s="405"/>
      <c r="J116" s="405"/>
      <c r="K116" s="405"/>
      <c r="L116" s="405"/>
      <c r="M116" s="405"/>
      <c r="N116" s="405"/>
      <c r="O116" s="405"/>
      <c r="P116" s="405"/>
      <c r="Q116" s="405"/>
      <c r="R116" s="405"/>
      <c r="S116" s="405"/>
      <c r="V116" s="72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57" r:id="rId5" name="Label1">
          <controlPr defaultSize="0" print="0" autoLine="0" r:id="rId6">
            <anchor moveWithCells="1">
              <from>
                <xdr:col>10</xdr:col>
                <xdr:colOff>0</xdr:colOff>
                <xdr:row>0</xdr:row>
                <xdr:rowOff>142875</xdr:rowOff>
              </from>
              <to>
                <xdr:col>11</xdr:col>
                <xdr:colOff>466725</xdr:colOff>
                <xdr:row>1</xdr:row>
                <xdr:rowOff>171450</xdr:rowOff>
              </to>
            </anchor>
          </controlPr>
        </control>
      </mc:Choice>
      <mc:Fallback>
        <control shapeId="14357" r:id="rId5" name="Label1"/>
      </mc:Fallback>
    </mc:AlternateContent>
    <mc:AlternateContent xmlns:mc="http://schemas.openxmlformats.org/markup-compatibility/2006">
      <mc:Choice Requires="x14">
        <control shapeId="14358" r:id="rId7" name="txt_hyouji">
          <controlPr locked="0" defaultSize="0" print="0" autoLine="0" r:id="rId8">
            <anchor moveWithCells="1">
              <from>
                <xdr:col>10</xdr:col>
                <xdr:colOff>0</xdr:colOff>
                <xdr:row>2</xdr:row>
                <xdr:rowOff>0</xdr:rowOff>
              </from>
              <to>
                <xdr:col>11</xdr:col>
                <xdr:colOff>466725</xdr:colOff>
                <xdr:row>3</xdr:row>
                <xdr:rowOff>28575</xdr:rowOff>
              </to>
            </anchor>
          </controlPr>
        </control>
      </mc:Choice>
      <mc:Fallback>
        <control shapeId="14358" r:id="rId7" name="txt_hyouji"/>
      </mc:Fallback>
    </mc:AlternateContent>
    <mc:AlternateContent xmlns:mc="http://schemas.openxmlformats.org/markup-compatibility/2006">
      <mc:Choice Requires="x14">
        <control shapeId="14359" r:id="rId9" name="btnKoushin1">
          <controlPr defaultSize="0" print="0" autoLine="0" r:id="rId10">
            <anchor moveWithCells="1">
              <from>
                <xdr:col>11</xdr:col>
                <xdr:colOff>523875</xdr:colOff>
                <xdr:row>0</xdr:row>
                <xdr:rowOff>142875</xdr:rowOff>
              </from>
              <to>
                <xdr:col>11</xdr:col>
                <xdr:colOff>1800225</xdr:colOff>
                <xdr:row>3</xdr:row>
                <xdr:rowOff>19050</xdr:rowOff>
              </to>
            </anchor>
          </controlPr>
        </control>
      </mc:Choice>
      <mc:Fallback>
        <control shapeId="14359"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7" customWidth="1" outlineLevel="1"/>
    <col min="50" max="50" width="2.625" style="2" outlineLevel="1"/>
    <col min="51" max="16384" width="2.625" style="2"/>
  </cols>
  <sheetData>
    <row r="1" spans="1:49" ht="14.25" customHeight="1">
      <c r="W1" s="2" t="s">
        <v>382</v>
      </c>
      <c r="Y1" s="184"/>
      <c r="AC1" s="46"/>
      <c r="AD1" s="46"/>
      <c r="AQ1" s="46"/>
      <c r="AR1" s="46"/>
      <c r="AW1" s="145"/>
    </row>
    <row r="2" spans="1:49" ht="14.25" customHeight="1">
      <c r="A2" s="107" t="s">
        <v>547</v>
      </c>
      <c r="W2" s="430" t="s">
        <v>547</v>
      </c>
      <c r="X2" s="430"/>
    </row>
    <row r="3" spans="1:49" ht="14.25" customHeight="1">
      <c r="A3" s="107"/>
    </row>
    <row r="4" spans="1:49" ht="14.25" customHeight="1">
      <c r="A4" s="107" t="s">
        <v>548</v>
      </c>
      <c r="C4" s="626" t="s">
        <v>549</v>
      </c>
    </row>
    <row r="5" spans="1:49" ht="14.25" customHeight="1">
      <c r="A5" s="107"/>
      <c r="C5" s="46" t="s">
        <v>550</v>
      </c>
    </row>
    <row r="6" spans="1:49" ht="14.25" customHeight="1">
      <c r="B6" s="603"/>
      <c r="C6" s="46" t="s">
        <v>551</v>
      </c>
      <c r="D6" s="603"/>
      <c r="E6" s="603"/>
      <c r="F6" s="603"/>
      <c r="G6" s="603"/>
      <c r="H6" s="603"/>
      <c r="I6" s="603"/>
      <c r="J6" s="603"/>
      <c r="K6" s="603"/>
      <c r="L6" s="603"/>
    </row>
    <row r="7" spans="1:49" ht="14.25" customHeight="1">
      <c r="B7" s="603"/>
      <c r="C7" s="46" t="s">
        <v>552</v>
      </c>
      <c r="D7" s="603"/>
      <c r="E7" s="603"/>
      <c r="F7" s="603"/>
      <c r="G7" s="603"/>
      <c r="H7" s="603"/>
      <c r="I7" s="603"/>
      <c r="J7" s="603"/>
      <c r="K7" s="603"/>
      <c r="L7" s="603"/>
    </row>
    <row r="8" spans="1:49" ht="14.25" customHeight="1">
      <c r="B8" s="603"/>
      <c r="C8" s="46"/>
      <c r="D8" s="603"/>
      <c r="E8" s="603"/>
      <c r="F8" s="603"/>
      <c r="G8" s="603"/>
      <c r="H8" s="603"/>
      <c r="I8" s="603"/>
      <c r="J8" s="603"/>
      <c r="K8" s="603"/>
      <c r="L8" s="603"/>
      <c r="W8" s="39" t="s">
        <v>553</v>
      </c>
      <c r="X8" s="39"/>
      <c r="AW8" s="2"/>
    </row>
    <row r="9" spans="1:49" ht="14.25" customHeight="1">
      <c r="B9" s="603"/>
      <c r="C9" s="46"/>
      <c r="D9" s="603"/>
      <c r="E9" s="603"/>
      <c r="F9" s="603"/>
      <c r="G9" s="603"/>
      <c r="H9" s="603"/>
      <c r="I9" s="603"/>
      <c r="J9" s="603"/>
      <c r="K9" s="603"/>
      <c r="L9" s="603"/>
      <c r="W9" s="39" t="s">
        <v>554</v>
      </c>
      <c r="X9" s="39"/>
      <c r="AW9" s="2"/>
    </row>
    <row r="10" spans="1:49" ht="14.25" customHeight="1" thickBot="1">
      <c r="B10" s="603"/>
      <c r="C10" s="46"/>
      <c r="D10" s="603"/>
      <c r="E10" s="603"/>
      <c r="F10" s="603"/>
      <c r="G10" s="603"/>
      <c r="H10" s="603"/>
      <c r="I10" s="603"/>
      <c r="J10" s="603"/>
      <c r="K10" s="603"/>
      <c r="L10" s="603"/>
      <c r="W10" s="1887" t="s">
        <v>555</v>
      </c>
      <c r="X10" s="1887" t="s">
        <v>556</v>
      </c>
      <c r="Z10" s="1399" t="s">
        <v>497</v>
      </c>
      <c r="AA10" s="1399"/>
      <c r="AB10" s="1399"/>
      <c r="AC10" s="1399"/>
      <c r="AD10" s="1399"/>
      <c r="AE10" s="1399"/>
      <c r="AF10" s="1399"/>
      <c r="AG10" s="1399"/>
      <c r="AH10" s="1393" t="s">
        <v>498</v>
      </c>
      <c r="AI10" s="1394"/>
      <c r="AJ10" s="1395"/>
      <c r="AK10" s="1894"/>
      <c r="AL10" s="1393" t="s">
        <v>501</v>
      </c>
      <c r="AM10" s="1394"/>
      <c r="AN10" s="1394"/>
      <c r="AO10" s="1394"/>
      <c r="AP10" s="1394"/>
      <c r="AQ10" s="1394"/>
      <c r="AR10" s="1394"/>
      <c r="AS10" s="1394"/>
      <c r="AT10" s="1394"/>
      <c r="AU10" s="1394"/>
      <c r="AV10" s="1394"/>
      <c r="AW10" s="1395"/>
    </row>
    <row r="11" spans="1:49" s="46" customFormat="1" ht="14.25" customHeight="1">
      <c r="C11" s="1860" t="s">
        <v>502</v>
      </c>
      <c r="D11" s="1935" t="s">
        <v>503</v>
      </c>
      <c r="E11" s="1938" t="s">
        <v>557</v>
      </c>
      <c r="F11" s="1941" t="s">
        <v>558</v>
      </c>
      <c r="G11" s="1872" t="s">
        <v>506</v>
      </c>
      <c r="H11" s="1873"/>
      <c r="I11" s="1876" t="s">
        <v>507</v>
      </c>
      <c r="J11" s="1950" t="s">
        <v>508</v>
      </c>
      <c r="K11" s="1951"/>
      <c r="L11" s="1903" t="s">
        <v>509</v>
      </c>
      <c r="M11" s="1872" t="s">
        <v>511</v>
      </c>
      <c r="N11" s="1872" t="s">
        <v>559</v>
      </c>
      <c r="O11" s="1872" t="s">
        <v>560</v>
      </c>
      <c r="P11" s="1954" t="s">
        <v>561</v>
      </c>
      <c r="Q11" s="1955"/>
      <c r="R11" s="1905" t="s">
        <v>562</v>
      </c>
      <c r="S11" s="1908" t="s">
        <v>514</v>
      </c>
      <c r="T11" s="1910" t="s">
        <v>515</v>
      </c>
      <c r="U11" s="1911"/>
      <c r="V11" s="707"/>
      <c r="W11" s="1888"/>
      <c r="X11" s="1888"/>
      <c r="Z11" s="1400"/>
      <c r="AA11" s="1400"/>
      <c r="AB11" s="1400"/>
      <c r="AC11" s="1400"/>
      <c r="AD11" s="1400"/>
      <c r="AE11" s="1400"/>
      <c r="AF11" s="1400"/>
      <c r="AG11" s="1400"/>
      <c r="AH11" s="1396"/>
      <c r="AI11" s="1397"/>
      <c r="AJ11" s="1398"/>
      <c r="AK11" s="1895"/>
      <c r="AL11" s="1396"/>
      <c r="AM11" s="1397"/>
      <c r="AN11" s="1397"/>
      <c r="AO11" s="1397"/>
      <c r="AP11" s="1397"/>
      <c r="AQ11" s="1397"/>
      <c r="AR11" s="1397"/>
      <c r="AS11" s="1397"/>
      <c r="AT11" s="1397"/>
      <c r="AU11" s="1397"/>
      <c r="AV11" s="1397"/>
      <c r="AW11" s="1398"/>
    </row>
    <row r="12" spans="1:49" s="46" customFormat="1" ht="14.25" customHeight="1">
      <c r="C12" s="1861"/>
      <c r="D12" s="1936"/>
      <c r="E12" s="1939"/>
      <c r="F12" s="1942"/>
      <c r="G12" s="1874"/>
      <c r="H12" s="1875"/>
      <c r="I12" s="1877"/>
      <c r="J12" s="1952"/>
      <c r="K12" s="1953"/>
      <c r="L12" s="1904"/>
      <c r="M12" s="1945"/>
      <c r="N12" s="1945"/>
      <c r="O12" s="1945"/>
      <c r="P12" s="1956"/>
      <c r="Q12" s="1957"/>
      <c r="R12" s="1906"/>
      <c r="S12" s="1557"/>
      <c r="T12" s="1912"/>
      <c r="U12" s="1913"/>
      <c r="V12" s="707"/>
      <c r="W12" s="1888"/>
      <c r="X12" s="1888"/>
      <c r="Z12" s="1897" t="s">
        <v>516</v>
      </c>
      <c r="AA12" s="1897" t="s">
        <v>517</v>
      </c>
      <c r="AB12" s="1897" t="s">
        <v>518</v>
      </c>
      <c r="AC12" s="1897" t="s">
        <v>519</v>
      </c>
      <c r="AD12" s="1897" t="s">
        <v>520</v>
      </c>
      <c r="AE12" s="1897" t="s">
        <v>521</v>
      </c>
      <c r="AF12" s="1897" t="s">
        <v>522</v>
      </c>
      <c r="AG12" s="1897" t="s">
        <v>523</v>
      </c>
      <c r="AH12" s="1897" t="s">
        <v>524</v>
      </c>
      <c r="AI12" s="1900" t="s">
        <v>525</v>
      </c>
      <c r="AJ12" s="662"/>
      <c r="AK12" s="1895"/>
      <c r="AL12" s="1916" t="s">
        <v>526</v>
      </c>
      <c r="AM12" s="1932" t="s">
        <v>530</v>
      </c>
      <c r="AN12" s="663"/>
      <c r="AO12" s="1916" t="s">
        <v>531</v>
      </c>
      <c r="AP12" s="1916" t="s">
        <v>532</v>
      </c>
      <c r="AQ12" s="1916" t="s">
        <v>563</v>
      </c>
      <c r="AR12" s="1916" t="s">
        <v>564</v>
      </c>
      <c r="AS12" s="1916" t="s">
        <v>565</v>
      </c>
      <c r="AT12" s="1916" t="s">
        <v>566</v>
      </c>
      <c r="AU12" s="1916" t="s">
        <v>567</v>
      </c>
      <c r="AV12" s="1916" t="s">
        <v>453</v>
      </c>
      <c r="AW12" s="1916" t="s">
        <v>568</v>
      </c>
    </row>
    <row r="13" spans="1:49" s="46" customFormat="1" ht="14.25" customHeight="1">
      <c r="C13" s="1861"/>
      <c r="D13" s="1936"/>
      <c r="E13" s="1939"/>
      <c r="F13" s="1942"/>
      <c r="G13" s="1918" t="s">
        <v>569</v>
      </c>
      <c r="H13" s="1918" t="s">
        <v>535</v>
      </c>
      <c r="I13" s="1877"/>
      <c r="J13" s="1923" t="s">
        <v>536</v>
      </c>
      <c r="K13" s="1923" t="s">
        <v>537</v>
      </c>
      <c r="L13" s="721" t="s">
        <v>538</v>
      </c>
      <c r="M13" s="722" t="s">
        <v>538</v>
      </c>
      <c r="N13" s="723" t="s">
        <v>538</v>
      </c>
      <c r="O13" s="723" t="s">
        <v>538</v>
      </c>
      <c r="P13" s="1958"/>
      <c r="Q13" s="1959"/>
      <c r="R13" s="1906"/>
      <c r="S13" s="1557"/>
      <c r="T13" s="1925" t="s">
        <v>539</v>
      </c>
      <c r="U13" s="1929" t="s">
        <v>570</v>
      </c>
      <c r="V13" s="707"/>
      <c r="W13" s="1888"/>
      <c r="X13" s="1888"/>
      <c r="Z13" s="1898"/>
      <c r="AA13" s="1898"/>
      <c r="AB13" s="1898"/>
      <c r="AC13" s="1898"/>
      <c r="AD13" s="1898"/>
      <c r="AE13" s="1898"/>
      <c r="AF13" s="1898" t="s">
        <v>542</v>
      </c>
      <c r="AG13" s="1898"/>
      <c r="AH13" s="1898" t="s">
        <v>542</v>
      </c>
      <c r="AI13" s="1898" t="s">
        <v>543</v>
      </c>
      <c r="AJ13" s="1897" t="s">
        <v>544</v>
      </c>
      <c r="AK13" s="1895"/>
      <c r="AL13" s="1906"/>
      <c r="AM13" s="1965"/>
      <c r="AN13" s="1916" t="s">
        <v>544</v>
      </c>
      <c r="AO13" s="1906" t="s">
        <v>543</v>
      </c>
      <c r="AP13" s="1906"/>
      <c r="AQ13" s="1906"/>
      <c r="AR13" s="1906"/>
      <c r="AS13" s="1906"/>
      <c r="AT13" s="1906"/>
      <c r="AU13" s="1906"/>
      <c r="AV13" s="1906"/>
      <c r="AW13" s="1906"/>
    </row>
    <row r="14" spans="1:49" s="46" customFormat="1" ht="14.25" customHeight="1">
      <c r="C14" s="1861"/>
      <c r="D14" s="1936"/>
      <c r="E14" s="1939"/>
      <c r="F14" s="1942"/>
      <c r="G14" s="1919"/>
      <c r="H14" s="1919"/>
      <c r="I14" s="1877"/>
      <c r="J14" s="1924"/>
      <c r="K14" s="1924"/>
      <c r="L14" s="724"/>
      <c r="M14" s="725"/>
      <c r="N14" s="668"/>
      <c r="O14" s="726"/>
      <c r="P14" s="1944" t="s">
        <v>571</v>
      </c>
      <c r="Q14" s="1944" t="s">
        <v>453</v>
      </c>
      <c r="R14" s="1906"/>
      <c r="S14" s="1557"/>
      <c r="T14" s="1926"/>
      <c r="U14" s="1930"/>
      <c r="V14" s="707"/>
      <c r="W14" s="1888"/>
      <c r="X14" s="1888"/>
      <c r="Z14" s="1898"/>
      <c r="AA14" s="1898"/>
      <c r="AB14" s="1898"/>
      <c r="AC14" s="1898"/>
      <c r="AD14" s="1898"/>
      <c r="AE14" s="1898"/>
      <c r="AF14" s="1898"/>
      <c r="AG14" s="1898"/>
      <c r="AH14" s="1898"/>
      <c r="AI14" s="1898"/>
      <c r="AJ14" s="1898"/>
      <c r="AK14" s="1895"/>
      <c r="AL14" s="1906"/>
      <c r="AM14" s="1965"/>
      <c r="AN14" s="1906"/>
      <c r="AO14" s="1906"/>
      <c r="AP14" s="1906"/>
      <c r="AQ14" s="1906"/>
      <c r="AR14" s="1906"/>
      <c r="AS14" s="1906"/>
      <c r="AT14" s="1906"/>
      <c r="AU14" s="1906"/>
      <c r="AV14" s="1906"/>
      <c r="AW14" s="1906"/>
    </row>
    <row r="15" spans="1:49" s="46" customFormat="1" ht="14.25" customHeight="1">
      <c r="C15" s="1861"/>
      <c r="D15" s="1936"/>
      <c r="E15" s="1939"/>
      <c r="F15" s="1942"/>
      <c r="G15" s="1919"/>
      <c r="H15" s="1919"/>
      <c r="I15" s="1877"/>
      <c r="J15" s="1924"/>
      <c r="K15" s="1924"/>
      <c r="L15" s="724"/>
      <c r="M15" s="725"/>
      <c r="N15" s="668"/>
      <c r="O15" s="726"/>
      <c r="P15" s="1945"/>
      <c r="Q15" s="1945"/>
      <c r="R15" s="1906"/>
      <c r="S15" s="1557"/>
      <c r="T15" s="1926"/>
      <c r="U15" s="727"/>
      <c r="V15" s="707"/>
      <c r="W15" s="1888"/>
      <c r="X15" s="1888"/>
      <c r="Z15" s="1898"/>
      <c r="AA15" s="1898"/>
      <c r="AB15" s="1898"/>
      <c r="AC15" s="1898"/>
      <c r="AD15" s="1898"/>
      <c r="AE15" s="1898"/>
      <c r="AF15" s="1898"/>
      <c r="AG15" s="1898"/>
      <c r="AH15" s="1898"/>
      <c r="AI15" s="1898"/>
      <c r="AJ15" s="1898"/>
      <c r="AK15" s="1895"/>
      <c r="AL15" s="1906"/>
      <c r="AM15" s="1965"/>
      <c r="AN15" s="1906"/>
      <c r="AO15" s="1906"/>
      <c r="AP15" s="1906"/>
      <c r="AQ15" s="1906"/>
      <c r="AR15" s="1906"/>
      <c r="AS15" s="1906"/>
      <c r="AT15" s="1906"/>
      <c r="AU15" s="1906"/>
      <c r="AV15" s="1906"/>
      <c r="AW15" s="1906"/>
    </row>
    <row r="16" spans="1:49" s="46" customFormat="1" ht="14.25" customHeight="1">
      <c r="C16" s="1861"/>
      <c r="D16" s="1936"/>
      <c r="E16" s="1939"/>
      <c r="F16" s="1942"/>
      <c r="G16" s="1919"/>
      <c r="H16" s="1919"/>
      <c r="I16" s="1877"/>
      <c r="J16" s="1924"/>
      <c r="K16" s="1924"/>
      <c r="L16" s="724"/>
      <c r="M16" s="725"/>
      <c r="N16" s="668"/>
      <c r="O16" s="726"/>
      <c r="P16" s="1946" t="s">
        <v>538</v>
      </c>
      <c r="Q16" s="1948" t="s">
        <v>538</v>
      </c>
      <c r="R16" s="1906"/>
      <c r="S16" s="1557"/>
      <c r="T16" s="1927"/>
      <c r="U16" s="727"/>
      <c r="V16" s="707"/>
      <c r="W16" s="1888"/>
      <c r="X16" s="1888"/>
      <c r="Z16" s="1899"/>
      <c r="AA16" s="1899"/>
      <c r="AB16" s="1899"/>
      <c r="AC16" s="1899"/>
      <c r="AD16" s="1899"/>
      <c r="AE16" s="1899"/>
      <c r="AF16" s="1899"/>
      <c r="AG16" s="1899"/>
      <c r="AH16" s="1899"/>
      <c r="AI16" s="1899"/>
      <c r="AJ16" s="1899"/>
      <c r="AK16" s="1896"/>
      <c r="AL16" s="1917"/>
      <c r="AM16" s="1966"/>
      <c r="AN16" s="1917"/>
      <c r="AO16" s="1917"/>
      <c r="AP16" s="1917"/>
      <c r="AQ16" s="1917"/>
      <c r="AR16" s="1917"/>
      <c r="AS16" s="1917"/>
      <c r="AT16" s="1917"/>
      <c r="AU16" s="1917"/>
      <c r="AV16" s="1917"/>
      <c r="AW16" s="1917"/>
    </row>
    <row r="17" spans="3:51" s="46" customFormat="1" ht="30" customHeight="1" thickBot="1">
      <c r="C17" s="1862"/>
      <c r="D17" s="1937"/>
      <c r="E17" s="1940"/>
      <c r="F17" s="1943"/>
      <c r="G17" s="1919"/>
      <c r="H17" s="1919"/>
      <c r="I17" s="1878"/>
      <c r="J17" s="1924"/>
      <c r="K17" s="1924"/>
      <c r="L17" s="728"/>
      <c r="M17" s="725"/>
      <c r="N17" s="668"/>
      <c r="O17" s="729"/>
      <c r="P17" s="1947"/>
      <c r="Q17" s="1949"/>
      <c r="R17" s="1960"/>
      <c r="S17" s="1909"/>
      <c r="T17" s="1928"/>
      <c r="U17" s="730"/>
      <c r="V17" s="707"/>
      <c r="W17" s="1889"/>
      <c r="X17" s="1889"/>
      <c r="Z17" s="673"/>
      <c r="AA17" s="673"/>
      <c r="AB17" s="673"/>
      <c r="AC17" s="673"/>
      <c r="AD17" s="673"/>
      <c r="AE17" s="673"/>
      <c r="AF17" s="673"/>
      <c r="AG17" s="673"/>
      <c r="AH17" s="673"/>
      <c r="AI17" s="673"/>
      <c r="AJ17" s="673"/>
      <c r="AK17" s="731" t="s">
        <v>572</v>
      </c>
      <c r="AL17" s="732">
        <f t="shared" ref="AL17:AQ17" si="0">SUM(AL18:AL117)</f>
        <v>0</v>
      </c>
      <c r="AM17" s="732">
        <f t="shared" si="0"/>
        <v>0</v>
      </c>
      <c r="AN17" s="732">
        <f t="shared" si="0"/>
        <v>0</v>
      </c>
      <c r="AO17" s="732">
        <f>ROUND(SUM(AO18:AO117),)</f>
        <v>0</v>
      </c>
      <c r="AP17" s="732">
        <f t="shared" si="0"/>
        <v>0</v>
      </c>
      <c r="AQ17" s="732">
        <f t="shared" si="0"/>
        <v>0</v>
      </c>
      <c r="AR17" s="732">
        <f>ROUND(SUM(AP17:AQ17),)</f>
        <v>0</v>
      </c>
      <c r="AS17" s="732">
        <f t="shared" ref="AS17:AU17" si="1">SUM(AS18:AS117)</f>
        <v>0</v>
      </c>
      <c r="AT17" s="732">
        <f t="shared" si="1"/>
        <v>0</v>
      </c>
      <c r="AU17" s="732">
        <f t="shared" si="1"/>
        <v>0</v>
      </c>
      <c r="AV17" s="732">
        <f>SUM(AV18:AV117)</f>
        <v>0</v>
      </c>
      <c r="AW17" s="673"/>
    </row>
    <row r="18" spans="3:51" s="46" customFormat="1" ht="30.75" customHeight="1" thickTop="1">
      <c r="C18" s="733">
        <v>1</v>
      </c>
      <c r="D18" s="678"/>
      <c r="E18" s="734"/>
      <c r="F18" s="735"/>
      <c r="G18" s="1961"/>
      <c r="H18" s="1962"/>
      <c r="I18" s="681"/>
      <c r="J18" s="682"/>
      <c r="K18" s="683"/>
      <c r="L18" s="686"/>
      <c r="M18" s="686"/>
      <c r="N18" s="686"/>
      <c r="O18" s="686"/>
      <c r="P18" s="685"/>
      <c r="Q18" s="685"/>
      <c r="R18" s="1076"/>
      <c r="S18" s="687"/>
      <c r="T18" s="736"/>
      <c r="U18" s="737"/>
      <c r="V18" s="738"/>
      <c r="W18" s="739"/>
      <c r="X18" s="740"/>
      <c r="Z18" s="691">
        <f t="shared" ref="Z18:Z81" si="2">IF(AND(E18&gt;0,F18&gt;0),"["&amp;RIGHT(LEFT(E18,2),1)&amp;RIGHT(LEFT(F18,2),1)&amp;"]",)</f>
        <v>0</v>
      </c>
      <c r="AA18" s="691">
        <f t="shared" ref="AA18:AA81" si="3">IF(Z18=0,,IF(L18&lt;100000,1,0))</f>
        <v>0</v>
      </c>
      <c r="AB18" s="691">
        <f t="shared" ref="AB18:AB81" si="4">IF(Z18=0,,IF(AND(AA18=0,L18&lt;200000),1,))</f>
        <v>0</v>
      </c>
      <c r="AC18" s="691">
        <f>IF(Z18=0,,VLOOKUP(Z18,リスト!DC:DD,2,0))</f>
        <v>0</v>
      </c>
      <c r="AD18" s="691">
        <f t="shared" ref="AD18:AD81" si="5">IF(AB18=1,3,IF(G18="[2]中古",MIN(AC18,I18),AC18))</f>
        <v>0</v>
      </c>
      <c r="AE18" s="692">
        <f>IF(AD18=0,,VLOOKUP(AD18,リスト!DK:DL,2,0))</f>
        <v>0</v>
      </c>
      <c r="AF18" s="691">
        <f>IF(Z18=0,,
IF(OR(リスト!$C$21="小麦",リスト!$C$21="二条大麦",リスト!$C$21="六条大麦",リスト!$C$21="はだか麦",リスト!$C$21="なたね"),IF(K18&lt;9,調査年-J18,調査年-J18-1),
IF(リスト!$C$21="さとうきび",IF(K18&gt;=4,調査年-J18,調査年-J18+1),
調査年-J18)))</f>
        <v>0</v>
      </c>
      <c r="AG18" s="693">
        <f t="shared" ref="AG18:AG49" si="6">IF(OR(Z18=0,AA18=1),,
IF(AND(AD18&gt;0,AF18&lt;AD18,AH18&lt;=ROUND((L18-1)*AE18,0)),ROUND(AH18,0),
IF(AND(AD18&gt;0,AF18&lt;AD18),ROUND((L18-1)*AE18,0),)))</f>
        <v>0</v>
      </c>
      <c r="AH18" s="693">
        <f t="shared" ref="AH18:AH81" si="7">IF(OR(Z18=0,AA18=1),,
IF(AND(AD18&gt;0,AF18&lt;AD18),L18-ROUND((L18-1)*AE18*AF18,0),1
))</f>
        <v>0</v>
      </c>
      <c r="AI18" s="693">
        <f t="shared" ref="AI18:AI81" si="8">IF(OR(Z18=0,AA18=1),,
IF(T18=0,AG18,
IF(T18="[2]廃棄等",SUM(AH18,U18),
IF(T18="[1]売却",AH18-U18,))))</f>
        <v>0</v>
      </c>
      <c r="AJ18" s="693">
        <f t="shared" ref="AJ18:AJ81" si="9">IF(AND(AI18=0,AG18=0),,
IF(OR(T18="[1]売却",T18="[2]廃棄等"),SUM(AI18)-SUM(AG18),))</f>
        <v>0</v>
      </c>
      <c r="AK18" s="741"/>
      <c r="AL18" s="69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3">
        <f t="shared" ref="AM18:AM81" si="10">IF(R18=0,,IF(AI18=0,,ROUND(AI18*R18%,0)))</f>
        <v>0</v>
      </c>
      <c r="AN18" s="693">
        <f t="shared" ref="AN18:AN81" si="11">IF(R18=0,,IF(AJ18=0,,ROUND(AJ18*R18%,0)))</f>
        <v>0</v>
      </c>
      <c r="AO18" s="693">
        <f t="shared" ref="AO18:AO81" si="12">IF(R18=0,,IF(AH18=0,,ROUND(AH18*R18%,0)))</f>
        <v>0</v>
      </c>
      <c r="AP18" s="69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3">
        <f t="shared" ref="AQ18:AQ81" si="13">IF(R18=0,,IF(N18=0,,ROUND(N18*R18%,0)))</f>
        <v>0</v>
      </c>
      <c r="AR18" s="693">
        <f t="shared" ref="AR18:AR81" si="14">IF(OR(AP18&gt;0,AQ18&gt;0),SUM(AP18:AQ18),)</f>
        <v>0</v>
      </c>
      <c r="AS18" s="693">
        <f>IF(O18&gt;0,IF(AND(F18&lt;&gt;"[1]軽自動車",F18&lt;&gt;"[3]自動二輪・三輪"),ROUND(O18*R18%,),),)</f>
        <v>0</v>
      </c>
      <c r="AT18" s="693">
        <f>IF(O18&gt;0,IF(OR(F18="[1]軽自動車",F18="[3]自動二輪・三輪"),ROUND(O18*R18%,),),)</f>
        <v>0</v>
      </c>
      <c r="AU18" s="693">
        <f t="shared" ref="AU18:AU81" si="15">IF(P18&gt;0,ROUND(P18*R18%,),)</f>
        <v>0</v>
      </c>
      <c r="AV18" s="693">
        <f t="shared" ref="AV18:AV81" si="16">IF(Q18&gt;0,ROUND(Q18*$R18%,),)</f>
        <v>0</v>
      </c>
      <c r="AW18" s="742">
        <f t="shared" ref="AW18:AW81" si="17">IF(X18="○",,IF(AND(W18&gt;0,R18&gt;0),ROUND(1/W18,1),IF(R18&gt;0,ROUND(1,1),)))</f>
        <v>0</v>
      </c>
      <c r="AX18" s="707"/>
      <c r="AY18" s="707"/>
    </row>
    <row r="19" spans="3:51" s="46" customFormat="1" ht="30.75" customHeight="1">
      <c r="C19" s="743">
        <v>2</v>
      </c>
      <c r="D19" s="696"/>
      <c r="E19" s="744"/>
      <c r="F19" s="745"/>
      <c r="G19" s="1963"/>
      <c r="H19" s="1964"/>
      <c r="I19" s="699"/>
      <c r="J19" s="746"/>
      <c r="K19" s="701"/>
      <c r="L19" s="702"/>
      <c r="M19" s="702"/>
      <c r="N19" s="702"/>
      <c r="O19" s="702"/>
      <c r="P19" s="702"/>
      <c r="Q19" s="702"/>
      <c r="R19" s="1074"/>
      <c r="S19" s="703"/>
      <c r="T19" s="747"/>
      <c r="U19" s="748"/>
      <c r="V19" s="738"/>
      <c r="W19" s="749"/>
      <c r="X19" s="750"/>
      <c r="Y19" s="658"/>
      <c r="Z19" s="691">
        <f t="shared" si="2"/>
        <v>0</v>
      </c>
      <c r="AA19" s="691">
        <f t="shared" si="3"/>
        <v>0</v>
      </c>
      <c r="AB19" s="691">
        <f t="shared" si="4"/>
        <v>0</v>
      </c>
      <c r="AC19" s="691">
        <f>IF(Z19=0,,VLOOKUP(Z19,リスト!DC:DD,2,0))</f>
        <v>0</v>
      </c>
      <c r="AD19" s="691">
        <f t="shared" si="5"/>
        <v>0</v>
      </c>
      <c r="AE19" s="692">
        <f>IF(AD19=0,,VLOOKUP(AD19,リスト!DK:DL,2,0))</f>
        <v>0</v>
      </c>
      <c r="AF19" s="691">
        <f>IF(Z19=0,,
IF(OR(リスト!$C$21="小麦",リスト!$C$21="二条大麦",リスト!$C$21="六条大麦",リスト!$C$21="はだか麦",リスト!$C$21="なたね"),IF(K19&lt;9,調査年-J19,調査年-J19-1),
IF(リスト!$C$21="さとうきび",IF(K19&gt;=4,調査年-J19,調査年-J19+1),
調査年-J19)))</f>
        <v>0</v>
      </c>
      <c r="AG19" s="693">
        <f t="shared" si="6"/>
        <v>0</v>
      </c>
      <c r="AH19" s="693">
        <f t="shared" si="7"/>
        <v>0</v>
      </c>
      <c r="AI19" s="693">
        <f t="shared" si="8"/>
        <v>0</v>
      </c>
      <c r="AJ19" s="693">
        <f t="shared" si="9"/>
        <v>0</v>
      </c>
      <c r="AK19" s="417"/>
      <c r="AL19" s="69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3">
        <f t="shared" si="10"/>
        <v>0</v>
      </c>
      <c r="AN19" s="693">
        <f t="shared" si="11"/>
        <v>0</v>
      </c>
      <c r="AO19" s="693">
        <f t="shared" si="12"/>
        <v>0</v>
      </c>
      <c r="AP19" s="69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3">
        <f t="shared" si="13"/>
        <v>0</v>
      </c>
      <c r="AR19" s="693">
        <f t="shared" si="14"/>
        <v>0</v>
      </c>
      <c r="AS19" s="693">
        <f t="shared" ref="AS19:AS82" si="18">IF(O19&gt;0,IF(AND(F19&lt;&gt;"[1]軽自動車",F19&lt;&gt;"[3]自動二輪・三輪"),ROUND(O19*R19%,),),)</f>
        <v>0</v>
      </c>
      <c r="AT19" s="693">
        <f t="shared" ref="AT19:AT82" si="19">IF(O19&gt;0,IF(OR(F19="[1]軽自動車",F19="[3]自動二輪・三輪"),ROUND(O19*R19%,),),)</f>
        <v>0</v>
      </c>
      <c r="AU19" s="693">
        <f t="shared" si="15"/>
        <v>0</v>
      </c>
      <c r="AV19" s="693">
        <f t="shared" si="16"/>
        <v>0</v>
      </c>
      <c r="AW19" s="742">
        <f t="shared" si="17"/>
        <v>0</v>
      </c>
      <c r="AX19" s="707"/>
      <c r="AY19" s="707"/>
    </row>
    <row r="20" spans="3:51" s="46" customFormat="1" ht="30.75" customHeight="1">
      <c r="C20" s="743">
        <v>3</v>
      </c>
      <c r="D20" s="708"/>
      <c r="E20" s="744"/>
      <c r="F20" s="745"/>
      <c r="G20" s="1963"/>
      <c r="H20" s="1964"/>
      <c r="I20" s="699"/>
      <c r="J20" s="746"/>
      <c r="K20" s="701"/>
      <c r="L20" s="702"/>
      <c r="M20" s="702"/>
      <c r="N20" s="702"/>
      <c r="O20" s="702"/>
      <c r="P20" s="702"/>
      <c r="Q20" s="702"/>
      <c r="R20" s="1074"/>
      <c r="S20" s="703"/>
      <c r="T20" s="747"/>
      <c r="U20" s="748"/>
      <c r="V20" s="738"/>
      <c r="W20" s="749"/>
      <c r="X20" s="750"/>
      <c r="Y20" s="658"/>
      <c r="Z20" s="691">
        <f t="shared" si="2"/>
        <v>0</v>
      </c>
      <c r="AA20" s="691">
        <f t="shared" si="3"/>
        <v>0</v>
      </c>
      <c r="AB20" s="691">
        <f t="shared" si="4"/>
        <v>0</v>
      </c>
      <c r="AC20" s="691">
        <f>IF(Z20=0,,VLOOKUP(Z20,リスト!DC:DD,2,0))</f>
        <v>0</v>
      </c>
      <c r="AD20" s="691">
        <f t="shared" si="5"/>
        <v>0</v>
      </c>
      <c r="AE20" s="692">
        <f>IF(AD20=0,,VLOOKUP(AD20,リスト!DK:DL,2,0))</f>
        <v>0</v>
      </c>
      <c r="AF20" s="691">
        <f>IF(Z20=0,,
IF(OR(リスト!$C$21="小麦",リスト!$C$21="二条大麦",リスト!$C$21="六条大麦",リスト!$C$21="はだか麦",リスト!$C$21="なたね"),IF(K20&lt;9,調査年-J20,調査年-J20-1),
IF(リスト!$C$21="さとうきび",IF(K20&gt;=4,調査年-J20,調査年-J20+1),
調査年-J20)))</f>
        <v>0</v>
      </c>
      <c r="AG20" s="693">
        <f t="shared" si="6"/>
        <v>0</v>
      </c>
      <c r="AH20" s="693">
        <f t="shared" si="7"/>
        <v>0</v>
      </c>
      <c r="AI20" s="693">
        <f t="shared" si="8"/>
        <v>0</v>
      </c>
      <c r="AJ20" s="693">
        <f t="shared" si="9"/>
        <v>0</v>
      </c>
      <c r="AK20" s="417"/>
      <c r="AL20" s="69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3">
        <f t="shared" si="10"/>
        <v>0</v>
      </c>
      <c r="AN20" s="693">
        <f t="shared" si="11"/>
        <v>0</v>
      </c>
      <c r="AO20" s="693">
        <f t="shared" si="12"/>
        <v>0</v>
      </c>
      <c r="AP20" s="69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3">
        <f t="shared" si="13"/>
        <v>0</v>
      </c>
      <c r="AR20" s="693">
        <f t="shared" si="14"/>
        <v>0</v>
      </c>
      <c r="AS20" s="693">
        <f t="shared" si="18"/>
        <v>0</v>
      </c>
      <c r="AT20" s="693">
        <f t="shared" si="19"/>
        <v>0</v>
      </c>
      <c r="AU20" s="693">
        <f t="shared" si="15"/>
        <v>0</v>
      </c>
      <c r="AV20" s="693">
        <f t="shared" si="16"/>
        <v>0</v>
      </c>
      <c r="AW20" s="742">
        <f t="shared" si="17"/>
        <v>0</v>
      </c>
      <c r="AX20" s="707"/>
      <c r="AY20" s="707"/>
    </row>
    <row r="21" spans="3:51" s="46" customFormat="1" ht="30.75" customHeight="1">
      <c r="C21" s="743">
        <v>4</v>
      </c>
      <c r="D21" s="708"/>
      <c r="E21" s="744"/>
      <c r="F21" s="745"/>
      <c r="G21" s="1963"/>
      <c r="H21" s="1964"/>
      <c r="I21" s="700"/>
      <c r="J21" s="746"/>
      <c r="K21" s="701"/>
      <c r="L21" s="702"/>
      <c r="M21" s="702"/>
      <c r="N21" s="702"/>
      <c r="O21" s="702"/>
      <c r="P21" s="702"/>
      <c r="Q21" s="702"/>
      <c r="R21" s="1074"/>
      <c r="S21" s="703"/>
      <c r="T21" s="747"/>
      <c r="U21" s="748"/>
      <c r="V21" s="738"/>
      <c r="W21" s="749"/>
      <c r="X21" s="750"/>
      <c r="Y21" s="658"/>
      <c r="Z21" s="691">
        <f t="shared" si="2"/>
        <v>0</v>
      </c>
      <c r="AA21" s="691">
        <f t="shared" si="3"/>
        <v>0</v>
      </c>
      <c r="AB21" s="691">
        <f t="shared" si="4"/>
        <v>0</v>
      </c>
      <c r="AC21" s="691">
        <f>IF(Z21=0,,VLOOKUP(Z21,リスト!DC:DD,2,0))</f>
        <v>0</v>
      </c>
      <c r="AD21" s="691">
        <f t="shared" si="5"/>
        <v>0</v>
      </c>
      <c r="AE21" s="692">
        <f>IF(AD21=0,,VLOOKUP(AD21,リスト!DK:DL,2,0))</f>
        <v>0</v>
      </c>
      <c r="AF21" s="691">
        <f>IF(Z21=0,,
IF(OR(リスト!$C$21="小麦",リスト!$C$21="二条大麦",リスト!$C$21="六条大麦",リスト!$C$21="はだか麦",リスト!$C$21="なたね"),IF(K21&lt;9,調査年-J21,調査年-J21-1),
IF(リスト!$C$21="さとうきび",IF(K21&gt;=4,調査年-J21,調査年-J21+1),
調査年-J21)))</f>
        <v>0</v>
      </c>
      <c r="AG21" s="693">
        <f t="shared" si="6"/>
        <v>0</v>
      </c>
      <c r="AH21" s="693">
        <f t="shared" si="7"/>
        <v>0</v>
      </c>
      <c r="AI21" s="693">
        <f t="shared" si="8"/>
        <v>0</v>
      </c>
      <c r="AJ21" s="693">
        <f t="shared" si="9"/>
        <v>0</v>
      </c>
      <c r="AK21" s="417"/>
      <c r="AL21" s="69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3">
        <f t="shared" si="10"/>
        <v>0</v>
      </c>
      <c r="AN21" s="693">
        <f t="shared" si="11"/>
        <v>0</v>
      </c>
      <c r="AO21" s="693">
        <f t="shared" si="12"/>
        <v>0</v>
      </c>
      <c r="AP21" s="69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3">
        <f t="shared" si="13"/>
        <v>0</v>
      </c>
      <c r="AR21" s="693">
        <f t="shared" si="14"/>
        <v>0</v>
      </c>
      <c r="AS21" s="693">
        <f t="shared" si="18"/>
        <v>0</v>
      </c>
      <c r="AT21" s="693">
        <f t="shared" si="19"/>
        <v>0</v>
      </c>
      <c r="AU21" s="693">
        <f t="shared" si="15"/>
        <v>0</v>
      </c>
      <c r="AV21" s="693">
        <f t="shared" si="16"/>
        <v>0</v>
      </c>
      <c r="AW21" s="742">
        <f t="shared" si="17"/>
        <v>0</v>
      </c>
      <c r="AX21" s="707"/>
      <c r="AY21" s="707"/>
    </row>
    <row r="22" spans="3:51" s="46" customFormat="1" ht="30.75" customHeight="1">
      <c r="C22" s="743">
        <v>5</v>
      </c>
      <c r="D22" s="708"/>
      <c r="E22" s="744"/>
      <c r="F22" s="745"/>
      <c r="G22" s="1963"/>
      <c r="H22" s="1964"/>
      <c r="I22" s="700"/>
      <c r="J22" s="746"/>
      <c r="K22" s="701"/>
      <c r="L22" s="702"/>
      <c r="M22" s="702"/>
      <c r="N22" s="702"/>
      <c r="O22" s="702"/>
      <c r="P22" s="702"/>
      <c r="Q22" s="702"/>
      <c r="R22" s="1074"/>
      <c r="S22" s="703"/>
      <c r="T22" s="747"/>
      <c r="U22" s="748"/>
      <c r="V22" s="738"/>
      <c r="W22" s="749"/>
      <c r="X22" s="750"/>
      <c r="Z22" s="691">
        <f t="shared" si="2"/>
        <v>0</v>
      </c>
      <c r="AA22" s="691">
        <f t="shared" si="3"/>
        <v>0</v>
      </c>
      <c r="AB22" s="691">
        <f t="shared" si="4"/>
        <v>0</v>
      </c>
      <c r="AC22" s="691">
        <f>IF(Z22=0,,VLOOKUP(Z22,リスト!DC:DD,2,0))</f>
        <v>0</v>
      </c>
      <c r="AD22" s="691">
        <f t="shared" si="5"/>
        <v>0</v>
      </c>
      <c r="AE22" s="692">
        <f>IF(AD22=0,,VLOOKUP(AD22,リスト!DK:DL,2,0))</f>
        <v>0</v>
      </c>
      <c r="AF22" s="691">
        <f>IF(Z22=0,,
IF(OR(リスト!$C$21="小麦",リスト!$C$21="二条大麦",リスト!$C$21="六条大麦",リスト!$C$21="はだか麦",リスト!$C$21="なたね"),IF(K22&lt;9,調査年-J22,調査年-J22-1),
IF(リスト!$C$21="さとうきび",IF(K22&gt;=4,調査年-J22,調査年-J22+1),
調査年-J22)))</f>
        <v>0</v>
      </c>
      <c r="AG22" s="693">
        <f t="shared" si="6"/>
        <v>0</v>
      </c>
      <c r="AH22" s="693">
        <f t="shared" si="7"/>
        <v>0</v>
      </c>
      <c r="AI22" s="693">
        <f t="shared" si="8"/>
        <v>0</v>
      </c>
      <c r="AJ22" s="693">
        <f t="shared" si="9"/>
        <v>0</v>
      </c>
      <c r="AK22" s="417"/>
      <c r="AL22" s="69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3">
        <f t="shared" si="10"/>
        <v>0</v>
      </c>
      <c r="AN22" s="693">
        <f t="shared" si="11"/>
        <v>0</v>
      </c>
      <c r="AO22" s="693">
        <f t="shared" si="12"/>
        <v>0</v>
      </c>
      <c r="AP22" s="69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3">
        <f t="shared" si="13"/>
        <v>0</v>
      </c>
      <c r="AR22" s="693">
        <f t="shared" si="14"/>
        <v>0</v>
      </c>
      <c r="AS22" s="693">
        <f t="shared" si="18"/>
        <v>0</v>
      </c>
      <c r="AT22" s="693">
        <f t="shared" si="19"/>
        <v>0</v>
      </c>
      <c r="AU22" s="693">
        <f t="shared" si="15"/>
        <v>0</v>
      </c>
      <c r="AV22" s="693">
        <f t="shared" si="16"/>
        <v>0</v>
      </c>
      <c r="AW22" s="742">
        <f t="shared" si="17"/>
        <v>0</v>
      </c>
      <c r="AX22" s="707"/>
      <c r="AY22" s="707"/>
    </row>
    <row r="23" spans="3:51" s="46" customFormat="1" ht="30.75" customHeight="1">
      <c r="C23" s="743">
        <v>6</v>
      </c>
      <c r="D23" s="708"/>
      <c r="E23" s="744"/>
      <c r="F23" s="745"/>
      <c r="G23" s="1963"/>
      <c r="H23" s="1964"/>
      <c r="I23" s="700"/>
      <c r="J23" s="746"/>
      <c r="K23" s="701"/>
      <c r="L23" s="702"/>
      <c r="M23" s="702"/>
      <c r="N23" s="702"/>
      <c r="O23" s="702"/>
      <c r="P23" s="702"/>
      <c r="Q23" s="702"/>
      <c r="R23" s="1074"/>
      <c r="S23" s="703"/>
      <c r="T23" s="747"/>
      <c r="U23" s="748"/>
      <c r="V23" s="738"/>
      <c r="W23" s="749"/>
      <c r="X23" s="750"/>
      <c r="Y23" s="658"/>
      <c r="Z23" s="691">
        <f t="shared" si="2"/>
        <v>0</v>
      </c>
      <c r="AA23" s="691">
        <f t="shared" si="3"/>
        <v>0</v>
      </c>
      <c r="AB23" s="691">
        <f t="shared" si="4"/>
        <v>0</v>
      </c>
      <c r="AC23" s="691">
        <f>IF(Z23=0,,VLOOKUP(Z23,リスト!DC:DD,2,0))</f>
        <v>0</v>
      </c>
      <c r="AD23" s="691">
        <f t="shared" si="5"/>
        <v>0</v>
      </c>
      <c r="AE23" s="692">
        <f>IF(AD23=0,,VLOOKUP(AD23,リスト!DK:DL,2,0))</f>
        <v>0</v>
      </c>
      <c r="AF23" s="691">
        <f>IF(Z23=0,,
IF(OR(リスト!$C$21="小麦",リスト!$C$21="二条大麦",リスト!$C$21="六条大麦",リスト!$C$21="はだか麦",リスト!$C$21="なたね"),IF(K23&lt;9,調査年-J23,調査年-J23-1),
IF(リスト!$C$21="さとうきび",IF(K23&gt;=4,調査年-J23,調査年-J23+1),
調査年-J23)))</f>
        <v>0</v>
      </c>
      <c r="AG23" s="693">
        <f t="shared" si="6"/>
        <v>0</v>
      </c>
      <c r="AH23" s="693">
        <f t="shared" si="7"/>
        <v>0</v>
      </c>
      <c r="AI23" s="693">
        <f t="shared" si="8"/>
        <v>0</v>
      </c>
      <c r="AJ23" s="693">
        <f t="shared" si="9"/>
        <v>0</v>
      </c>
      <c r="AK23" s="417"/>
      <c r="AL23" s="69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3">
        <f t="shared" si="10"/>
        <v>0</v>
      </c>
      <c r="AN23" s="693">
        <f t="shared" si="11"/>
        <v>0</v>
      </c>
      <c r="AO23" s="693">
        <f t="shared" si="12"/>
        <v>0</v>
      </c>
      <c r="AP23" s="69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3">
        <f t="shared" si="13"/>
        <v>0</v>
      </c>
      <c r="AR23" s="693">
        <f t="shared" si="14"/>
        <v>0</v>
      </c>
      <c r="AS23" s="693">
        <f t="shared" si="18"/>
        <v>0</v>
      </c>
      <c r="AT23" s="693">
        <f t="shared" si="19"/>
        <v>0</v>
      </c>
      <c r="AU23" s="693">
        <f t="shared" si="15"/>
        <v>0</v>
      </c>
      <c r="AV23" s="693">
        <f t="shared" si="16"/>
        <v>0</v>
      </c>
      <c r="AW23" s="742">
        <f t="shared" si="17"/>
        <v>0</v>
      </c>
      <c r="AX23" s="707"/>
      <c r="AY23" s="707"/>
    </row>
    <row r="24" spans="3:51" s="46" customFormat="1" ht="30.75" customHeight="1">
      <c r="C24" s="743">
        <v>7</v>
      </c>
      <c r="D24" s="708"/>
      <c r="E24" s="744"/>
      <c r="F24" s="745"/>
      <c r="G24" s="1963"/>
      <c r="H24" s="1964"/>
      <c r="I24" s="700"/>
      <c r="J24" s="746"/>
      <c r="K24" s="701"/>
      <c r="L24" s="702"/>
      <c r="M24" s="702"/>
      <c r="N24" s="702"/>
      <c r="O24" s="702"/>
      <c r="P24" s="702"/>
      <c r="Q24" s="702"/>
      <c r="R24" s="1074"/>
      <c r="S24" s="703"/>
      <c r="T24" s="747"/>
      <c r="U24" s="748"/>
      <c r="V24" s="738"/>
      <c r="W24" s="749"/>
      <c r="X24" s="750"/>
      <c r="Y24" s="658"/>
      <c r="Z24" s="691">
        <f t="shared" si="2"/>
        <v>0</v>
      </c>
      <c r="AA24" s="691">
        <f t="shared" si="3"/>
        <v>0</v>
      </c>
      <c r="AB24" s="691">
        <f t="shared" si="4"/>
        <v>0</v>
      </c>
      <c r="AC24" s="691">
        <f>IF(Z24=0,,VLOOKUP(Z24,リスト!DC:DD,2,0))</f>
        <v>0</v>
      </c>
      <c r="AD24" s="691">
        <f t="shared" si="5"/>
        <v>0</v>
      </c>
      <c r="AE24" s="692">
        <f>IF(AD24=0,,VLOOKUP(AD24,リスト!DK:DL,2,0))</f>
        <v>0</v>
      </c>
      <c r="AF24" s="691">
        <f>IF(Z24=0,,
IF(OR(リスト!$C$21="小麦",リスト!$C$21="二条大麦",リスト!$C$21="六条大麦",リスト!$C$21="はだか麦",リスト!$C$21="なたね"),IF(K24&lt;9,調査年-J24,調査年-J24-1),
IF(リスト!$C$21="さとうきび",IF(K24&gt;=4,調査年-J24,調査年-J24+1),
調査年-J24)))</f>
        <v>0</v>
      </c>
      <c r="AG24" s="693">
        <f t="shared" si="6"/>
        <v>0</v>
      </c>
      <c r="AH24" s="693">
        <f t="shared" si="7"/>
        <v>0</v>
      </c>
      <c r="AI24" s="693">
        <f t="shared" si="8"/>
        <v>0</v>
      </c>
      <c r="AJ24" s="693">
        <f t="shared" si="9"/>
        <v>0</v>
      </c>
      <c r="AK24" s="417"/>
      <c r="AL24" s="69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3">
        <f t="shared" si="10"/>
        <v>0</v>
      </c>
      <c r="AN24" s="693">
        <f t="shared" si="11"/>
        <v>0</v>
      </c>
      <c r="AO24" s="693">
        <f t="shared" si="12"/>
        <v>0</v>
      </c>
      <c r="AP24" s="69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3">
        <f t="shared" si="13"/>
        <v>0</v>
      </c>
      <c r="AR24" s="693">
        <f t="shared" si="14"/>
        <v>0</v>
      </c>
      <c r="AS24" s="693">
        <f t="shared" si="18"/>
        <v>0</v>
      </c>
      <c r="AT24" s="693">
        <f t="shared" si="19"/>
        <v>0</v>
      </c>
      <c r="AU24" s="693">
        <f t="shared" si="15"/>
        <v>0</v>
      </c>
      <c r="AV24" s="693">
        <f t="shared" si="16"/>
        <v>0</v>
      </c>
      <c r="AW24" s="742">
        <f t="shared" si="17"/>
        <v>0</v>
      </c>
      <c r="AX24" s="707"/>
      <c r="AY24" s="707"/>
    </row>
    <row r="25" spans="3:51" s="46" customFormat="1" ht="30.75" customHeight="1">
      <c r="C25" s="743">
        <v>8</v>
      </c>
      <c r="D25" s="708"/>
      <c r="E25" s="744"/>
      <c r="F25" s="745"/>
      <c r="G25" s="1963"/>
      <c r="H25" s="1964"/>
      <c r="I25" s="700"/>
      <c r="J25" s="746"/>
      <c r="K25" s="701"/>
      <c r="L25" s="702"/>
      <c r="M25" s="702"/>
      <c r="N25" s="702"/>
      <c r="O25" s="702"/>
      <c r="P25" s="702"/>
      <c r="Q25" s="702"/>
      <c r="R25" s="1074"/>
      <c r="S25" s="703"/>
      <c r="T25" s="747"/>
      <c r="U25" s="748"/>
      <c r="V25" s="738"/>
      <c r="W25" s="749"/>
      <c r="X25" s="750"/>
      <c r="Y25" s="51"/>
      <c r="Z25" s="691">
        <f t="shared" si="2"/>
        <v>0</v>
      </c>
      <c r="AA25" s="691">
        <f t="shared" si="3"/>
        <v>0</v>
      </c>
      <c r="AB25" s="691">
        <f t="shared" si="4"/>
        <v>0</v>
      </c>
      <c r="AC25" s="691">
        <f>IF(Z25=0,,VLOOKUP(Z25,リスト!DC:DD,2,0))</f>
        <v>0</v>
      </c>
      <c r="AD25" s="691">
        <f t="shared" si="5"/>
        <v>0</v>
      </c>
      <c r="AE25" s="692">
        <f>IF(AD25=0,,VLOOKUP(AD25,リスト!DK:DL,2,0))</f>
        <v>0</v>
      </c>
      <c r="AF25" s="691">
        <f>IF(Z25=0,,
IF(OR(リスト!$C$21="小麦",リスト!$C$21="二条大麦",リスト!$C$21="六条大麦",リスト!$C$21="はだか麦",リスト!$C$21="なたね"),IF(K25&lt;9,調査年-J25,調査年-J25-1),
IF(リスト!$C$21="さとうきび",IF(K25&gt;=4,調査年-J25,調査年-J25+1),
調査年-J25)))</f>
        <v>0</v>
      </c>
      <c r="AG25" s="693">
        <f t="shared" si="6"/>
        <v>0</v>
      </c>
      <c r="AH25" s="693">
        <f t="shared" si="7"/>
        <v>0</v>
      </c>
      <c r="AI25" s="693">
        <f t="shared" si="8"/>
        <v>0</v>
      </c>
      <c r="AJ25" s="693">
        <f t="shared" si="9"/>
        <v>0</v>
      </c>
      <c r="AK25" s="417"/>
      <c r="AL25" s="69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3">
        <f t="shared" si="10"/>
        <v>0</v>
      </c>
      <c r="AN25" s="693">
        <f t="shared" si="11"/>
        <v>0</v>
      </c>
      <c r="AO25" s="693">
        <f t="shared" si="12"/>
        <v>0</v>
      </c>
      <c r="AP25" s="69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3">
        <f t="shared" si="13"/>
        <v>0</v>
      </c>
      <c r="AR25" s="693">
        <f t="shared" si="14"/>
        <v>0</v>
      </c>
      <c r="AS25" s="693">
        <f t="shared" si="18"/>
        <v>0</v>
      </c>
      <c r="AT25" s="693">
        <f t="shared" si="19"/>
        <v>0</v>
      </c>
      <c r="AU25" s="693">
        <f t="shared" si="15"/>
        <v>0</v>
      </c>
      <c r="AV25" s="693">
        <f t="shared" si="16"/>
        <v>0</v>
      </c>
      <c r="AW25" s="742">
        <f t="shared" si="17"/>
        <v>0</v>
      </c>
      <c r="AX25" s="707"/>
      <c r="AY25" s="707"/>
    </row>
    <row r="26" spans="3:51" s="46" customFormat="1" ht="30.75" customHeight="1">
      <c r="C26" s="743">
        <v>9</v>
      </c>
      <c r="D26" s="708"/>
      <c r="E26" s="744"/>
      <c r="F26" s="745"/>
      <c r="G26" s="1963"/>
      <c r="H26" s="1964"/>
      <c r="I26" s="700"/>
      <c r="J26" s="746"/>
      <c r="K26" s="701"/>
      <c r="L26" s="702"/>
      <c r="M26" s="702"/>
      <c r="N26" s="702"/>
      <c r="O26" s="702"/>
      <c r="P26" s="702"/>
      <c r="Q26" s="702"/>
      <c r="R26" s="1074"/>
      <c r="S26" s="703"/>
      <c r="T26" s="747"/>
      <c r="U26" s="748"/>
      <c r="V26" s="738"/>
      <c r="W26" s="749"/>
      <c r="X26" s="750"/>
      <c r="Y26" s="51"/>
      <c r="Z26" s="691">
        <f t="shared" si="2"/>
        <v>0</v>
      </c>
      <c r="AA26" s="691">
        <f t="shared" si="3"/>
        <v>0</v>
      </c>
      <c r="AB26" s="691">
        <f t="shared" si="4"/>
        <v>0</v>
      </c>
      <c r="AC26" s="691">
        <f>IF(Z26=0,,VLOOKUP(Z26,リスト!DC:DD,2,0))</f>
        <v>0</v>
      </c>
      <c r="AD26" s="691">
        <f t="shared" si="5"/>
        <v>0</v>
      </c>
      <c r="AE26" s="692">
        <f>IF(AD26=0,,VLOOKUP(AD26,リスト!DK:DL,2,0))</f>
        <v>0</v>
      </c>
      <c r="AF26" s="691">
        <f>IF(Z26=0,,
IF(OR(リスト!$C$21="小麦",リスト!$C$21="二条大麦",リスト!$C$21="六条大麦",リスト!$C$21="はだか麦",リスト!$C$21="なたね"),IF(K26&lt;9,調査年-J26,調査年-J26-1),
IF(リスト!$C$21="さとうきび",IF(K26&gt;=4,調査年-J26,調査年-J26+1),
調査年-J26)))</f>
        <v>0</v>
      </c>
      <c r="AG26" s="693">
        <f t="shared" si="6"/>
        <v>0</v>
      </c>
      <c r="AH26" s="693">
        <f t="shared" si="7"/>
        <v>0</v>
      </c>
      <c r="AI26" s="693">
        <f t="shared" si="8"/>
        <v>0</v>
      </c>
      <c r="AJ26" s="693">
        <f t="shared" si="9"/>
        <v>0</v>
      </c>
      <c r="AK26" s="417"/>
      <c r="AL26" s="69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3">
        <f t="shared" si="10"/>
        <v>0</v>
      </c>
      <c r="AN26" s="693">
        <f t="shared" si="11"/>
        <v>0</v>
      </c>
      <c r="AO26" s="693">
        <f t="shared" si="12"/>
        <v>0</v>
      </c>
      <c r="AP26" s="69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3">
        <f t="shared" si="13"/>
        <v>0</v>
      </c>
      <c r="AR26" s="693">
        <f t="shared" si="14"/>
        <v>0</v>
      </c>
      <c r="AS26" s="693">
        <f t="shared" si="18"/>
        <v>0</v>
      </c>
      <c r="AT26" s="693">
        <f t="shared" si="19"/>
        <v>0</v>
      </c>
      <c r="AU26" s="693">
        <f t="shared" si="15"/>
        <v>0</v>
      </c>
      <c r="AV26" s="693">
        <f t="shared" si="16"/>
        <v>0</v>
      </c>
      <c r="AW26" s="742">
        <f t="shared" si="17"/>
        <v>0</v>
      </c>
      <c r="AX26" s="707"/>
      <c r="AY26" s="707"/>
    </row>
    <row r="27" spans="3:51" s="46" customFormat="1" ht="30.75" customHeight="1">
      <c r="C27" s="743">
        <v>10</v>
      </c>
      <c r="D27" s="708"/>
      <c r="E27" s="744"/>
      <c r="F27" s="745"/>
      <c r="G27" s="1963"/>
      <c r="H27" s="1964"/>
      <c r="I27" s="700"/>
      <c r="J27" s="746"/>
      <c r="K27" s="701"/>
      <c r="L27" s="702"/>
      <c r="M27" s="702"/>
      <c r="N27" s="702"/>
      <c r="O27" s="702"/>
      <c r="P27" s="702"/>
      <c r="Q27" s="702"/>
      <c r="R27" s="1074"/>
      <c r="S27" s="703"/>
      <c r="T27" s="747"/>
      <c r="U27" s="748"/>
      <c r="V27" s="738"/>
      <c r="W27" s="749"/>
      <c r="X27" s="750"/>
      <c r="Y27" s="51"/>
      <c r="Z27" s="691">
        <f t="shared" si="2"/>
        <v>0</v>
      </c>
      <c r="AA27" s="691">
        <f t="shared" si="3"/>
        <v>0</v>
      </c>
      <c r="AB27" s="691">
        <f t="shared" si="4"/>
        <v>0</v>
      </c>
      <c r="AC27" s="691">
        <f>IF(Z27=0,,VLOOKUP(Z27,リスト!DC:DD,2,0))</f>
        <v>0</v>
      </c>
      <c r="AD27" s="691">
        <f t="shared" si="5"/>
        <v>0</v>
      </c>
      <c r="AE27" s="692">
        <f>IF(AD27=0,,VLOOKUP(AD27,リスト!DK:DL,2,0))</f>
        <v>0</v>
      </c>
      <c r="AF27" s="691">
        <f>IF(Z27=0,,
IF(OR(リスト!$C$21="小麦",リスト!$C$21="二条大麦",リスト!$C$21="六条大麦",リスト!$C$21="はだか麦",リスト!$C$21="なたね"),IF(K27&lt;9,調査年-J27,調査年-J27-1),
IF(リスト!$C$21="さとうきび",IF(K27&gt;=4,調査年-J27,調査年-J27+1),
調査年-J27)))</f>
        <v>0</v>
      </c>
      <c r="AG27" s="693">
        <f t="shared" si="6"/>
        <v>0</v>
      </c>
      <c r="AH27" s="693">
        <f t="shared" si="7"/>
        <v>0</v>
      </c>
      <c r="AI27" s="693">
        <f t="shared" si="8"/>
        <v>0</v>
      </c>
      <c r="AJ27" s="693">
        <f t="shared" si="9"/>
        <v>0</v>
      </c>
      <c r="AK27" s="417"/>
      <c r="AL27" s="69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3">
        <f t="shared" si="10"/>
        <v>0</v>
      </c>
      <c r="AN27" s="693">
        <f t="shared" si="11"/>
        <v>0</v>
      </c>
      <c r="AO27" s="693">
        <f t="shared" si="12"/>
        <v>0</v>
      </c>
      <c r="AP27" s="69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3">
        <f t="shared" si="13"/>
        <v>0</v>
      </c>
      <c r="AR27" s="693">
        <f t="shared" si="14"/>
        <v>0</v>
      </c>
      <c r="AS27" s="693">
        <f t="shared" si="18"/>
        <v>0</v>
      </c>
      <c r="AT27" s="693">
        <f t="shared" si="19"/>
        <v>0</v>
      </c>
      <c r="AU27" s="693">
        <f t="shared" si="15"/>
        <v>0</v>
      </c>
      <c r="AV27" s="693">
        <f t="shared" si="16"/>
        <v>0</v>
      </c>
      <c r="AW27" s="742">
        <f t="shared" si="17"/>
        <v>0</v>
      </c>
      <c r="AX27" s="707"/>
      <c r="AY27" s="707"/>
    </row>
    <row r="28" spans="3:51" s="46" customFormat="1" ht="30.75" customHeight="1">
      <c r="C28" s="743">
        <v>11</v>
      </c>
      <c r="D28" s="708"/>
      <c r="E28" s="744"/>
      <c r="F28" s="745"/>
      <c r="G28" s="1963"/>
      <c r="H28" s="1964"/>
      <c r="I28" s="700"/>
      <c r="J28" s="746"/>
      <c r="K28" s="701"/>
      <c r="L28" s="702"/>
      <c r="M28" s="702"/>
      <c r="N28" s="702"/>
      <c r="O28" s="702"/>
      <c r="P28" s="702"/>
      <c r="Q28" s="702"/>
      <c r="R28" s="1074"/>
      <c r="S28" s="703"/>
      <c r="T28" s="747"/>
      <c r="U28" s="748"/>
      <c r="V28" s="738"/>
      <c r="W28" s="749"/>
      <c r="X28" s="750"/>
      <c r="Y28" s="51"/>
      <c r="Z28" s="691">
        <f t="shared" si="2"/>
        <v>0</v>
      </c>
      <c r="AA28" s="691">
        <f t="shared" si="3"/>
        <v>0</v>
      </c>
      <c r="AB28" s="691">
        <f t="shared" si="4"/>
        <v>0</v>
      </c>
      <c r="AC28" s="691">
        <f>IF(Z28=0,,VLOOKUP(Z28,リスト!DC:DD,2,0))</f>
        <v>0</v>
      </c>
      <c r="AD28" s="691">
        <f t="shared" si="5"/>
        <v>0</v>
      </c>
      <c r="AE28" s="692">
        <f>IF(AD28=0,,VLOOKUP(AD28,リスト!DK:DL,2,0))</f>
        <v>0</v>
      </c>
      <c r="AF28" s="691">
        <f>IF(Z28=0,,
IF(OR(リスト!$C$21="小麦",リスト!$C$21="二条大麦",リスト!$C$21="六条大麦",リスト!$C$21="はだか麦",リスト!$C$21="なたね"),IF(K28&lt;9,調査年-J28,調査年-J28-1),
IF(リスト!$C$21="さとうきび",IF(K28&gt;=4,調査年-J28,調査年-J28+1),
調査年-J28)))</f>
        <v>0</v>
      </c>
      <c r="AG28" s="693">
        <f t="shared" si="6"/>
        <v>0</v>
      </c>
      <c r="AH28" s="693">
        <f t="shared" si="7"/>
        <v>0</v>
      </c>
      <c r="AI28" s="693">
        <f t="shared" si="8"/>
        <v>0</v>
      </c>
      <c r="AJ28" s="693">
        <f t="shared" si="9"/>
        <v>0</v>
      </c>
      <c r="AK28" s="417"/>
      <c r="AL28" s="69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3">
        <f t="shared" si="10"/>
        <v>0</v>
      </c>
      <c r="AN28" s="693">
        <f t="shared" si="11"/>
        <v>0</v>
      </c>
      <c r="AO28" s="693">
        <f t="shared" si="12"/>
        <v>0</v>
      </c>
      <c r="AP28" s="69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3">
        <f t="shared" si="13"/>
        <v>0</v>
      </c>
      <c r="AR28" s="693">
        <f t="shared" si="14"/>
        <v>0</v>
      </c>
      <c r="AS28" s="693">
        <f t="shared" si="18"/>
        <v>0</v>
      </c>
      <c r="AT28" s="693">
        <f t="shared" si="19"/>
        <v>0</v>
      </c>
      <c r="AU28" s="693">
        <f t="shared" si="15"/>
        <v>0</v>
      </c>
      <c r="AV28" s="693">
        <f t="shared" si="16"/>
        <v>0</v>
      </c>
      <c r="AW28" s="742">
        <f t="shared" si="17"/>
        <v>0</v>
      </c>
      <c r="AX28" s="707"/>
      <c r="AY28" s="707"/>
    </row>
    <row r="29" spans="3:51" s="46" customFormat="1" ht="30.75" customHeight="1">
      <c r="C29" s="743">
        <v>12</v>
      </c>
      <c r="D29" s="708"/>
      <c r="E29" s="744"/>
      <c r="F29" s="745"/>
      <c r="G29" s="1963"/>
      <c r="H29" s="1964"/>
      <c r="I29" s="700"/>
      <c r="J29" s="746"/>
      <c r="K29" s="701"/>
      <c r="L29" s="702"/>
      <c r="M29" s="702"/>
      <c r="N29" s="702"/>
      <c r="O29" s="702"/>
      <c r="P29" s="702"/>
      <c r="Q29" s="702"/>
      <c r="R29" s="1074"/>
      <c r="S29" s="703"/>
      <c r="T29" s="747"/>
      <c r="U29" s="748"/>
      <c r="V29" s="738"/>
      <c r="W29" s="749"/>
      <c r="X29" s="750"/>
      <c r="Y29" s="51"/>
      <c r="Z29" s="691">
        <f t="shared" si="2"/>
        <v>0</v>
      </c>
      <c r="AA29" s="691">
        <f t="shared" si="3"/>
        <v>0</v>
      </c>
      <c r="AB29" s="691">
        <f t="shared" si="4"/>
        <v>0</v>
      </c>
      <c r="AC29" s="691">
        <f>IF(Z29=0,,VLOOKUP(Z29,リスト!DC:DD,2,0))</f>
        <v>0</v>
      </c>
      <c r="AD29" s="691">
        <f t="shared" si="5"/>
        <v>0</v>
      </c>
      <c r="AE29" s="692">
        <f>IF(AD29=0,,VLOOKUP(AD29,リスト!DK:DL,2,0))</f>
        <v>0</v>
      </c>
      <c r="AF29" s="691">
        <f>IF(Z29=0,,
IF(OR(リスト!$C$21="小麦",リスト!$C$21="二条大麦",リスト!$C$21="六条大麦",リスト!$C$21="はだか麦",リスト!$C$21="なたね"),IF(K29&lt;9,調査年-J29,調査年-J29-1),
IF(リスト!$C$21="さとうきび",IF(K29&gt;=4,調査年-J29,調査年-J29+1),
調査年-J29)))</f>
        <v>0</v>
      </c>
      <c r="AG29" s="693">
        <f t="shared" si="6"/>
        <v>0</v>
      </c>
      <c r="AH29" s="693">
        <f t="shared" si="7"/>
        <v>0</v>
      </c>
      <c r="AI29" s="693">
        <f t="shared" si="8"/>
        <v>0</v>
      </c>
      <c r="AJ29" s="693">
        <f t="shared" si="9"/>
        <v>0</v>
      </c>
      <c r="AK29" s="417"/>
      <c r="AL29" s="69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3">
        <f t="shared" si="10"/>
        <v>0</v>
      </c>
      <c r="AN29" s="693">
        <f t="shared" si="11"/>
        <v>0</v>
      </c>
      <c r="AO29" s="693">
        <f t="shared" si="12"/>
        <v>0</v>
      </c>
      <c r="AP29" s="69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3">
        <f t="shared" si="13"/>
        <v>0</v>
      </c>
      <c r="AR29" s="693">
        <f t="shared" si="14"/>
        <v>0</v>
      </c>
      <c r="AS29" s="693">
        <f t="shared" si="18"/>
        <v>0</v>
      </c>
      <c r="AT29" s="693">
        <f t="shared" si="19"/>
        <v>0</v>
      </c>
      <c r="AU29" s="693">
        <f t="shared" si="15"/>
        <v>0</v>
      </c>
      <c r="AV29" s="693">
        <f t="shared" si="16"/>
        <v>0</v>
      </c>
      <c r="AW29" s="742">
        <f t="shared" si="17"/>
        <v>0</v>
      </c>
      <c r="AX29" s="707"/>
      <c r="AY29" s="707"/>
    </row>
    <row r="30" spans="3:51" s="46" customFormat="1" ht="30.75" customHeight="1">
      <c r="C30" s="743">
        <v>13</v>
      </c>
      <c r="D30" s="708"/>
      <c r="E30" s="744"/>
      <c r="F30" s="745"/>
      <c r="G30" s="1963"/>
      <c r="H30" s="1964"/>
      <c r="I30" s="700"/>
      <c r="J30" s="746"/>
      <c r="K30" s="701"/>
      <c r="L30" s="702"/>
      <c r="M30" s="702"/>
      <c r="N30" s="702"/>
      <c r="O30" s="702"/>
      <c r="P30" s="702"/>
      <c r="Q30" s="702"/>
      <c r="R30" s="1074"/>
      <c r="S30" s="703"/>
      <c r="T30" s="747"/>
      <c r="U30" s="748"/>
      <c r="V30" s="738"/>
      <c r="W30" s="749"/>
      <c r="X30" s="750"/>
      <c r="Y30" s="51"/>
      <c r="Z30" s="691">
        <f t="shared" si="2"/>
        <v>0</v>
      </c>
      <c r="AA30" s="691">
        <f t="shared" si="3"/>
        <v>0</v>
      </c>
      <c r="AB30" s="691">
        <f t="shared" si="4"/>
        <v>0</v>
      </c>
      <c r="AC30" s="691">
        <f>IF(Z30=0,,VLOOKUP(Z30,リスト!DC:DD,2,0))</f>
        <v>0</v>
      </c>
      <c r="AD30" s="691">
        <f t="shared" si="5"/>
        <v>0</v>
      </c>
      <c r="AE30" s="692">
        <f>IF(AD30=0,,VLOOKUP(AD30,リスト!DK:DL,2,0))</f>
        <v>0</v>
      </c>
      <c r="AF30" s="691">
        <f>IF(Z30=0,,
IF(OR(リスト!$C$21="小麦",リスト!$C$21="二条大麦",リスト!$C$21="六条大麦",リスト!$C$21="はだか麦",リスト!$C$21="なたね"),IF(K30&lt;9,調査年-J30,調査年-J30-1),
IF(リスト!$C$21="さとうきび",IF(K30&gt;=4,調査年-J30,調査年-J30+1),
調査年-J30)))</f>
        <v>0</v>
      </c>
      <c r="AG30" s="693">
        <f t="shared" si="6"/>
        <v>0</v>
      </c>
      <c r="AH30" s="693">
        <f t="shared" si="7"/>
        <v>0</v>
      </c>
      <c r="AI30" s="693">
        <f t="shared" si="8"/>
        <v>0</v>
      </c>
      <c r="AJ30" s="693">
        <f t="shared" si="9"/>
        <v>0</v>
      </c>
      <c r="AK30" s="417"/>
      <c r="AL30" s="69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3">
        <f t="shared" si="10"/>
        <v>0</v>
      </c>
      <c r="AN30" s="693">
        <f t="shared" si="11"/>
        <v>0</v>
      </c>
      <c r="AO30" s="693">
        <f t="shared" si="12"/>
        <v>0</v>
      </c>
      <c r="AP30" s="69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3">
        <f t="shared" si="13"/>
        <v>0</v>
      </c>
      <c r="AR30" s="693">
        <f t="shared" si="14"/>
        <v>0</v>
      </c>
      <c r="AS30" s="693">
        <f t="shared" si="18"/>
        <v>0</v>
      </c>
      <c r="AT30" s="693">
        <f t="shared" si="19"/>
        <v>0</v>
      </c>
      <c r="AU30" s="693">
        <f t="shared" si="15"/>
        <v>0</v>
      </c>
      <c r="AV30" s="693">
        <f t="shared" si="16"/>
        <v>0</v>
      </c>
      <c r="AW30" s="742">
        <f t="shared" si="17"/>
        <v>0</v>
      </c>
      <c r="AX30" s="707"/>
      <c r="AY30" s="707"/>
    </row>
    <row r="31" spans="3:51" s="46" customFormat="1" ht="30.75" customHeight="1">
      <c r="C31" s="743">
        <v>14</v>
      </c>
      <c r="D31" s="708"/>
      <c r="E31" s="744"/>
      <c r="F31" s="745"/>
      <c r="G31" s="1963"/>
      <c r="H31" s="1964"/>
      <c r="I31" s="700"/>
      <c r="J31" s="746"/>
      <c r="K31" s="701"/>
      <c r="L31" s="702"/>
      <c r="M31" s="702"/>
      <c r="N31" s="702"/>
      <c r="O31" s="702"/>
      <c r="P31" s="702"/>
      <c r="Q31" s="702"/>
      <c r="R31" s="1074"/>
      <c r="S31" s="703"/>
      <c r="T31" s="747"/>
      <c r="U31" s="748"/>
      <c r="V31" s="738"/>
      <c r="W31" s="749"/>
      <c r="X31" s="750"/>
      <c r="Y31" s="51"/>
      <c r="Z31" s="691">
        <f t="shared" si="2"/>
        <v>0</v>
      </c>
      <c r="AA31" s="691">
        <f t="shared" si="3"/>
        <v>0</v>
      </c>
      <c r="AB31" s="691">
        <f t="shared" si="4"/>
        <v>0</v>
      </c>
      <c r="AC31" s="691">
        <f>IF(Z31=0,,VLOOKUP(Z31,リスト!DC:DD,2,0))</f>
        <v>0</v>
      </c>
      <c r="AD31" s="691">
        <f t="shared" si="5"/>
        <v>0</v>
      </c>
      <c r="AE31" s="692">
        <f>IF(AD31=0,,VLOOKUP(AD31,リスト!DK:DL,2,0))</f>
        <v>0</v>
      </c>
      <c r="AF31" s="691">
        <f>IF(Z31=0,,
IF(OR(リスト!$C$21="小麦",リスト!$C$21="二条大麦",リスト!$C$21="六条大麦",リスト!$C$21="はだか麦",リスト!$C$21="なたね"),IF(K31&lt;9,調査年-J31,調査年-J31-1),
IF(リスト!$C$21="さとうきび",IF(K31&gt;=4,調査年-J31,調査年-J31+1),
調査年-J31)))</f>
        <v>0</v>
      </c>
      <c r="AG31" s="693">
        <f t="shared" si="6"/>
        <v>0</v>
      </c>
      <c r="AH31" s="693">
        <f t="shared" si="7"/>
        <v>0</v>
      </c>
      <c r="AI31" s="693">
        <f t="shared" si="8"/>
        <v>0</v>
      </c>
      <c r="AJ31" s="693">
        <f t="shared" si="9"/>
        <v>0</v>
      </c>
      <c r="AK31" s="417"/>
      <c r="AL31" s="69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3">
        <f t="shared" si="10"/>
        <v>0</v>
      </c>
      <c r="AN31" s="693">
        <f t="shared" si="11"/>
        <v>0</v>
      </c>
      <c r="AO31" s="693">
        <f t="shared" si="12"/>
        <v>0</v>
      </c>
      <c r="AP31" s="69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3">
        <f t="shared" si="13"/>
        <v>0</v>
      </c>
      <c r="AR31" s="693">
        <f t="shared" si="14"/>
        <v>0</v>
      </c>
      <c r="AS31" s="693">
        <f t="shared" si="18"/>
        <v>0</v>
      </c>
      <c r="AT31" s="693">
        <f t="shared" si="19"/>
        <v>0</v>
      </c>
      <c r="AU31" s="693">
        <f t="shared" si="15"/>
        <v>0</v>
      </c>
      <c r="AV31" s="693">
        <f t="shared" si="16"/>
        <v>0</v>
      </c>
      <c r="AW31" s="742">
        <f t="shared" si="17"/>
        <v>0</v>
      </c>
      <c r="AX31" s="707"/>
      <c r="AY31" s="707"/>
    </row>
    <row r="32" spans="3:51" s="46" customFormat="1" ht="30.75" customHeight="1" collapsed="1" thickBot="1">
      <c r="C32" s="751">
        <v>15</v>
      </c>
      <c r="D32" s="708"/>
      <c r="E32" s="744"/>
      <c r="F32" s="745"/>
      <c r="G32" s="1963"/>
      <c r="H32" s="1964"/>
      <c r="I32" s="700"/>
      <c r="J32" s="746"/>
      <c r="K32" s="701"/>
      <c r="L32" s="702"/>
      <c r="M32" s="702"/>
      <c r="N32" s="702"/>
      <c r="O32" s="702"/>
      <c r="P32" s="702"/>
      <c r="Q32" s="702"/>
      <c r="R32" s="1074"/>
      <c r="S32" s="703"/>
      <c r="T32" s="747"/>
      <c r="U32" s="748"/>
      <c r="V32" s="738"/>
      <c r="W32" s="749"/>
      <c r="X32" s="750"/>
      <c r="Z32" s="691">
        <f t="shared" si="2"/>
        <v>0</v>
      </c>
      <c r="AA32" s="691">
        <f t="shared" si="3"/>
        <v>0</v>
      </c>
      <c r="AB32" s="691">
        <f t="shared" si="4"/>
        <v>0</v>
      </c>
      <c r="AC32" s="691">
        <f>IF(Z32=0,,VLOOKUP(Z32,リスト!DC:DD,2,0))</f>
        <v>0</v>
      </c>
      <c r="AD32" s="691">
        <f t="shared" si="5"/>
        <v>0</v>
      </c>
      <c r="AE32" s="692">
        <f>IF(AD32=0,,VLOOKUP(AD32,リスト!DK:DL,2,0))</f>
        <v>0</v>
      </c>
      <c r="AF32" s="691">
        <f>IF(Z32=0,,
IF(OR(リスト!$C$21="小麦",リスト!$C$21="二条大麦",リスト!$C$21="六条大麦",リスト!$C$21="はだか麦",リスト!$C$21="なたね"),IF(K32&lt;9,調査年-J32,調査年-J32-1),
IF(リスト!$C$21="さとうきび",IF(K32&gt;=4,調査年-J32,調査年-J32+1),
調査年-J32)))</f>
        <v>0</v>
      </c>
      <c r="AG32" s="693">
        <f t="shared" si="6"/>
        <v>0</v>
      </c>
      <c r="AH32" s="693">
        <f t="shared" si="7"/>
        <v>0</v>
      </c>
      <c r="AI32" s="693">
        <f t="shared" si="8"/>
        <v>0</v>
      </c>
      <c r="AJ32" s="693">
        <f t="shared" si="9"/>
        <v>0</v>
      </c>
      <c r="AK32" s="417"/>
      <c r="AL32" s="69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3">
        <f t="shared" si="10"/>
        <v>0</v>
      </c>
      <c r="AN32" s="693">
        <f t="shared" si="11"/>
        <v>0</v>
      </c>
      <c r="AO32" s="693">
        <f t="shared" si="12"/>
        <v>0</v>
      </c>
      <c r="AP32" s="69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3">
        <f t="shared" si="13"/>
        <v>0</v>
      </c>
      <c r="AR32" s="693">
        <f t="shared" si="14"/>
        <v>0</v>
      </c>
      <c r="AS32" s="693">
        <f t="shared" si="18"/>
        <v>0</v>
      </c>
      <c r="AT32" s="693">
        <f t="shared" si="19"/>
        <v>0</v>
      </c>
      <c r="AU32" s="693">
        <f t="shared" si="15"/>
        <v>0</v>
      </c>
      <c r="AV32" s="693">
        <f t="shared" si="16"/>
        <v>0</v>
      </c>
      <c r="AW32" s="742">
        <f t="shared" si="17"/>
        <v>0</v>
      </c>
      <c r="AX32" s="707"/>
      <c r="AY32" s="707"/>
    </row>
    <row r="33" spans="3:51" s="46" customFormat="1" ht="30.75" hidden="1" customHeight="1" outlineLevel="1">
      <c r="C33" s="743">
        <v>16</v>
      </c>
      <c r="D33" s="708"/>
      <c r="E33" s="744"/>
      <c r="F33" s="745"/>
      <c r="G33" s="1963"/>
      <c r="H33" s="1964"/>
      <c r="I33" s="700"/>
      <c r="J33" s="746"/>
      <c r="K33" s="701"/>
      <c r="L33" s="702"/>
      <c r="M33" s="702"/>
      <c r="N33" s="702"/>
      <c r="O33" s="702"/>
      <c r="P33" s="702"/>
      <c r="Q33" s="702"/>
      <c r="R33" s="1074"/>
      <c r="S33" s="703"/>
      <c r="T33" s="747"/>
      <c r="U33" s="748"/>
      <c r="V33" s="738"/>
      <c r="W33" s="749"/>
      <c r="X33" s="750"/>
      <c r="Z33" s="691">
        <f t="shared" si="2"/>
        <v>0</v>
      </c>
      <c r="AA33" s="691">
        <f t="shared" si="3"/>
        <v>0</v>
      </c>
      <c r="AB33" s="691">
        <f t="shared" si="4"/>
        <v>0</v>
      </c>
      <c r="AC33" s="691">
        <f>IF(Z33=0,,VLOOKUP(Z33,リスト!DC:DD,2,0))</f>
        <v>0</v>
      </c>
      <c r="AD33" s="691">
        <f t="shared" si="5"/>
        <v>0</v>
      </c>
      <c r="AE33" s="692">
        <f>IF(AD33=0,,VLOOKUP(AD33,リスト!DK:DL,2,0))</f>
        <v>0</v>
      </c>
      <c r="AF33" s="691">
        <f>IF(Z33=0,,
IF(OR(リスト!$C$21="小麦",リスト!$C$21="二条大麦",リスト!$C$21="六条大麦",リスト!$C$21="はだか麦",リスト!$C$21="なたね"),IF(K33&lt;9,調査年-J33,調査年-J33-1),
IF(リスト!$C$21="さとうきび",IF(K33&gt;=4,調査年-J33,調査年-J33+1),
調査年-J33)))</f>
        <v>0</v>
      </c>
      <c r="AG33" s="693">
        <f t="shared" si="6"/>
        <v>0</v>
      </c>
      <c r="AH33" s="693">
        <f t="shared" si="7"/>
        <v>0</v>
      </c>
      <c r="AI33" s="693">
        <f t="shared" si="8"/>
        <v>0</v>
      </c>
      <c r="AJ33" s="693">
        <f t="shared" si="9"/>
        <v>0</v>
      </c>
      <c r="AK33" s="417"/>
      <c r="AL33" s="69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3">
        <f t="shared" si="10"/>
        <v>0</v>
      </c>
      <c r="AN33" s="693">
        <f t="shared" si="11"/>
        <v>0</v>
      </c>
      <c r="AO33" s="693">
        <f t="shared" si="12"/>
        <v>0</v>
      </c>
      <c r="AP33" s="69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3">
        <f t="shared" si="13"/>
        <v>0</v>
      </c>
      <c r="AR33" s="693">
        <f t="shared" si="14"/>
        <v>0</v>
      </c>
      <c r="AS33" s="693">
        <f t="shared" si="18"/>
        <v>0</v>
      </c>
      <c r="AT33" s="693">
        <f t="shared" si="19"/>
        <v>0</v>
      </c>
      <c r="AU33" s="693">
        <f t="shared" si="15"/>
        <v>0</v>
      </c>
      <c r="AV33" s="693">
        <f t="shared" si="16"/>
        <v>0</v>
      </c>
      <c r="AW33" s="742">
        <f t="shared" si="17"/>
        <v>0</v>
      </c>
      <c r="AX33" s="707"/>
      <c r="AY33" s="707"/>
    </row>
    <row r="34" spans="3:51" s="46" customFormat="1" ht="30.75" hidden="1" customHeight="1" outlineLevel="1">
      <c r="C34" s="743">
        <v>17</v>
      </c>
      <c r="D34" s="708"/>
      <c r="E34" s="744"/>
      <c r="F34" s="745"/>
      <c r="G34" s="1963"/>
      <c r="H34" s="1964"/>
      <c r="I34" s="700"/>
      <c r="J34" s="746"/>
      <c r="K34" s="701"/>
      <c r="L34" s="702"/>
      <c r="M34" s="702"/>
      <c r="N34" s="702"/>
      <c r="O34" s="702"/>
      <c r="P34" s="702"/>
      <c r="Q34" s="702"/>
      <c r="R34" s="1074"/>
      <c r="S34" s="703"/>
      <c r="T34" s="747"/>
      <c r="U34" s="748"/>
      <c r="V34" s="738"/>
      <c r="W34" s="749"/>
      <c r="X34" s="750"/>
      <c r="Z34" s="691">
        <f t="shared" si="2"/>
        <v>0</v>
      </c>
      <c r="AA34" s="691">
        <f t="shared" si="3"/>
        <v>0</v>
      </c>
      <c r="AB34" s="691">
        <f t="shared" si="4"/>
        <v>0</v>
      </c>
      <c r="AC34" s="691">
        <f>IF(Z34=0,,VLOOKUP(Z34,リスト!DC:DD,2,0))</f>
        <v>0</v>
      </c>
      <c r="AD34" s="691">
        <f t="shared" si="5"/>
        <v>0</v>
      </c>
      <c r="AE34" s="692">
        <f>IF(AD34=0,,VLOOKUP(AD34,リスト!DK:DL,2,0))</f>
        <v>0</v>
      </c>
      <c r="AF34" s="691">
        <f>IF(Z34=0,,
IF(OR(リスト!$C$21="小麦",リスト!$C$21="二条大麦",リスト!$C$21="六条大麦",リスト!$C$21="はだか麦",リスト!$C$21="なたね"),IF(K34&lt;9,調査年-J34,調査年-J34-1),
IF(リスト!$C$21="さとうきび",IF(K34&gt;=4,調査年-J34,調査年-J34+1),
調査年-J34)))</f>
        <v>0</v>
      </c>
      <c r="AG34" s="693">
        <f t="shared" si="6"/>
        <v>0</v>
      </c>
      <c r="AH34" s="693">
        <f t="shared" si="7"/>
        <v>0</v>
      </c>
      <c r="AI34" s="693">
        <f t="shared" si="8"/>
        <v>0</v>
      </c>
      <c r="AJ34" s="693">
        <f t="shared" si="9"/>
        <v>0</v>
      </c>
      <c r="AK34" s="417"/>
      <c r="AL34" s="69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3">
        <f t="shared" si="10"/>
        <v>0</v>
      </c>
      <c r="AN34" s="693">
        <f t="shared" si="11"/>
        <v>0</v>
      </c>
      <c r="AO34" s="693">
        <f t="shared" si="12"/>
        <v>0</v>
      </c>
      <c r="AP34" s="69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3">
        <f t="shared" si="13"/>
        <v>0</v>
      </c>
      <c r="AR34" s="693">
        <f t="shared" si="14"/>
        <v>0</v>
      </c>
      <c r="AS34" s="693">
        <f t="shared" si="18"/>
        <v>0</v>
      </c>
      <c r="AT34" s="693">
        <f t="shared" si="19"/>
        <v>0</v>
      </c>
      <c r="AU34" s="693">
        <f t="shared" si="15"/>
        <v>0</v>
      </c>
      <c r="AV34" s="693">
        <f t="shared" si="16"/>
        <v>0</v>
      </c>
      <c r="AW34" s="742">
        <f t="shared" si="17"/>
        <v>0</v>
      </c>
      <c r="AX34" s="707"/>
      <c r="AY34" s="707"/>
    </row>
    <row r="35" spans="3:51" s="46" customFormat="1" ht="30.75" hidden="1" customHeight="1" outlineLevel="1">
      <c r="C35" s="743">
        <v>18</v>
      </c>
      <c r="D35" s="708"/>
      <c r="E35" s="744"/>
      <c r="F35" s="745"/>
      <c r="G35" s="1963"/>
      <c r="H35" s="1964"/>
      <c r="I35" s="700"/>
      <c r="J35" s="746"/>
      <c r="K35" s="701"/>
      <c r="L35" s="702"/>
      <c r="M35" s="702"/>
      <c r="N35" s="702"/>
      <c r="O35" s="702"/>
      <c r="P35" s="702"/>
      <c r="Q35" s="702"/>
      <c r="R35" s="1074"/>
      <c r="S35" s="703"/>
      <c r="T35" s="747"/>
      <c r="U35" s="748"/>
      <c r="V35" s="738"/>
      <c r="W35" s="749"/>
      <c r="X35" s="750"/>
      <c r="Z35" s="691">
        <f t="shared" si="2"/>
        <v>0</v>
      </c>
      <c r="AA35" s="691">
        <f t="shared" si="3"/>
        <v>0</v>
      </c>
      <c r="AB35" s="691">
        <f t="shared" si="4"/>
        <v>0</v>
      </c>
      <c r="AC35" s="691">
        <f>IF(Z35=0,,VLOOKUP(Z35,リスト!DC:DD,2,0))</f>
        <v>0</v>
      </c>
      <c r="AD35" s="691">
        <f t="shared" si="5"/>
        <v>0</v>
      </c>
      <c r="AE35" s="692">
        <f>IF(AD35=0,,VLOOKUP(AD35,リスト!DK:DL,2,0))</f>
        <v>0</v>
      </c>
      <c r="AF35" s="691">
        <f>IF(Z35=0,,
IF(OR(リスト!$C$21="小麦",リスト!$C$21="二条大麦",リスト!$C$21="六条大麦",リスト!$C$21="はだか麦",リスト!$C$21="なたね"),IF(K35&lt;9,調査年-J35,調査年-J35-1),
IF(リスト!$C$21="さとうきび",IF(K35&gt;=4,調査年-J35,調査年-J35+1),
調査年-J35)))</f>
        <v>0</v>
      </c>
      <c r="AG35" s="693">
        <f t="shared" si="6"/>
        <v>0</v>
      </c>
      <c r="AH35" s="693">
        <f t="shared" si="7"/>
        <v>0</v>
      </c>
      <c r="AI35" s="693">
        <f t="shared" si="8"/>
        <v>0</v>
      </c>
      <c r="AJ35" s="693">
        <f t="shared" si="9"/>
        <v>0</v>
      </c>
      <c r="AK35" s="417"/>
      <c r="AL35" s="69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3">
        <f t="shared" si="10"/>
        <v>0</v>
      </c>
      <c r="AN35" s="693">
        <f t="shared" si="11"/>
        <v>0</v>
      </c>
      <c r="AO35" s="693">
        <f t="shared" si="12"/>
        <v>0</v>
      </c>
      <c r="AP35" s="69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3">
        <f t="shared" si="13"/>
        <v>0</v>
      </c>
      <c r="AR35" s="693">
        <f t="shared" si="14"/>
        <v>0</v>
      </c>
      <c r="AS35" s="693">
        <f t="shared" si="18"/>
        <v>0</v>
      </c>
      <c r="AT35" s="693">
        <f t="shared" si="19"/>
        <v>0</v>
      </c>
      <c r="AU35" s="693">
        <f t="shared" si="15"/>
        <v>0</v>
      </c>
      <c r="AV35" s="693">
        <f t="shared" si="16"/>
        <v>0</v>
      </c>
      <c r="AW35" s="742">
        <f t="shared" si="17"/>
        <v>0</v>
      </c>
      <c r="AX35" s="707"/>
      <c r="AY35" s="707"/>
    </row>
    <row r="36" spans="3:51" s="46" customFormat="1" ht="30.75" hidden="1" customHeight="1" outlineLevel="1">
      <c r="C36" s="743">
        <v>19</v>
      </c>
      <c r="D36" s="708"/>
      <c r="E36" s="744"/>
      <c r="F36" s="745"/>
      <c r="G36" s="1963"/>
      <c r="H36" s="1964"/>
      <c r="I36" s="700"/>
      <c r="J36" s="746"/>
      <c r="K36" s="701"/>
      <c r="L36" s="702"/>
      <c r="M36" s="702"/>
      <c r="N36" s="702"/>
      <c r="O36" s="702"/>
      <c r="P36" s="702"/>
      <c r="Q36" s="702"/>
      <c r="R36" s="1074"/>
      <c r="S36" s="703"/>
      <c r="T36" s="747"/>
      <c r="U36" s="748"/>
      <c r="V36" s="738"/>
      <c r="W36" s="749"/>
      <c r="X36" s="750"/>
      <c r="Z36" s="691">
        <f t="shared" si="2"/>
        <v>0</v>
      </c>
      <c r="AA36" s="691">
        <f t="shared" si="3"/>
        <v>0</v>
      </c>
      <c r="AB36" s="691">
        <f t="shared" si="4"/>
        <v>0</v>
      </c>
      <c r="AC36" s="691">
        <f>IF(Z36=0,,VLOOKUP(Z36,リスト!DC:DD,2,0))</f>
        <v>0</v>
      </c>
      <c r="AD36" s="691">
        <f t="shared" si="5"/>
        <v>0</v>
      </c>
      <c r="AE36" s="692">
        <f>IF(AD36=0,,VLOOKUP(AD36,リスト!DK:DL,2,0))</f>
        <v>0</v>
      </c>
      <c r="AF36" s="691">
        <f>IF(Z36=0,,
IF(OR(リスト!$C$21="小麦",リスト!$C$21="二条大麦",リスト!$C$21="六条大麦",リスト!$C$21="はだか麦",リスト!$C$21="なたね"),IF(K36&lt;9,調査年-J36,調査年-J36-1),
IF(リスト!$C$21="さとうきび",IF(K36&gt;=4,調査年-J36,調査年-J36+1),
調査年-J36)))</f>
        <v>0</v>
      </c>
      <c r="AG36" s="693">
        <f t="shared" si="6"/>
        <v>0</v>
      </c>
      <c r="AH36" s="693">
        <f t="shared" si="7"/>
        <v>0</v>
      </c>
      <c r="AI36" s="693">
        <f t="shared" si="8"/>
        <v>0</v>
      </c>
      <c r="AJ36" s="693">
        <f t="shared" si="9"/>
        <v>0</v>
      </c>
      <c r="AK36" s="417"/>
      <c r="AL36" s="69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3">
        <f t="shared" si="10"/>
        <v>0</v>
      </c>
      <c r="AN36" s="693">
        <f t="shared" si="11"/>
        <v>0</v>
      </c>
      <c r="AO36" s="693">
        <f t="shared" si="12"/>
        <v>0</v>
      </c>
      <c r="AP36" s="69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3">
        <f t="shared" si="13"/>
        <v>0</v>
      </c>
      <c r="AR36" s="693">
        <f t="shared" si="14"/>
        <v>0</v>
      </c>
      <c r="AS36" s="693">
        <f t="shared" si="18"/>
        <v>0</v>
      </c>
      <c r="AT36" s="693">
        <f t="shared" si="19"/>
        <v>0</v>
      </c>
      <c r="AU36" s="693">
        <f t="shared" si="15"/>
        <v>0</v>
      </c>
      <c r="AV36" s="693">
        <f t="shared" si="16"/>
        <v>0</v>
      </c>
      <c r="AW36" s="742">
        <f t="shared" si="17"/>
        <v>0</v>
      </c>
      <c r="AX36" s="707"/>
      <c r="AY36" s="707"/>
    </row>
    <row r="37" spans="3:51" s="46" customFormat="1" ht="30.75" hidden="1" customHeight="1" outlineLevel="1">
      <c r="C37" s="743">
        <v>20</v>
      </c>
      <c r="D37" s="708"/>
      <c r="E37" s="744"/>
      <c r="F37" s="745"/>
      <c r="G37" s="1963"/>
      <c r="H37" s="1964"/>
      <c r="I37" s="700"/>
      <c r="J37" s="746"/>
      <c r="K37" s="701"/>
      <c r="L37" s="702"/>
      <c r="M37" s="702"/>
      <c r="N37" s="702"/>
      <c r="O37" s="702"/>
      <c r="P37" s="702"/>
      <c r="Q37" s="702"/>
      <c r="R37" s="1074"/>
      <c r="S37" s="703"/>
      <c r="T37" s="747"/>
      <c r="U37" s="748"/>
      <c r="V37" s="738"/>
      <c r="W37" s="749"/>
      <c r="X37" s="750"/>
      <c r="Z37" s="691">
        <f t="shared" si="2"/>
        <v>0</v>
      </c>
      <c r="AA37" s="691">
        <f t="shared" si="3"/>
        <v>0</v>
      </c>
      <c r="AB37" s="691">
        <f t="shared" si="4"/>
        <v>0</v>
      </c>
      <c r="AC37" s="691">
        <f>IF(Z37=0,,VLOOKUP(Z37,リスト!DC:DD,2,0))</f>
        <v>0</v>
      </c>
      <c r="AD37" s="691">
        <f t="shared" si="5"/>
        <v>0</v>
      </c>
      <c r="AE37" s="692">
        <f>IF(AD37=0,,VLOOKUP(AD37,リスト!DK:DL,2,0))</f>
        <v>0</v>
      </c>
      <c r="AF37" s="691">
        <f>IF(Z37=0,,
IF(OR(リスト!$C$21="小麦",リスト!$C$21="二条大麦",リスト!$C$21="六条大麦",リスト!$C$21="はだか麦",リスト!$C$21="なたね"),IF(K37&lt;9,調査年-J37,調査年-J37-1),
IF(リスト!$C$21="さとうきび",IF(K37&gt;=4,調査年-J37,調査年-J37+1),
調査年-J37)))</f>
        <v>0</v>
      </c>
      <c r="AG37" s="693">
        <f t="shared" si="6"/>
        <v>0</v>
      </c>
      <c r="AH37" s="693">
        <f t="shared" si="7"/>
        <v>0</v>
      </c>
      <c r="AI37" s="693">
        <f t="shared" si="8"/>
        <v>0</v>
      </c>
      <c r="AJ37" s="693">
        <f t="shared" si="9"/>
        <v>0</v>
      </c>
      <c r="AK37" s="417"/>
      <c r="AL37" s="69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3">
        <f t="shared" si="10"/>
        <v>0</v>
      </c>
      <c r="AN37" s="693">
        <f t="shared" si="11"/>
        <v>0</v>
      </c>
      <c r="AO37" s="693">
        <f t="shared" si="12"/>
        <v>0</v>
      </c>
      <c r="AP37" s="69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3">
        <f t="shared" si="13"/>
        <v>0</v>
      </c>
      <c r="AR37" s="693">
        <f t="shared" si="14"/>
        <v>0</v>
      </c>
      <c r="AS37" s="693">
        <f t="shared" si="18"/>
        <v>0</v>
      </c>
      <c r="AT37" s="693">
        <f t="shared" si="19"/>
        <v>0</v>
      </c>
      <c r="AU37" s="693">
        <f t="shared" si="15"/>
        <v>0</v>
      </c>
      <c r="AV37" s="693">
        <f t="shared" si="16"/>
        <v>0</v>
      </c>
      <c r="AW37" s="742">
        <f t="shared" si="17"/>
        <v>0</v>
      </c>
      <c r="AX37" s="707"/>
      <c r="AY37" s="707"/>
    </row>
    <row r="38" spans="3:51" s="46" customFormat="1" ht="30.75" hidden="1" customHeight="1" outlineLevel="1">
      <c r="C38" s="743">
        <v>21</v>
      </c>
      <c r="D38" s="708"/>
      <c r="E38" s="744"/>
      <c r="F38" s="745"/>
      <c r="G38" s="1963"/>
      <c r="H38" s="1964"/>
      <c r="I38" s="700"/>
      <c r="J38" s="746"/>
      <c r="K38" s="701"/>
      <c r="L38" s="702"/>
      <c r="M38" s="702"/>
      <c r="N38" s="702"/>
      <c r="O38" s="702"/>
      <c r="P38" s="702"/>
      <c r="Q38" s="702"/>
      <c r="R38" s="1074"/>
      <c r="S38" s="703"/>
      <c r="T38" s="747"/>
      <c r="U38" s="748"/>
      <c r="V38" s="738"/>
      <c r="W38" s="749"/>
      <c r="X38" s="750"/>
      <c r="Z38" s="691">
        <f t="shared" si="2"/>
        <v>0</v>
      </c>
      <c r="AA38" s="691">
        <f t="shared" si="3"/>
        <v>0</v>
      </c>
      <c r="AB38" s="691">
        <f t="shared" si="4"/>
        <v>0</v>
      </c>
      <c r="AC38" s="691">
        <f>IF(Z38=0,,VLOOKUP(Z38,リスト!DC:DD,2,0))</f>
        <v>0</v>
      </c>
      <c r="AD38" s="691">
        <f t="shared" si="5"/>
        <v>0</v>
      </c>
      <c r="AE38" s="692">
        <f>IF(AD38=0,,VLOOKUP(AD38,リスト!DK:DL,2,0))</f>
        <v>0</v>
      </c>
      <c r="AF38" s="691">
        <f>IF(Z38=0,,
IF(OR(リスト!$C$21="小麦",リスト!$C$21="二条大麦",リスト!$C$21="六条大麦",リスト!$C$21="はだか麦",リスト!$C$21="なたね"),IF(K38&lt;9,調査年-J38,調査年-J38-1),
IF(リスト!$C$21="さとうきび",IF(K38&gt;=4,調査年-J38,調査年-J38+1),
調査年-J38)))</f>
        <v>0</v>
      </c>
      <c r="AG38" s="693">
        <f t="shared" si="6"/>
        <v>0</v>
      </c>
      <c r="AH38" s="693">
        <f t="shared" si="7"/>
        <v>0</v>
      </c>
      <c r="AI38" s="693">
        <f t="shared" si="8"/>
        <v>0</v>
      </c>
      <c r="AJ38" s="693">
        <f t="shared" si="9"/>
        <v>0</v>
      </c>
      <c r="AK38" s="417"/>
      <c r="AL38" s="69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3">
        <f t="shared" si="10"/>
        <v>0</v>
      </c>
      <c r="AN38" s="693">
        <f t="shared" si="11"/>
        <v>0</v>
      </c>
      <c r="AO38" s="693">
        <f t="shared" si="12"/>
        <v>0</v>
      </c>
      <c r="AP38" s="69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3">
        <f t="shared" si="13"/>
        <v>0</v>
      </c>
      <c r="AR38" s="693">
        <f t="shared" si="14"/>
        <v>0</v>
      </c>
      <c r="AS38" s="693">
        <f t="shared" si="18"/>
        <v>0</v>
      </c>
      <c r="AT38" s="693">
        <f t="shared" si="19"/>
        <v>0</v>
      </c>
      <c r="AU38" s="693">
        <f t="shared" si="15"/>
        <v>0</v>
      </c>
      <c r="AV38" s="693">
        <f t="shared" si="16"/>
        <v>0</v>
      </c>
      <c r="AW38" s="742">
        <f t="shared" si="17"/>
        <v>0</v>
      </c>
      <c r="AX38" s="707"/>
      <c r="AY38" s="707"/>
    </row>
    <row r="39" spans="3:51" s="46" customFormat="1" ht="30.75" hidden="1" customHeight="1" outlineLevel="1">
      <c r="C39" s="743">
        <v>22</v>
      </c>
      <c r="D39" s="708"/>
      <c r="E39" s="744"/>
      <c r="F39" s="745"/>
      <c r="G39" s="1963"/>
      <c r="H39" s="1964"/>
      <c r="I39" s="700"/>
      <c r="J39" s="746"/>
      <c r="K39" s="701"/>
      <c r="L39" s="702"/>
      <c r="M39" s="702"/>
      <c r="N39" s="702"/>
      <c r="O39" s="702"/>
      <c r="P39" s="702"/>
      <c r="Q39" s="702"/>
      <c r="R39" s="1074"/>
      <c r="S39" s="703"/>
      <c r="T39" s="747"/>
      <c r="U39" s="748"/>
      <c r="V39" s="738"/>
      <c r="W39" s="749"/>
      <c r="X39" s="750"/>
      <c r="Z39" s="691">
        <f t="shared" si="2"/>
        <v>0</v>
      </c>
      <c r="AA39" s="691">
        <f t="shared" si="3"/>
        <v>0</v>
      </c>
      <c r="AB39" s="691">
        <f t="shared" si="4"/>
        <v>0</v>
      </c>
      <c r="AC39" s="691">
        <f>IF(Z39=0,,VLOOKUP(Z39,リスト!DC:DD,2,0))</f>
        <v>0</v>
      </c>
      <c r="AD39" s="691">
        <f t="shared" si="5"/>
        <v>0</v>
      </c>
      <c r="AE39" s="692">
        <f>IF(AD39=0,,VLOOKUP(AD39,リスト!DK:DL,2,0))</f>
        <v>0</v>
      </c>
      <c r="AF39" s="691">
        <f>IF(Z39=0,,
IF(OR(リスト!$C$21="小麦",リスト!$C$21="二条大麦",リスト!$C$21="六条大麦",リスト!$C$21="はだか麦",リスト!$C$21="なたね"),IF(K39&lt;9,調査年-J39,調査年-J39-1),
IF(リスト!$C$21="さとうきび",IF(K39&gt;=4,調査年-J39,調査年-J39+1),
調査年-J39)))</f>
        <v>0</v>
      </c>
      <c r="AG39" s="693">
        <f t="shared" si="6"/>
        <v>0</v>
      </c>
      <c r="AH39" s="693">
        <f t="shared" si="7"/>
        <v>0</v>
      </c>
      <c r="AI39" s="693">
        <f t="shared" si="8"/>
        <v>0</v>
      </c>
      <c r="AJ39" s="693">
        <f t="shared" si="9"/>
        <v>0</v>
      </c>
      <c r="AK39" s="417"/>
      <c r="AL39" s="69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3">
        <f t="shared" si="10"/>
        <v>0</v>
      </c>
      <c r="AN39" s="693">
        <f t="shared" si="11"/>
        <v>0</v>
      </c>
      <c r="AO39" s="693">
        <f t="shared" si="12"/>
        <v>0</v>
      </c>
      <c r="AP39" s="69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3">
        <f t="shared" si="13"/>
        <v>0</v>
      </c>
      <c r="AR39" s="693">
        <f t="shared" si="14"/>
        <v>0</v>
      </c>
      <c r="AS39" s="693">
        <f t="shared" si="18"/>
        <v>0</v>
      </c>
      <c r="AT39" s="693">
        <f t="shared" si="19"/>
        <v>0</v>
      </c>
      <c r="AU39" s="693">
        <f t="shared" si="15"/>
        <v>0</v>
      </c>
      <c r="AV39" s="693">
        <f t="shared" si="16"/>
        <v>0</v>
      </c>
      <c r="AW39" s="742">
        <f t="shared" si="17"/>
        <v>0</v>
      </c>
      <c r="AX39" s="707"/>
      <c r="AY39" s="707"/>
    </row>
    <row r="40" spans="3:51" s="46" customFormat="1" ht="30.75" hidden="1" customHeight="1" outlineLevel="1">
      <c r="C40" s="743">
        <v>23</v>
      </c>
      <c r="D40" s="708"/>
      <c r="E40" s="744"/>
      <c r="F40" s="745"/>
      <c r="G40" s="1963"/>
      <c r="H40" s="1964"/>
      <c r="I40" s="700"/>
      <c r="J40" s="746"/>
      <c r="K40" s="701"/>
      <c r="L40" s="702"/>
      <c r="M40" s="702"/>
      <c r="N40" s="702"/>
      <c r="O40" s="702"/>
      <c r="P40" s="702"/>
      <c r="Q40" s="702"/>
      <c r="R40" s="1074"/>
      <c r="S40" s="703"/>
      <c r="T40" s="747"/>
      <c r="U40" s="748"/>
      <c r="V40" s="738"/>
      <c r="W40" s="749"/>
      <c r="X40" s="750"/>
      <c r="Z40" s="691">
        <f t="shared" si="2"/>
        <v>0</v>
      </c>
      <c r="AA40" s="691">
        <f t="shared" si="3"/>
        <v>0</v>
      </c>
      <c r="AB40" s="691">
        <f t="shared" si="4"/>
        <v>0</v>
      </c>
      <c r="AC40" s="691">
        <f>IF(Z40=0,,VLOOKUP(Z40,リスト!DC:DD,2,0))</f>
        <v>0</v>
      </c>
      <c r="AD40" s="691">
        <f t="shared" si="5"/>
        <v>0</v>
      </c>
      <c r="AE40" s="692">
        <f>IF(AD40=0,,VLOOKUP(AD40,リスト!DK:DL,2,0))</f>
        <v>0</v>
      </c>
      <c r="AF40" s="691">
        <f>IF(Z40=0,,
IF(OR(リスト!$C$21="小麦",リスト!$C$21="二条大麦",リスト!$C$21="六条大麦",リスト!$C$21="はだか麦",リスト!$C$21="なたね"),IF(K40&lt;9,調査年-J40,調査年-J40-1),
IF(リスト!$C$21="さとうきび",IF(K40&gt;=4,調査年-J40,調査年-J40+1),
調査年-J40)))</f>
        <v>0</v>
      </c>
      <c r="AG40" s="693">
        <f t="shared" si="6"/>
        <v>0</v>
      </c>
      <c r="AH40" s="693">
        <f t="shared" si="7"/>
        <v>0</v>
      </c>
      <c r="AI40" s="693">
        <f t="shared" si="8"/>
        <v>0</v>
      </c>
      <c r="AJ40" s="693">
        <f t="shared" si="9"/>
        <v>0</v>
      </c>
      <c r="AK40" s="417"/>
      <c r="AL40" s="69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3">
        <f t="shared" si="10"/>
        <v>0</v>
      </c>
      <c r="AN40" s="693">
        <f t="shared" si="11"/>
        <v>0</v>
      </c>
      <c r="AO40" s="693">
        <f t="shared" si="12"/>
        <v>0</v>
      </c>
      <c r="AP40" s="69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3">
        <f t="shared" si="13"/>
        <v>0</v>
      </c>
      <c r="AR40" s="693">
        <f t="shared" si="14"/>
        <v>0</v>
      </c>
      <c r="AS40" s="693">
        <f t="shared" si="18"/>
        <v>0</v>
      </c>
      <c r="AT40" s="693">
        <f t="shared" si="19"/>
        <v>0</v>
      </c>
      <c r="AU40" s="693">
        <f t="shared" si="15"/>
        <v>0</v>
      </c>
      <c r="AV40" s="693">
        <f t="shared" si="16"/>
        <v>0</v>
      </c>
      <c r="AW40" s="742">
        <f t="shared" si="17"/>
        <v>0</v>
      </c>
      <c r="AX40" s="707"/>
      <c r="AY40" s="707"/>
    </row>
    <row r="41" spans="3:51" s="46" customFormat="1" ht="30.75" hidden="1" customHeight="1" outlineLevel="1">
      <c r="C41" s="743">
        <v>24</v>
      </c>
      <c r="D41" s="708"/>
      <c r="E41" s="744"/>
      <c r="F41" s="745"/>
      <c r="G41" s="1963"/>
      <c r="H41" s="1964"/>
      <c r="I41" s="700"/>
      <c r="J41" s="746"/>
      <c r="K41" s="701"/>
      <c r="L41" s="702"/>
      <c r="M41" s="702"/>
      <c r="N41" s="702"/>
      <c r="O41" s="702"/>
      <c r="P41" s="702"/>
      <c r="Q41" s="702"/>
      <c r="R41" s="1074"/>
      <c r="S41" s="703"/>
      <c r="T41" s="747"/>
      <c r="U41" s="748"/>
      <c r="V41" s="738"/>
      <c r="W41" s="749"/>
      <c r="X41" s="750"/>
      <c r="Z41" s="691">
        <f t="shared" si="2"/>
        <v>0</v>
      </c>
      <c r="AA41" s="691">
        <f t="shared" si="3"/>
        <v>0</v>
      </c>
      <c r="AB41" s="691">
        <f t="shared" si="4"/>
        <v>0</v>
      </c>
      <c r="AC41" s="691">
        <f>IF(Z41=0,,VLOOKUP(Z41,リスト!DC:DD,2,0))</f>
        <v>0</v>
      </c>
      <c r="AD41" s="691">
        <f t="shared" si="5"/>
        <v>0</v>
      </c>
      <c r="AE41" s="692">
        <f>IF(AD41=0,,VLOOKUP(AD41,リスト!DK:DL,2,0))</f>
        <v>0</v>
      </c>
      <c r="AF41" s="691">
        <f>IF(Z41=0,,
IF(OR(リスト!$C$21="小麦",リスト!$C$21="二条大麦",リスト!$C$21="六条大麦",リスト!$C$21="はだか麦",リスト!$C$21="なたね"),IF(K41&lt;9,調査年-J41,調査年-J41-1),
IF(リスト!$C$21="さとうきび",IF(K41&gt;=4,調査年-J41,調査年-J41+1),
調査年-J41)))</f>
        <v>0</v>
      </c>
      <c r="AG41" s="693">
        <f t="shared" si="6"/>
        <v>0</v>
      </c>
      <c r="AH41" s="693">
        <f t="shared" si="7"/>
        <v>0</v>
      </c>
      <c r="AI41" s="693">
        <f t="shared" si="8"/>
        <v>0</v>
      </c>
      <c r="AJ41" s="693">
        <f t="shared" si="9"/>
        <v>0</v>
      </c>
      <c r="AK41" s="417"/>
      <c r="AL41" s="69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3">
        <f t="shared" si="10"/>
        <v>0</v>
      </c>
      <c r="AN41" s="693">
        <f t="shared" si="11"/>
        <v>0</v>
      </c>
      <c r="AO41" s="693">
        <f t="shared" si="12"/>
        <v>0</v>
      </c>
      <c r="AP41" s="69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3">
        <f t="shared" si="13"/>
        <v>0</v>
      </c>
      <c r="AR41" s="693">
        <f t="shared" si="14"/>
        <v>0</v>
      </c>
      <c r="AS41" s="693">
        <f t="shared" si="18"/>
        <v>0</v>
      </c>
      <c r="AT41" s="693">
        <f t="shared" si="19"/>
        <v>0</v>
      </c>
      <c r="AU41" s="693">
        <f t="shared" si="15"/>
        <v>0</v>
      </c>
      <c r="AV41" s="693">
        <f t="shared" si="16"/>
        <v>0</v>
      </c>
      <c r="AW41" s="742">
        <f t="shared" si="17"/>
        <v>0</v>
      </c>
      <c r="AX41" s="707"/>
      <c r="AY41" s="707"/>
    </row>
    <row r="42" spans="3:51" s="46" customFormat="1" ht="30.75" hidden="1" customHeight="1" outlineLevel="1">
      <c r="C42" s="743">
        <v>25</v>
      </c>
      <c r="D42" s="708"/>
      <c r="E42" s="744"/>
      <c r="F42" s="745"/>
      <c r="G42" s="1963"/>
      <c r="H42" s="1964"/>
      <c r="I42" s="700"/>
      <c r="J42" s="746"/>
      <c r="K42" s="701"/>
      <c r="L42" s="702"/>
      <c r="M42" s="702"/>
      <c r="N42" s="702"/>
      <c r="O42" s="702"/>
      <c r="P42" s="702"/>
      <c r="Q42" s="702"/>
      <c r="R42" s="1074"/>
      <c r="S42" s="703"/>
      <c r="T42" s="747"/>
      <c r="U42" s="748"/>
      <c r="V42" s="738"/>
      <c r="W42" s="749"/>
      <c r="X42" s="750"/>
      <c r="Z42" s="691">
        <f t="shared" si="2"/>
        <v>0</v>
      </c>
      <c r="AA42" s="691">
        <f t="shared" si="3"/>
        <v>0</v>
      </c>
      <c r="AB42" s="691">
        <f t="shared" si="4"/>
        <v>0</v>
      </c>
      <c r="AC42" s="691">
        <f>IF(Z42=0,,VLOOKUP(Z42,リスト!DC:DD,2,0))</f>
        <v>0</v>
      </c>
      <c r="AD42" s="691">
        <f t="shared" si="5"/>
        <v>0</v>
      </c>
      <c r="AE42" s="692">
        <f>IF(AD42=0,,VLOOKUP(AD42,リスト!DK:DL,2,0))</f>
        <v>0</v>
      </c>
      <c r="AF42" s="691">
        <f>IF(Z42=0,,
IF(OR(リスト!$C$21="小麦",リスト!$C$21="二条大麦",リスト!$C$21="六条大麦",リスト!$C$21="はだか麦",リスト!$C$21="なたね"),IF(K42&lt;9,調査年-J42,調査年-J42-1),
IF(リスト!$C$21="さとうきび",IF(K42&gt;=4,調査年-J42,調査年-J42+1),
調査年-J42)))</f>
        <v>0</v>
      </c>
      <c r="AG42" s="693">
        <f t="shared" si="6"/>
        <v>0</v>
      </c>
      <c r="AH42" s="693">
        <f t="shared" si="7"/>
        <v>0</v>
      </c>
      <c r="AI42" s="693">
        <f t="shared" si="8"/>
        <v>0</v>
      </c>
      <c r="AJ42" s="693">
        <f t="shared" si="9"/>
        <v>0</v>
      </c>
      <c r="AK42" s="417"/>
      <c r="AL42" s="69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3">
        <f t="shared" si="10"/>
        <v>0</v>
      </c>
      <c r="AN42" s="693">
        <f t="shared" si="11"/>
        <v>0</v>
      </c>
      <c r="AO42" s="693">
        <f t="shared" si="12"/>
        <v>0</v>
      </c>
      <c r="AP42" s="69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3">
        <f t="shared" si="13"/>
        <v>0</v>
      </c>
      <c r="AR42" s="693">
        <f t="shared" si="14"/>
        <v>0</v>
      </c>
      <c r="AS42" s="693">
        <f t="shared" si="18"/>
        <v>0</v>
      </c>
      <c r="AT42" s="693">
        <f t="shared" si="19"/>
        <v>0</v>
      </c>
      <c r="AU42" s="693">
        <f t="shared" si="15"/>
        <v>0</v>
      </c>
      <c r="AV42" s="693">
        <f t="shared" si="16"/>
        <v>0</v>
      </c>
      <c r="AW42" s="742">
        <f t="shared" si="17"/>
        <v>0</v>
      </c>
      <c r="AX42" s="707"/>
      <c r="AY42" s="707"/>
    </row>
    <row r="43" spans="3:51" s="46" customFormat="1" ht="30.75" hidden="1" customHeight="1" outlineLevel="1">
      <c r="C43" s="743">
        <v>26</v>
      </c>
      <c r="D43" s="708"/>
      <c r="E43" s="752"/>
      <c r="F43" s="753"/>
      <c r="G43" s="1967"/>
      <c r="H43" s="1968"/>
      <c r="I43" s="754"/>
      <c r="J43" s="755"/>
      <c r="K43" s="756"/>
      <c r="L43" s="757"/>
      <c r="M43" s="757"/>
      <c r="N43" s="757"/>
      <c r="O43" s="757"/>
      <c r="P43" s="757"/>
      <c r="Q43" s="757"/>
      <c r="R43" s="1074"/>
      <c r="S43" s="758"/>
      <c r="T43" s="759"/>
      <c r="U43" s="760"/>
      <c r="V43" s="738"/>
      <c r="W43" s="749"/>
      <c r="X43" s="750"/>
      <c r="Z43" s="691">
        <f t="shared" si="2"/>
        <v>0</v>
      </c>
      <c r="AA43" s="691">
        <f t="shared" si="3"/>
        <v>0</v>
      </c>
      <c r="AB43" s="691">
        <f t="shared" si="4"/>
        <v>0</v>
      </c>
      <c r="AC43" s="691">
        <f>IF(Z43=0,,VLOOKUP(Z43,リスト!DC:DD,2,0))</f>
        <v>0</v>
      </c>
      <c r="AD43" s="691">
        <f t="shared" si="5"/>
        <v>0</v>
      </c>
      <c r="AE43" s="692">
        <f>IF(AD43=0,,VLOOKUP(AD43,リスト!DK:DL,2,0))</f>
        <v>0</v>
      </c>
      <c r="AF43" s="691">
        <f>IF(Z43=0,,
IF(OR(リスト!$C$21="小麦",リスト!$C$21="二条大麦",リスト!$C$21="六条大麦",リスト!$C$21="はだか麦",リスト!$C$21="なたね"),IF(K43&lt;9,調査年-J43,調査年-J43-1),
IF(リスト!$C$21="さとうきび",IF(K43&gt;=4,調査年-J43,調査年-J43+1),
調査年-J43)))</f>
        <v>0</v>
      </c>
      <c r="AG43" s="693">
        <f t="shared" si="6"/>
        <v>0</v>
      </c>
      <c r="AH43" s="693">
        <f t="shared" si="7"/>
        <v>0</v>
      </c>
      <c r="AI43" s="693">
        <f t="shared" si="8"/>
        <v>0</v>
      </c>
      <c r="AJ43" s="693">
        <f t="shared" si="9"/>
        <v>0</v>
      </c>
      <c r="AK43" s="417"/>
      <c r="AL43" s="69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3">
        <f t="shared" si="10"/>
        <v>0</v>
      </c>
      <c r="AN43" s="693">
        <f t="shared" si="11"/>
        <v>0</v>
      </c>
      <c r="AO43" s="693">
        <f t="shared" si="12"/>
        <v>0</v>
      </c>
      <c r="AP43" s="69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3">
        <f t="shared" si="13"/>
        <v>0</v>
      </c>
      <c r="AR43" s="693">
        <f t="shared" si="14"/>
        <v>0</v>
      </c>
      <c r="AS43" s="693">
        <f t="shared" si="18"/>
        <v>0</v>
      </c>
      <c r="AT43" s="693">
        <f t="shared" si="19"/>
        <v>0</v>
      </c>
      <c r="AU43" s="693">
        <f t="shared" si="15"/>
        <v>0</v>
      </c>
      <c r="AV43" s="693">
        <f t="shared" si="16"/>
        <v>0</v>
      </c>
      <c r="AW43" s="742">
        <f t="shared" si="17"/>
        <v>0</v>
      </c>
      <c r="AX43" s="707"/>
      <c r="AY43" s="707"/>
    </row>
    <row r="44" spans="3:51" s="46" customFormat="1" ht="30.75" hidden="1" customHeight="1" outlineLevel="1">
      <c r="C44" s="743">
        <v>27</v>
      </c>
      <c r="D44" s="708"/>
      <c r="E44" s="744"/>
      <c r="F44" s="745"/>
      <c r="G44" s="1963"/>
      <c r="H44" s="1964"/>
      <c r="I44" s="700"/>
      <c r="J44" s="746"/>
      <c r="K44" s="701"/>
      <c r="L44" s="702"/>
      <c r="M44" s="702"/>
      <c r="N44" s="702"/>
      <c r="O44" s="702"/>
      <c r="P44" s="702"/>
      <c r="Q44" s="702"/>
      <c r="R44" s="1074"/>
      <c r="S44" s="703"/>
      <c r="T44" s="747"/>
      <c r="U44" s="748"/>
      <c r="V44" s="738"/>
      <c r="W44" s="749"/>
      <c r="X44" s="750"/>
      <c r="Z44" s="691">
        <f t="shared" si="2"/>
        <v>0</v>
      </c>
      <c r="AA44" s="691">
        <f t="shared" si="3"/>
        <v>0</v>
      </c>
      <c r="AB44" s="691">
        <f t="shared" si="4"/>
        <v>0</v>
      </c>
      <c r="AC44" s="691">
        <f>IF(Z44=0,,VLOOKUP(Z44,リスト!DC:DD,2,0))</f>
        <v>0</v>
      </c>
      <c r="AD44" s="691">
        <f t="shared" si="5"/>
        <v>0</v>
      </c>
      <c r="AE44" s="692">
        <f>IF(AD44=0,,VLOOKUP(AD44,リスト!DK:DL,2,0))</f>
        <v>0</v>
      </c>
      <c r="AF44" s="691">
        <f>IF(Z44=0,,
IF(OR(リスト!$C$21="小麦",リスト!$C$21="二条大麦",リスト!$C$21="六条大麦",リスト!$C$21="はだか麦",リスト!$C$21="なたね"),IF(K44&lt;9,調査年-J44,調査年-J44-1),
IF(リスト!$C$21="さとうきび",IF(K44&gt;=4,調査年-J44,調査年-J44+1),
調査年-J44)))</f>
        <v>0</v>
      </c>
      <c r="AG44" s="693">
        <f t="shared" si="6"/>
        <v>0</v>
      </c>
      <c r="AH44" s="693">
        <f t="shared" si="7"/>
        <v>0</v>
      </c>
      <c r="AI44" s="693">
        <f t="shared" si="8"/>
        <v>0</v>
      </c>
      <c r="AJ44" s="693">
        <f t="shared" si="9"/>
        <v>0</v>
      </c>
      <c r="AK44" s="417"/>
      <c r="AL44" s="69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3">
        <f t="shared" si="10"/>
        <v>0</v>
      </c>
      <c r="AN44" s="693">
        <f t="shared" si="11"/>
        <v>0</v>
      </c>
      <c r="AO44" s="693">
        <f t="shared" si="12"/>
        <v>0</v>
      </c>
      <c r="AP44" s="69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3">
        <f t="shared" si="13"/>
        <v>0</v>
      </c>
      <c r="AR44" s="693">
        <f t="shared" si="14"/>
        <v>0</v>
      </c>
      <c r="AS44" s="693">
        <f t="shared" si="18"/>
        <v>0</v>
      </c>
      <c r="AT44" s="693">
        <f t="shared" si="19"/>
        <v>0</v>
      </c>
      <c r="AU44" s="693">
        <f t="shared" si="15"/>
        <v>0</v>
      </c>
      <c r="AV44" s="693">
        <f t="shared" si="16"/>
        <v>0</v>
      </c>
      <c r="AW44" s="742">
        <f t="shared" si="17"/>
        <v>0</v>
      </c>
      <c r="AX44" s="707"/>
      <c r="AY44" s="707"/>
    </row>
    <row r="45" spans="3:51" s="46" customFormat="1" ht="30.75" hidden="1" customHeight="1" outlineLevel="1">
      <c r="C45" s="743">
        <v>28</v>
      </c>
      <c r="D45" s="708"/>
      <c r="E45" s="744"/>
      <c r="F45" s="745"/>
      <c r="G45" s="1963"/>
      <c r="H45" s="1964"/>
      <c r="I45" s="700"/>
      <c r="J45" s="746"/>
      <c r="K45" s="701"/>
      <c r="L45" s="702"/>
      <c r="M45" s="702"/>
      <c r="N45" s="702"/>
      <c r="O45" s="702"/>
      <c r="P45" s="702"/>
      <c r="Q45" s="702"/>
      <c r="R45" s="1074"/>
      <c r="S45" s="703"/>
      <c r="T45" s="747"/>
      <c r="U45" s="748"/>
      <c r="V45" s="738"/>
      <c r="W45" s="749"/>
      <c r="X45" s="750"/>
      <c r="Z45" s="691">
        <f t="shared" si="2"/>
        <v>0</v>
      </c>
      <c r="AA45" s="691">
        <f t="shared" si="3"/>
        <v>0</v>
      </c>
      <c r="AB45" s="691">
        <f t="shared" si="4"/>
        <v>0</v>
      </c>
      <c r="AC45" s="691">
        <f>IF(Z45=0,,VLOOKUP(Z45,リスト!DC:DD,2,0))</f>
        <v>0</v>
      </c>
      <c r="AD45" s="691">
        <f t="shared" si="5"/>
        <v>0</v>
      </c>
      <c r="AE45" s="692">
        <f>IF(AD45=0,,VLOOKUP(AD45,リスト!DK:DL,2,0))</f>
        <v>0</v>
      </c>
      <c r="AF45" s="691">
        <f>IF(Z45=0,,
IF(OR(リスト!$C$21="小麦",リスト!$C$21="二条大麦",リスト!$C$21="六条大麦",リスト!$C$21="はだか麦",リスト!$C$21="なたね"),IF(K45&lt;9,調査年-J45,調査年-J45-1),
IF(リスト!$C$21="さとうきび",IF(K45&gt;=4,調査年-J45,調査年-J45+1),
調査年-J45)))</f>
        <v>0</v>
      </c>
      <c r="AG45" s="693">
        <f t="shared" si="6"/>
        <v>0</v>
      </c>
      <c r="AH45" s="693">
        <f t="shared" si="7"/>
        <v>0</v>
      </c>
      <c r="AI45" s="693">
        <f t="shared" si="8"/>
        <v>0</v>
      </c>
      <c r="AJ45" s="693">
        <f t="shared" si="9"/>
        <v>0</v>
      </c>
      <c r="AK45" s="417"/>
      <c r="AL45" s="69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3">
        <f t="shared" si="10"/>
        <v>0</v>
      </c>
      <c r="AN45" s="693">
        <f t="shared" si="11"/>
        <v>0</v>
      </c>
      <c r="AO45" s="693">
        <f t="shared" si="12"/>
        <v>0</v>
      </c>
      <c r="AP45" s="69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3">
        <f t="shared" si="13"/>
        <v>0</v>
      </c>
      <c r="AR45" s="693">
        <f t="shared" si="14"/>
        <v>0</v>
      </c>
      <c r="AS45" s="693">
        <f t="shared" si="18"/>
        <v>0</v>
      </c>
      <c r="AT45" s="693">
        <f t="shared" si="19"/>
        <v>0</v>
      </c>
      <c r="AU45" s="693">
        <f t="shared" si="15"/>
        <v>0</v>
      </c>
      <c r="AV45" s="693">
        <f t="shared" si="16"/>
        <v>0</v>
      </c>
      <c r="AW45" s="742">
        <f t="shared" si="17"/>
        <v>0</v>
      </c>
      <c r="AX45" s="707"/>
      <c r="AY45" s="707"/>
    </row>
    <row r="46" spans="3:51" s="46" customFormat="1" ht="30.75" hidden="1" customHeight="1" outlineLevel="1">
      <c r="C46" s="743">
        <v>29</v>
      </c>
      <c r="D46" s="708"/>
      <c r="E46" s="744"/>
      <c r="F46" s="745"/>
      <c r="G46" s="1963"/>
      <c r="H46" s="1964"/>
      <c r="I46" s="700"/>
      <c r="J46" s="746"/>
      <c r="K46" s="701"/>
      <c r="L46" s="702"/>
      <c r="M46" s="702"/>
      <c r="N46" s="702"/>
      <c r="O46" s="702"/>
      <c r="P46" s="702"/>
      <c r="Q46" s="702"/>
      <c r="R46" s="1074"/>
      <c r="S46" s="703"/>
      <c r="T46" s="747"/>
      <c r="U46" s="748"/>
      <c r="V46" s="738"/>
      <c r="W46" s="749"/>
      <c r="X46" s="750"/>
      <c r="Z46" s="691">
        <f t="shared" si="2"/>
        <v>0</v>
      </c>
      <c r="AA46" s="691">
        <f t="shared" si="3"/>
        <v>0</v>
      </c>
      <c r="AB46" s="691">
        <f t="shared" si="4"/>
        <v>0</v>
      </c>
      <c r="AC46" s="691">
        <f>IF(Z46=0,,VLOOKUP(Z46,リスト!DC:DD,2,0))</f>
        <v>0</v>
      </c>
      <c r="AD46" s="691">
        <f t="shared" si="5"/>
        <v>0</v>
      </c>
      <c r="AE46" s="692">
        <f>IF(AD46=0,,VLOOKUP(AD46,リスト!DK:DL,2,0))</f>
        <v>0</v>
      </c>
      <c r="AF46" s="691">
        <f>IF(Z46=0,,
IF(OR(リスト!$C$21="小麦",リスト!$C$21="二条大麦",リスト!$C$21="六条大麦",リスト!$C$21="はだか麦",リスト!$C$21="なたね"),IF(K46&lt;9,調査年-J46,調査年-J46-1),
IF(リスト!$C$21="さとうきび",IF(K46&gt;=4,調査年-J46,調査年-J46+1),
調査年-J46)))</f>
        <v>0</v>
      </c>
      <c r="AG46" s="693">
        <f t="shared" si="6"/>
        <v>0</v>
      </c>
      <c r="AH46" s="693">
        <f t="shared" si="7"/>
        <v>0</v>
      </c>
      <c r="AI46" s="693">
        <f t="shared" si="8"/>
        <v>0</v>
      </c>
      <c r="AJ46" s="693">
        <f t="shared" si="9"/>
        <v>0</v>
      </c>
      <c r="AK46" s="417"/>
      <c r="AL46" s="69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3">
        <f t="shared" si="10"/>
        <v>0</v>
      </c>
      <c r="AN46" s="693">
        <f t="shared" si="11"/>
        <v>0</v>
      </c>
      <c r="AO46" s="693">
        <f t="shared" si="12"/>
        <v>0</v>
      </c>
      <c r="AP46" s="69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3">
        <f t="shared" si="13"/>
        <v>0</v>
      </c>
      <c r="AR46" s="693">
        <f t="shared" si="14"/>
        <v>0</v>
      </c>
      <c r="AS46" s="693">
        <f t="shared" si="18"/>
        <v>0</v>
      </c>
      <c r="AT46" s="693">
        <f t="shared" si="19"/>
        <v>0</v>
      </c>
      <c r="AU46" s="693">
        <f t="shared" si="15"/>
        <v>0</v>
      </c>
      <c r="AV46" s="693">
        <f t="shared" si="16"/>
        <v>0</v>
      </c>
      <c r="AW46" s="742">
        <f t="shared" si="17"/>
        <v>0</v>
      </c>
      <c r="AX46" s="707"/>
      <c r="AY46" s="707"/>
    </row>
    <row r="47" spans="3:51" s="46" customFormat="1" ht="30.75" hidden="1" customHeight="1" outlineLevel="1">
      <c r="C47" s="743">
        <v>30</v>
      </c>
      <c r="D47" s="708"/>
      <c r="E47" s="744"/>
      <c r="F47" s="745"/>
      <c r="G47" s="1963"/>
      <c r="H47" s="1964"/>
      <c r="I47" s="700"/>
      <c r="J47" s="746"/>
      <c r="K47" s="701"/>
      <c r="L47" s="702"/>
      <c r="M47" s="702"/>
      <c r="N47" s="702"/>
      <c r="O47" s="702"/>
      <c r="P47" s="702"/>
      <c r="Q47" s="702"/>
      <c r="R47" s="1074"/>
      <c r="S47" s="703"/>
      <c r="T47" s="747"/>
      <c r="U47" s="748"/>
      <c r="V47" s="738"/>
      <c r="W47" s="749"/>
      <c r="X47" s="750"/>
      <c r="Z47" s="691">
        <f t="shared" si="2"/>
        <v>0</v>
      </c>
      <c r="AA47" s="691">
        <f t="shared" si="3"/>
        <v>0</v>
      </c>
      <c r="AB47" s="691">
        <f t="shared" si="4"/>
        <v>0</v>
      </c>
      <c r="AC47" s="691">
        <f>IF(Z47=0,,VLOOKUP(Z47,リスト!DC:DD,2,0))</f>
        <v>0</v>
      </c>
      <c r="AD47" s="691">
        <f t="shared" si="5"/>
        <v>0</v>
      </c>
      <c r="AE47" s="692">
        <f>IF(AD47=0,,VLOOKUP(AD47,リスト!DK:DL,2,0))</f>
        <v>0</v>
      </c>
      <c r="AF47" s="691">
        <f>IF(Z47=0,,
IF(OR(リスト!$C$21="小麦",リスト!$C$21="二条大麦",リスト!$C$21="六条大麦",リスト!$C$21="はだか麦",リスト!$C$21="なたね"),IF(K47&lt;9,調査年-J47,調査年-J47-1),
IF(リスト!$C$21="さとうきび",IF(K47&gt;=4,調査年-J47,調査年-J47+1),
調査年-J47)))</f>
        <v>0</v>
      </c>
      <c r="AG47" s="693">
        <f t="shared" si="6"/>
        <v>0</v>
      </c>
      <c r="AH47" s="693">
        <f t="shared" si="7"/>
        <v>0</v>
      </c>
      <c r="AI47" s="693">
        <f t="shared" si="8"/>
        <v>0</v>
      </c>
      <c r="AJ47" s="693">
        <f t="shared" si="9"/>
        <v>0</v>
      </c>
      <c r="AK47" s="417"/>
      <c r="AL47" s="69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3">
        <f t="shared" si="10"/>
        <v>0</v>
      </c>
      <c r="AN47" s="693">
        <f t="shared" si="11"/>
        <v>0</v>
      </c>
      <c r="AO47" s="693">
        <f t="shared" si="12"/>
        <v>0</v>
      </c>
      <c r="AP47" s="69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3">
        <f t="shared" si="13"/>
        <v>0</v>
      </c>
      <c r="AR47" s="693">
        <f t="shared" si="14"/>
        <v>0</v>
      </c>
      <c r="AS47" s="693">
        <f t="shared" si="18"/>
        <v>0</v>
      </c>
      <c r="AT47" s="693">
        <f t="shared" si="19"/>
        <v>0</v>
      </c>
      <c r="AU47" s="693">
        <f t="shared" si="15"/>
        <v>0</v>
      </c>
      <c r="AV47" s="693">
        <f t="shared" si="16"/>
        <v>0</v>
      </c>
      <c r="AW47" s="742">
        <f t="shared" si="17"/>
        <v>0</v>
      </c>
      <c r="AX47" s="707"/>
      <c r="AY47" s="707"/>
    </row>
    <row r="48" spans="3:51" s="46" customFormat="1" ht="30.75" hidden="1" customHeight="1" outlineLevel="1">
      <c r="C48" s="743">
        <v>31</v>
      </c>
      <c r="D48" s="708"/>
      <c r="E48" s="744"/>
      <c r="F48" s="745"/>
      <c r="G48" s="1963"/>
      <c r="H48" s="1964"/>
      <c r="I48" s="700"/>
      <c r="J48" s="746"/>
      <c r="K48" s="701"/>
      <c r="L48" s="702"/>
      <c r="M48" s="702"/>
      <c r="N48" s="702"/>
      <c r="O48" s="702"/>
      <c r="P48" s="702"/>
      <c r="Q48" s="702"/>
      <c r="R48" s="1074"/>
      <c r="S48" s="703"/>
      <c r="T48" s="747"/>
      <c r="U48" s="748"/>
      <c r="V48" s="738"/>
      <c r="W48" s="749"/>
      <c r="X48" s="750"/>
      <c r="Z48" s="691">
        <f t="shared" si="2"/>
        <v>0</v>
      </c>
      <c r="AA48" s="691">
        <f t="shared" si="3"/>
        <v>0</v>
      </c>
      <c r="AB48" s="691">
        <f t="shared" si="4"/>
        <v>0</v>
      </c>
      <c r="AC48" s="691">
        <f>IF(Z48=0,,VLOOKUP(Z48,リスト!DC:DD,2,0))</f>
        <v>0</v>
      </c>
      <c r="AD48" s="691">
        <f t="shared" si="5"/>
        <v>0</v>
      </c>
      <c r="AE48" s="692">
        <f>IF(AD48=0,,VLOOKUP(AD48,リスト!DK:DL,2,0))</f>
        <v>0</v>
      </c>
      <c r="AF48" s="691">
        <f>IF(Z48=0,,
IF(OR(リスト!$C$21="小麦",リスト!$C$21="二条大麦",リスト!$C$21="六条大麦",リスト!$C$21="はだか麦",リスト!$C$21="なたね"),IF(K48&lt;9,調査年-J48,調査年-J48-1),
IF(リスト!$C$21="さとうきび",IF(K48&gt;=4,調査年-J48,調査年-J48+1),
調査年-J48)))</f>
        <v>0</v>
      </c>
      <c r="AG48" s="693">
        <f t="shared" si="6"/>
        <v>0</v>
      </c>
      <c r="AH48" s="693">
        <f t="shared" si="7"/>
        <v>0</v>
      </c>
      <c r="AI48" s="693">
        <f t="shared" si="8"/>
        <v>0</v>
      </c>
      <c r="AJ48" s="693">
        <f t="shared" si="9"/>
        <v>0</v>
      </c>
      <c r="AK48" s="417"/>
      <c r="AL48" s="69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3">
        <f t="shared" si="10"/>
        <v>0</v>
      </c>
      <c r="AN48" s="693">
        <f t="shared" si="11"/>
        <v>0</v>
      </c>
      <c r="AO48" s="693">
        <f t="shared" si="12"/>
        <v>0</v>
      </c>
      <c r="AP48" s="69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3">
        <f t="shared" si="13"/>
        <v>0</v>
      </c>
      <c r="AR48" s="693">
        <f t="shared" si="14"/>
        <v>0</v>
      </c>
      <c r="AS48" s="693">
        <f t="shared" si="18"/>
        <v>0</v>
      </c>
      <c r="AT48" s="693">
        <f t="shared" si="19"/>
        <v>0</v>
      </c>
      <c r="AU48" s="693">
        <f t="shared" si="15"/>
        <v>0</v>
      </c>
      <c r="AV48" s="693">
        <f t="shared" si="16"/>
        <v>0</v>
      </c>
      <c r="AW48" s="742">
        <f t="shared" si="17"/>
        <v>0</v>
      </c>
      <c r="AX48" s="707"/>
      <c r="AY48" s="707"/>
    </row>
    <row r="49" spans="3:51" s="46" customFormat="1" ht="30.75" hidden="1" customHeight="1" outlineLevel="1">
      <c r="C49" s="743">
        <v>32</v>
      </c>
      <c r="D49" s="696"/>
      <c r="E49" s="744"/>
      <c r="F49" s="745"/>
      <c r="G49" s="1963"/>
      <c r="H49" s="1964"/>
      <c r="I49" s="700"/>
      <c r="J49" s="746"/>
      <c r="K49" s="701"/>
      <c r="L49" s="702"/>
      <c r="M49" s="702"/>
      <c r="N49" s="702"/>
      <c r="O49" s="702"/>
      <c r="P49" s="702"/>
      <c r="Q49" s="702"/>
      <c r="R49" s="1074"/>
      <c r="S49" s="703"/>
      <c r="T49" s="747"/>
      <c r="U49" s="748"/>
      <c r="V49" s="738"/>
      <c r="W49" s="749"/>
      <c r="X49" s="750"/>
      <c r="Z49" s="691">
        <f t="shared" si="2"/>
        <v>0</v>
      </c>
      <c r="AA49" s="691">
        <f t="shared" si="3"/>
        <v>0</v>
      </c>
      <c r="AB49" s="691">
        <f t="shared" si="4"/>
        <v>0</v>
      </c>
      <c r="AC49" s="691">
        <f>IF(Z49=0,,VLOOKUP(Z49,リスト!DC:DD,2,0))</f>
        <v>0</v>
      </c>
      <c r="AD49" s="691">
        <f t="shared" si="5"/>
        <v>0</v>
      </c>
      <c r="AE49" s="692">
        <f>IF(AD49=0,,VLOOKUP(AD49,リスト!DK:DL,2,0))</f>
        <v>0</v>
      </c>
      <c r="AF49" s="691">
        <f>IF(Z49=0,,
IF(OR(リスト!$C$21="小麦",リスト!$C$21="二条大麦",リスト!$C$21="六条大麦",リスト!$C$21="はだか麦",リスト!$C$21="なたね"),IF(K49&lt;9,調査年-J49,調査年-J49-1),
IF(リスト!$C$21="さとうきび",IF(K49&gt;=4,調査年-J49,調査年-J49+1),
調査年-J49)))</f>
        <v>0</v>
      </c>
      <c r="AG49" s="693">
        <f t="shared" si="6"/>
        <v>0</v>
      </c>
      <c r="AH49" s="693">
        <f t="shared" si="7"/>
        <v>0</v>
      </c>
      <c r="AI49" s="693">
        <f t="shared" si="8"/>
        <v>0</v>
      </c>
      <c r="AJ49" s="693">
        <f t="shared" si="9"/>
        <v>0</v>
      </c>
      <c r="AK49" s="417"/>
      <c r="AL49" s="69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3">
        <f t="shared" si="10"/>
        <v>0</v>
      </c>
      <c r="AN49" s="693">
        <f t="shared" si="11"/>
        <v>0</v>
      </c>
      <c r="AO49" s="693">
        <f t="shared" si="12"/>
        <v>0</v>
      </c>
      <c r="AP49" s="69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3">
        <f t="shared" si="13"/>
        <v>0</v>
      </c>
      <c r="AR49" s="693">
        <f t="shared" si="14"/>
        <v>0</v>
      </c>
      <c r="AS49" s="693">
        <f t="shared" si="18"/>
        <v>0</v>
      </c>
      <c r="AT49" s="693">
        <f t="shared" si="19"/>
        <v>0</v>
      </c>
      <c r="AU49" s="693">
        <f t="shared" si="15"/>
        <v>0</v>
      </c>
      <c r="AV49" s="693">
        <f t="shared" si="16"/>
        <v>0</v>
      </c>
      <c r="AW49" s="742">
        <f t="shared" si="17"/>
        <v>0</v>
      </c>
      <c r="AX49" s="707"/>
      <c r="AY49" s="707"/>
    </row>
    <row r="50" spans="3:51" s="46" customFormat="1" ht="30.75" hidden="1" customHeight="1" outlineLevel="1">
      <c r="C50" s="743">
        <v>33</v>
      </c>
      <c r="D50" s="708"/>
      <c r="E50" s="744"/>
      <c r="F50" s="745"/>
      <c r="G50" s="1963"/>
      <c r="H50" s="1964"/>
      <c r="I50" s="700"/>
      <c r="J50" s="746"/>
      <c r="K50" s="701"/>
      <c r="L50" s="702"/>
      <c r="M50" s="702"/>
      <c r="N50" s="702"/>
      <c r="O50" s="702"/>
      <c r="P50" s="702"/>
      <c r="Q50" s="702"/>
      <c r="R50" s="1074"/>
      <c r="S50" s="703"/>
      <c r="T50" s="747"/>
      <c r="U50" s="748"/>
      <c r="V50" s="738"/>
      <c r="W50" s="749"/>
      <c r="X50" s="750"/>
      <c r="Z50" s="691">
        <f t="shared" si="2"/>
        <v>0</v>
      </c>
      <c r="AA50" s="691">
        <f t="shared" si="3"/>
        <v>0</v>
      </c>
      <c r="AB50" s="691">
        <f t="shared" si="4"/>
        <v>0</v>
      </c>
      <c r="AC50" s="691">
        <f>IF(Z50=0,,VLOOKUP(Z50,リスト!DC:DD,2,0))</f>
        <v>0</v>
      </c>
      <c r="AD50" s="691">
        <f t="shared" si="5"/>
        <v>0</v>
      </c>
      <c r="AE50" s="692">
        <f>IF(AD50=0,,VLOOKUP(AD50,リスト!DK:DL,2,0))</f>
        <v>0</v>
      </c>
      <c r="AF50" s="691">
        <f>IF(Z50=0,,
IF(OR(リスト!$C$21="小麦",リスト!$C$21="二条大麦",リスト!$C$21="六条大麦",リスト!$C$21="はだか麦",リスト!$C$21="なたね"),IF(K50&lt;9,調査年-J50,調査年-J50-1),
IF(リスト!$C$21="さとうきび",IF(K50&gt;=4,調査年-J50,調査年-J50+1),
調査年-J50)))</f>
        <v>0</v>
      </c>
      <c r="AG50" s="693">
        <f t="shared" ref="AG50:AG81" si="20">IF(OR(Z50=0,AA50=1),,
IF(AND(AD50&gt;0,AF50&lt;AD50,AH50&lt;=ROUND((L50-1)*AE50,0)),ROUND(AH50,0),
IF(AND(AD50&gt;0,AF50&lt;AD50),ROUND((L50-1)*AE50,0),)))</f>
        <v>0</v>
      </c>
      <c r="AH50" s="693">
        <f t="shared" si="7"/>
        <v>0</v>
      </c>
      <c r="AI50" s="693">
        <f t="shared" si="8"/>
        <v>0</v>
      </c>
      <c r="AJ50" s="693">
        <f t="shared" si="9"/>
        <v>0</v>
      </c>
      <c r="AK50" s="417"/>
      <c r="AL50" s="69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3">
        <f t="shared" si="10"/>
        <v>0</v>
      </c>
      <c r="AN50" s="693">
        <f t="shared" si="11"/>
        <v>0</v>
      </c>
      <c r="AO50" s="693">
        <f t="shared" si="12"/>
        <v>0</v>
      </c>
      <c r="AP50" s="69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3">
        <f t="shared" si="13"/>
        <v>0</v>
      </c>
      <c r="AR50" s="693">
        <f t="shared" si="14"/>
        <v>0</v>
      </c>
      <c r="AS50" s="693">
        <f t="shared" si="18"/>
        <v>0</v>
      </c>
      <c r="AT50" s="693">
        <f t="shared" si="19"/>
        <v>0</v>
      </c>
      <c r="AU50" s="693">
        <f t="shared" si="15"/>
        <v>0</v>
      </c>
      <c r="AV50" s="693">
        <f t="shared" si="16"/>
        <v>0</v>
      </c>
      <c r="AW50" s="742">
        <f t="shared" si="17"/>
        <v>0</v>
      </c>
      <c r="AX50" s="707"/>
      <c r="AY50" s="707"/>
    </row>
    <row r="51" spans="3:51" s="46" customFormat="1" ht="30.75" hidden="1" customHeight="1" outlineLevel="1">
      <c r="C51" s="743">
        <v>34</v>
      </c>
      <c r="D51" s="708"/>
      <c r="E51" s="744"/>
      <c r="F51" s="745"/>
      <c r="G51" s="1963"/>
      <c r="H51" s="1964"/>
      <c r="I51" s="700"/>
      <c r="J51" s="746"/>
      <c r="K51" s="701"/>
      <c r="L51" s="702"/>
      <c r="M51" s="702"/>
      <c r="N51" s="702"/>
      <c r="O51" s="702"/>
      <c r="P51" s="702"/>
      <c r="Q51" s="702"/>
      <c r="R51" s="1074"/>
      <c r="S51" s="703"/>
      <c r="T51" s="747"/>
      <c r="U51" s="748"/>
      <c r="V51" s="738"/>
      <c r="W51" s="749"/>
      <c r="X51" s="750"/>
      <c r="Z51" s="691">
        <f t="shared" si="2"/>
        <v>0</v>
      </c>
      <c r="AA51" s="691">
        <f t="shared" si="3"/>
        <v>0</v>
      </c>
      <c r="AB51" s="691">
        <f t="shared" si="4"/>
        <v>0</v>
      </c>
      <c r="AC51" s="691">
        <f>IF(Z51=0,,VLOOKUP(Z51,リスト!DC:DD,2,0))</f>
        <v>0</v>
      </c>
      <c r="AD51" s="691">
        <f t="shared" si="5"/>
        <v>0</v>
      </c>
      <c r="AE51" s="692">
        <f>IF(AD51=0,,VLOOKUP(AD51,リスト!DK:DL,2,0))</f>
        <v>0</v>
      </c>
      <c r="AF51" s="691">
        <f>IF(Z51=0,,
IF(OR(リスト!$C$21="小麦",リスト!$C$21="二条大麦",リスト!$C$21="六条大麦",リスト!$C$21="はだか麦",リスト!$C$21="なたね"),IF(K51&lt;9,調査年-J51,調査年-J51-1),
IF(リスト!$C$21="さとうきび",IF(K51&gt;=4,調査年-J51,調査年-J51+1),
調査年-J51)))</f>
        <v>0</v>
      </c>
      <c r="AG51" s="693">
        <f t="shared" si="20"/>
        <v>0</v>
      </c>
      <c r="AH51" s="693">
        <f t="shared" si="7"/>
        <v>0</v>
      </c>
      <c r="AI51" s="693">
        <f t="shared" si="8"/>
        <v>0</v>
      </c>
      <c r="AJ51" s="693">
        <f t="shared" si="9"/>
        <v>0</v>
      </c>
      <c r="AK51" s="417"/>
      <c r="AL51" s="69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3">
        <f t="shared" si="10"/>
        <v>0</v>
      </c>
      <c r="AN51" s="693">
        <f t="shared" si="11"/>
        <v>0</v>
      </c>
      <c r="AO51" s="693">
        <f t="shared" si="12"/>
        <v>0</v>
      </c>
      <c r="AP51" s="69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3">
        <f t="shared" si="13"/>
        <v>0</v>
      </c>
      <c r="AR51" s="693">
        <f t="shared" si="14"/>
        <v>0</v>
      </c>
      <c r="AS51" s="693">
        <f t="shared" si="18"/>
        <v>0</v>
      </c>
      <c r="AT51" s="693">
        <f t="shared" si="19"/>
        <v>0</v>
      </c>
      <c r="AU51" s="693">
        <f t="shared" si="15"/>
        <v>0</v>
      </c>
      <c r="AV51" s="693">
        <f t="shared" si="16"/>
        <v>0</v>
      </c>
      <c r="AW51" s="742">
        <f t="shared" si="17"/>
        <v>0</v>
      </c>
      <c r="AX51" s="707"/>
      <c r="AY51" s="707"/>
    </row>
    <row r="52" spans="3:51" s="46" customFormat="1" ht="30.75" hidden="1" customHeight="1" outlineLevel="1">
      <c r="C52" s="743">
        <v>35</v>
      </c>
      <c r="D52" s="708"/>
      <c r="E52" s="744"/>
      <c r="F52" s="745"/>
      <c r="G52" s="1963"/>
      <c r="H52" s="1964"/>
      <c r="I52" s="700"/>
      <c r="J52" s="746"/>
      <c r="K52" s="701"/>
      <c r="L52" s="702"/>
      <c r="M52" s="702"/>
      <c r="N52" s="702"/>
      <c r="O52" s="702"/>
      <c r="P52" s="702"/>
      <c r="Q52" s="702"/>
      <c r="R52" s="1074"/>
      <c r="S52" s="703"/>
      <c r="T52" s="747"/>
      <c r="U52" s="748"/>
      <c r="V52" s="738"/>
      <c r="W52" s="749"/>
      <c r="X52" s="750"/>
      <c r="Z52" s="691">
        <f t="shared" si="2"/>
        <v>0</v>
      </c>
      <c r="AA52" s="691">
        <f t="shared" si="3"/>
        <v>0</v>
      </c>
      <c r="AB52" s="691">
        <f t="shared" si="4"/>
        <v>0</v>
      </c>
      <c r="AC52" s="691">
        <f>IF(Z52=0,,VLOOKUP(Z52,リスト!DC:DD,2,0))</f>
        <v>0</v>
      </c>
      <c r="AD52" s="691">
        <f t="shared" si="5"/>
        <v>0</v>
      </c>
      <c r="AE52" s="692">
        <f>IF(AD52=0,,VLOOKUP(AD52,リスト!DK:DL,2,0))</f>
        <v>0</v>
      </c>
      <c r="AF52" s="691">
        <f>IF(Z52=0,,
IF(OR(リスト!$C$21="小麦",リスト!$C$21="二条大麦",リスト!$C$21="六条大麦",リスト!$C$21="はだか麦",リスト!$C$21="なたね"),IF(K52&lt;9,調査年-J52,調査年-J52-1),
IF(リスト!$C$21="さとうきび",IF(K52&gt;=4,調査年-J52,調査年-J52+1),
調査年-J52)))</f>
        <v>0</v>
      </c>
      <c r="AG52" s="693">
        <f t="shared" si="20"/>
        <v>0</v>
      </c>
      <c r="AH52" s="693">
        <f t="shared" si="7"/>
        <v>0</v>
      </c>
      <c r="AI52" s="693">
        <f t="shared" si="8"/>
        <v>0</v>
      </c>
      <c r="AJ52" s="693">
        <f t="shared" si="9"/>
        <v>0</v>
      </c>
      <c r="AK52" s="417"/>
      <c r="AL52" s="69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3">
        <f t="shared" si="10"/>
        <v>0</v>
      </c>
      <c r="AN52" s="693">
        <f t="shared" si="11"/>
        <v>0</v>
      </c>
      <c r="AO52" s="693">
        <f t="shared" si="12"/>
        <v>0</v>
      </c>
      <c r="AP52" s="69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3">
        <f t="shared" si="13"/>
        <v>0</v>
      </c>
      <c r="AR52" s="693">
        <f t="shared" si="14"/>
        <v>0</v>
      </c>
      <c r="AS52" s="693">
        <f t="shared" si="18"/>
        <v>0</v>
      </c>
      <c r="AT52" s="693">
        <f t="shared" si="19"/>
        <v>0</v>
      </c>
      <c r="AU52" s="693">
        <f t="shared" si="15"/>
        <v>0</v>
      </c>
      <c r="AV52" s="693">
        <f t="shared" si="16"/>
        <v>0</v>
      </c>
      <c r="AW52" s="742">
        <f t="shared" si="17"/>
        <v>0</v>
      </c>
      <c r="AX52" s="707"/>
      <c r="AY52" s="707"/>
    </row>
    <row r="53" spans="3:51" s="46" customFormat="1" ht="30.75" hidden="1" customHeight="1" outlineLevel="1">
      <c r="C53" s="743">
        <v>36</v>
      </c>
      <c r="D53" s="708"/>
      <c r="E53" s="752"/>
      <c r="F53" s="753"/>
      <c r="G53" s="1967"/>
      <c r="H53" s="1968"/>
      <c r="I53" s="754"/>
      <c r="J53" s="755"/>
      <c r="K53" s="756"/>
      <c r="L53" s="757"/>
      <c r="M53" s="757"/>
      <c r="N53" s="757"/>
      <c r="O53" s="757"/>
      <c r="P53" s="757"/>
      <c r="Q53" s="757"/>
      <c r="R53" s="1074"/>
      <c r="S53" s="758"/>
      <c r="T53" s="759"/>
      <c r="U53" s="760"/>
      <c r="V53" s="738"/>
      <c r="W53" s="749"/>
      <c r="X53" s="750"/>
      <c r="Z53" s="691">
        <f t="shared" si="2"/>
        <v>0</v>
      </c>
      <c r="AA53" s="691">
        <f t="shared" si="3"/>
        <v>0</v>
      </c>
      <c r="AB53" s="691">
        <f t="shared" si="4"/>
        <v>0</v>
      </c>
      <c r="AC53" s="691">
        <f>IF(Z53=0,,VLOOKUP(Z53,リスト!DC:DD,2,0))</f>
        <v>0</v>
      </c>
      <c r="AD53" s="691">
        <f t="shared" si="5"/>
        <v>0</v>
      </c>
      <c r="AE53" s="692">
        <f>IF(AD53=0,,VLOOKUP(AD53,リスト!DK:DL,2,0))</f>
        <v>0</v>
      </c>
      <c r="AF53" s="691">
        <f>IF(Z53=0,,
IF(OR(リスト!$C$21="小麦",リスト!$C$21="二条大麦",リスト!$C$21="六条大麦",リスト!$C$21="はだか麦",リスト!$C$21="なたね"),IF(K53&lt;9,調査年-J53,調査年-J53-1),
IF(リスト!$C$21="さとうきび",IF(K53&gt;=4,調査年-J53,調査年-J53+1),
調査年-J53)))</f>
        <v>0</v>
      </c>
      <c r="AG53" s="693">
        <f t="shared" si="20"/>
        <v>0</v>
      </c>
      <c r="AH53" s="693">
        <f t="shared" si="7"/>
        <v>0</v>
      </c>
      <c r="AI53" s="693">
        <f t="shared" si="8"/>
        <v>0</v>
      </c>
      <c r="AJ53" s="693">
        <f t="shared" si="9"/>
        <v>0</v>
      </c>
      <c r="AK53" s="417"/>
      <c r="AL53" s="69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3">
        <f t="shared" si="10"/>
        <v>0</v>
      </c>
      <c r="AN53" s="693">
        <f t="shared" si="11"/>
        <v>0</v>
      </c>
      <c r="AO53" s="693">
        <f t="shared" si="12"/>
        <v>0</v>
      </c>
      <c r="AP53" s="69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3">
        <f t="shared" si="13"/>
        <v>0</v>
      </c>
      <c r="AR53" s="693">
        <f t="shared" si="14"/>
        <v>0</v>
      </c>
      <c r="AS53" s="693">
        <f t="shared" si="18"/>
        <v>0</v>
      </c>
      <c r="AT53" s="693">
        <f t="shared" si="19"/>
        <v>0</v>
      </c>
      <c r="AU53" s="693">
        <f t="shared" si="15"/>
        <v>0</v>
      </c>
      <c r="AV53" s="693">
        <f t="shared" si="16"/>
        <v>0</v>
      </c>
      <c r="AW53" s="742">
        <f t="shared" si="17"/>
        <v>0</v>
      </c>
      <c r="AX53" s="707"/>
      <c r="AY53" s="707"/>
    </row>
    <row r="54" spans="3:51" s="46" customFormat="1" ht="30.75" hidden="1" customHeight="1" outlineLevel="1">
      <c r="C54" s="743">
        <v>37</v>
      </c>
      <c r="D54" s="708"/>
      <c r="E54" s="744"/>
      <c r="F54" s="745"/>
      <c r="G54" s="1963"/>
      <c r="H54" s="1964"/>
      <c r="I54" s="700"/>
      <c r="J54" s="746"/>
      <c r="K54" s="701"/>
      <c r="L54" s="702"/>
      <c r="M54" s="702"/>
      <c r="N54" s="702"/>
      <c r="O54" s="702"/>
      <c r="P54" s="702"/>
      <c r="Q54" s="702"/>
      <c r="R54" s="1074"/>
      <c r="S54" s="703"/>
      <c r="T54" s="747"/>
      <c r="U54" s="748"/>
      <c r="V54" s="738"/>
      <c r="W54" s="749"/>
      <c r="X54" s="750"/>
      <c r="Z54" s="691">
        <f t="shared" si="2"/>
        <v>0</v>
      </c>
      <c r="AA54" s="691">
        <f t="shared" si="3"/>
        <v>0</v>
      </c>
      <c r="AB54" s="691">
        <f t="shared" si="4"/>
        <v>0</v>
      </c>
      <c r="AC54" s="691">
        <f>IF(Z54=0,,VLOOKUP(Z54,リスト!DC:DD,2,0))</f>
        <v>0</v>
      </c>
      <c r="AD54" s="691">
        <f t="shared" si="5"/>
        <v>0</v>
      </c>
      <c r="AE54" s="692">
        <f>IF(AD54=0,,VLOOKUP(AD54,リスト!DK:DL,2,0))</f>
        <v>0</v>
      </c>
      <c r="AF54" s="691">
        <f>IF(Z54=0,,
IF(OR(リスト!$C$21="小麦",リスト!$C$21="二条大麦",リスト!$C$21="六条大麦",リスト!$C$21="はだか麦",リスト!$C$21="なたね"),IF(K54&lt;9,調査年-J54,調査年-J54-1),
IF(リスト!$C$21="さとうきび",IF(K54&gt;=4,調査年-J54,調査年-J54+1),
調査年-J54)))</f>
        <v>0</v>
      </c>
      <c r="AG54" s="693">
        <f t="shared" si="20"/>
        <v>0</v>
      </c>
      <c r="AH54" s="693">
        <f t="shared" si="7"/>
        <v>0</v>
      </c>
      <c r="AI54" s="693">
        <f t="shared" si="8"/>
        <v>0</v>
      </c>
      <c r="AJ54" s="693">
        <f t="shared" si="9"/>
        <v>0</v>
      </c>
      <c r="AK54" s="417"/>
      <c r="AL54" s="69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3">
        <f t="shared" si="10"/>
        <v>0</v>
      </c>
      <c r="AN54" s="693">
        <f t="shared" si="11"/>
        <v>0</v>
      </c>
      <c r="AO54" s="693">
        <f t="shared" si="12"/>
        <v>0</v>
      </c>
      <c r="AP54" s="69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3">
        <f t="shared" si="13"/>
        <v>0</v>
      </c>
      <c r="AR54" s="693">
        <f t="shared" si="14"/>
        <v>0</v>
      </c>
      <c r="AS54" s="693">
        <f t="shared" si="18"/>
        <v>0</v>
      </c>
      <c r="AT54" s="693">
        <f t="shared" si="19"/>
        <v>0</v>
      </c>
      <c r="AU54" s="693">
        <f t="shared" si="15"/>
        <v>0</v>
      </c>
      <c r="AV54" s="693">
        <f t="shared" si="16"/>
        <v>0</v>
      </c>
      <c r="AW54" s="742">
        <f t="shared" si="17"/>
        <v>0</v>
      </c>
      <c r="AX54" s="707"/>
      <c r="AY54" s="707"/>
    </row>
    <row r="55" spans="3:51" s="46" customFormat="1" ht="30.75" hidden="1" customHeight="1" outlineLevel="1">
      <c r="C55" s="743">
        <v>38</v>
      </c>
      <c r="D55" s="708"/>
      <c r="E55" s="744"/>
      <c r="F55" s="745"/>
      <c r="G55" s="1963"/>
      <c r="H55" s="1964"/>
      <c r="I55" s="700"/>
      <c r="J55" s="746"/>
      <c r="K55" s="701"/>
      <c r="L55" s="702"/>
      <c r="M55" s="702"/>
      <c r="N55" s="702"/>
      <c r="O55" s="702"/>
      <c r="P55" s="702"/>
      <c r="Q55" s="702"/>
      <c r="R55" s="1074"/>
      <c r="S55" s="703"/>
      <c r="T55" s="747"/>
      <c r="U55" s="748"/>
      <c r="V55" s="738"/>
      <c r="W55" s="749"/>
      <c r="X55" s="750"/>
      <c r="Z55" s="691">
        <f t="shared" si="2"/>
        <v>0</v>
      </c>
      <c r="AA55" s="691">
        <f t="shared" si="3"/>
        <v>0</v>
      </c>
      <c r="AB55" s="691">
        <f t="shared" si="4"/>
        <v>0</v>
      </c>
      <c r="AC55" s="691">
        <f>IF(Z55=0,,VLOOKUP(Z55,リスト!DC:DD,2,0))</f>
        <v>0</v>
      </c>
      <c r="AD55" s="691">
        <f t="shared" si="5"/>
        <v>0</v>
      </c>
      <c r="AE55" s="692">
        <f>IF(AD55=0,,VLOOKUP(AD55,リスト!DK:DL,2,0))</f>
        <v>0</v>
      </c>
      <c r="AF55" s="691">
        <f>IF(Z55=0,,
IF(OR(リスト!$C$21="小麦",リスト!$C$21="二条大麦",リスト!$C$21="六条大麦",リスト!$C$21="はだか麦",リスト!$C$21="なたね"),IF(K55&lt;9,調査年-J55,調査年-J55-1),
IF(リスト!$C$21="さとうきび",IF(K55&gt;=4,調査年-J55,調査年-J55+1),
調査年-J55)))</f>
        <v>0</v>
      </c>
      <c r="AG55" s="693">
        <f t="shared" si="20"/>
        <v>0</v>
      </c>
      <c r="AH55" s="693">
        <f t="shared" si="7"/>
        <v>0</v>
      </c>
      <c r="AI55" s="693">
        <f t="shared" si="8"/>
        <v>0</v>
      </c>
      <c r="AJ55" s="693">
        <f t="shared" si="9"/>
        <v>0</v>
      </c>
      <c r="AK55" s="417"/>
      <c r="AL55" s="69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3">
        <f t="shared" si="10"/>
        <v>0</v>
      </c>
      <c r="AN55" s="693">
        <f t="shared" si="11"/>
        <v>0</v>
      </c>
      <c r="AO55" s="693">
        <f t="shared" si="12"/>
        <v>0</v>
      </c>
      <c r="AP55" s="69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3">
        <f t="shared" si="13"/>
        <v>0</v>
      </c>
      <c r="AR55" s="693">
        <f t="shared" si="14"/>
        <v>0</v>
      </c>
      <c r="AS55" s="693">
        <f t="shared" si="18"/>
        <v>0</v>
      </c>
      <c r="AT55" s="693">
        <f t="shared" si="19"/>
        <v>0</v>
      </c>
      <c r="AU55" s="693">
        <f t="shared" si="15"/>
        <v>0</v>
      </c>
      <c r="AV55" s="693">
        <f t="shared" si="16"/>
        <v>0</v>
      </c>
      <c r="AW55" s="742">
        <f t="shared" si="17"/>
        <v>0</v>
      </c>
      <c r="AX55" s="707"/>
      <c r="AY55" s="707"/>
    </row>
    <row r="56" spans="3:51" s="46" customFormat="1" ht="30.75" hidden="1" customHeight="1" outlineLevel="1">
      <c r="C56" s="743">
        <v>39</v>
      </c>
      <c r="D56" s="708"/>
      <c r="E56" s="744"/>
      <c r="F56" s="745"/>
      <c r="G56" s="1963"/>
      <c r="H56" s="1964"/>
      <c r="I56" s="700"/>
      <c r="J56" s="746"/>
      <c r="K56" s="701"/>
      <c r="L56" s="702"/>
      <c r="M56" s="702"/>
      <c r="N56" s="702"/>
      <c r="O56" s="702"/>
      <c r="P56" s="702"/>
      <c r="Q56" s="702"/>
      <c r="R56" s="1074"/>
      <c r="S56" s="703"/>
      <c r="T56" s="747"/>
      <c r="U56" s="748"/>
      <c r="V56" s="738"/>
      <c r="W56" s="749"/>
      <c r="X56" s="750"/>
      <c r="Z56" s="691">
        <f t="shared" si="2"/>
        <v>0</v>
      </c>
      <c r="AA56" s="691">
        <f t="shared" si="3"/>
        <v>0</v>
      </c>
      <c r="AB56" s="691">
        <f t="shared" si="4"/>
        <v>0</v>
      </c>
      <c r="AC56" s="691">
        <f>IF(Z56=0,,VLOOKUP(Z56,リスト!DC:DD,2,0))</f>
        <v>0</v>
      </c>
      <c r="AD56" s="691">
        <f t="shared" si="5"/>
        <v>0</v>
      </c>
      <c r="AE56" s="692">
        <f>IF(AD56=0,,VLOOKUP(AD56,リスト!DK:DL,2,0))</f>
        <v>0</v>
      </c>
      <c r="AF56" s="691">
        <f>IF(Z56=0,,
IF(OR(リスト!$C$21="小麦",リスト!$C$21="二条大麦",リスト!$C$21="六条大麦",リスト!$C$21="はだか麦",リスト!$C$21="なたね"),IF(K56&lt;9,調査年-J56,調査年-J56-1),
IF(リスト!$C$21="さとうきび",IF(K56&gt;=4,調査年-J56,調査年-J56+1),
調査年-J56)))</f>
        <v>0</v>
      </c>
      <c r="AG56" s="693">
        <f t="shared" si="20"/>
        <v>0</v>
      </c>
      <c r="AH56" s="693">
        <f t="shared" si="7"/>
        <v>0</v>
      </c>
      <c r="AI56" s="693">
        <f t="shared" si="8"/>
        <v>0</v>
      </c>
      <c r="AJ56" s="693">
        <f t="shared" si="9"/>
        <v>0</v>
      </c>
      <c r="AK56" s="417"/>
      <c r="AL56" s="69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3">
        <f t="shared" si="10"/>
        <v>0</v>
      </c>
      <c r="AN56" s="693">
        <f t="shared" si="11"/>
        <v>0</v>
      </c>
      <c r="AO56" s="693">
        <f t="shared" si="12"/>
        <v>0</v>
      </c>
      <c r="AP56" s="69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3">
        <f t="shared" si="13"/>
        <v>0</v>
      </c>
      <c r="AR56" s="693">
        <f t="shared" si="14"/>
        <v>0</v>
      </c>
      <c r="AS56" s="693">
        <f t="shared" si="18"/>
        <v>0</v>
      </c>
      <c r="AT56" s="693">
        <f t="shared" si="19"/>
        <v>0</v>
      </c>
      <c r="AU56" s="693">
        <f t="shared" si="15"/>
        <v>0</v>
      </c>
      <c r="AV56" s="693">
        <f t="shared" si="16"/>
        <v>0</v>
      </c>
      <c r="AW56" s="742">
        <f t="shared" si="17"/>
        <v>0</v>
      </c>
      <c r="AX56" s="707"/>
      <c r="AY56" s="707"/>
    </row>
    <row r="57" spans="3:51" s="46" customFormat="1" ht="30.75" hidden="1" customHeight="1" outlineLevel="1">
      <c r="C57" s="743">
        <v>40</v>
      </c>
      <c r="D57" s="708"/>
      <c r="E57" s="744"/>
      <c r="F57" s="745"/>
      <c r="G57" s="1963"/>
      <c r="H57" s="1964"/>
      <c r="I57" s="700"/>
      <c r="J57" s="746"/>
      <c r="K57" s="701"/>
      <c r="L57" s="702"/>
      <c r="M57" s="702"/>
      <c r="N57" s="702"/>
      <c r="O57" s="702"/>
      <c r="P57" s="702"/>
      <c r="Q57" s="702"/>
      <c r="R57" s="1074"/>
      <c r="S57" s="703"/>
      <c r="T57" s="747"/>
      <c r="U57" s="748"/>
      <c r="V57" s="738"/>
      <c r="W57" s="749"/>
      <c r="X57" s="750"/>
      <c r="Z57" s="691">
        <f t="shared" si="2"/>
        <v>0</v>
      </c>
      <c r="AA57" s="691">
        <f t="shared" si="3"/>
        <v>0</v>
      </c>
      <c r="AB57" s="691">
        <f t="shared" si="4"/>
        <v>0</v>
      </c>
      <c r="AC57" s="691">
        <f>IF(Z57=0,,VLOOKUP(Z57,リスト!DC:DD,2,0))</f>
        <v>0</v>
      </c>
      <c r="AD57" s="691">
        <f t="shared" si="5"/>
        <v>0</v>
      </c>
      <c r="AE57" s="692">
        <f>IF(AD57=0,,VLOOKUP(AD57,リスト!DK:DL,2,0))</f>
        <v>0</v>
      </c>
      <c r="AF57" s="691">
        <f>IF(Z57=0,,
IF(OR(リスト!$C$21="小麦",リスト!$C$21="二条大麦",リスト!$C$21="六条大麦",リスト!$C$21="はだか麦",リスト!$C$21="なたね"),IF(K57&lt;9,調査年-J57,調査年-J57-1),
IF(リスト!$C$21="さとうきび",IF(K57&gt;=4,調査年-J57,調査年-J57+1),
調査年-J57)))</f>
        <v>0</v>
      </c>
      <c r="AG57" s="693">
        <f t="shared" si="20"/>
        <v>0</v>
      </c>
      <c r="AH57" s="693">
        <f t="shared" si="7"/>
        <v>0</v>
      </c>
      <c r="AI57" s="693">
        <f t="shared" si="8"/>
        <v>0</v>
      </c>
      <c r="AJ57" s="693">
        <f t="shared" si="9"/>
        <v>0</v>
      </c>
      <c r="AK57" s="417"/>
      <c r="AL57" s="69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3">
        <f t="shared" si="10"/>
        <v>0</v>
      </c>
      <c r="AN57" s="693">
        <f t="shared" si="11"/>
        <v>0</v>
      </c>
      <c r="AO57" s="693">
        <f t="shared" si="12"/>
        <v>0</v>
      </c>
      <c r="AP57" s="69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3">
        <f t="shared" si="13"/>
        <v>0</v>
      </c>
      <c r="AR57" s="693">
        <f t="shared" si="14"/>
        <v>0</v>
      </c>
      <c r="AS57" s="693">
        <f t="shared" si="18"/>
        <v>0</v>
      </c>
      <c r="AT57" s="693">
        <f t="shared" si="19"/>
        <v>0</v>
      </c>
      <c r="AU57" s="693">
        <f t="shared" si="15"/>
        <v>0</v>
      </c>
      <c r="AV57" s="693">
        <f t="shared" si="16"/>
        <v>0</v>
      </c>
      <c r="AW57" s="742">
        <f t="shared" si="17"/>
        <v>0</v>
      </c>
      <c r="AX57" s="707"/>
      <c r="AY57" s="707"/>
    </row>
    <row r="58" spans="3:51" s="46" customFormat="1" ht="30.75" hidden="1" customHeight="1" outlineLevel="1">
      <c r="C58" s="743">
        <v>41</v>
      </c>
      <c r="D58" s="708"/>
      <c r="E58" s="752"/>
      <c r="F58" s="753"/>
      <c r="G58" s="1967"/>
      <c r="H58" s="1968"/>
      <c r="I58" s="754"/>
      <c r="J58" s="755"/>
      <c r="K58" s="756"/>
      <c r="L58" s="757"/>
      <c r="M58" s="757"/>
      <c r="N58" s="757"/>
      <c r="O58" s="757"/>
      <c r="P58" s="757"/>
      <c r="Q58" s="757"/>
      <c r="R58" s="1074"/>
      <c r="S58" s="758"/>
      <c r="T58" s="759"/>
      <c r="U58" s="760"/>
      <c r="V58" s="738"/>
      <c r="W58" s="749"/>
      <c r="X58" s="750"/>
      <c r="Z58" s="691">
        <f t="shared" si="2"/>
        <v>0</v>
      </c>
      <c r="AA58" s="691">
        <f t="shared" si="3"/>
        <v>0</v>
      </c>
      <c r="AB58" s="691">
        <f t="shared" si="4"/>
        <v>0</v>
      </c>
      <c r="AC58" s="691">
        <f>IF(Z58=0,,VLOOKUP(Z58,リスト!DC:DD,2,0))</f>
        <v>0</v>
      </c>
      <c r="AD58" s="691">
        <f t="shared" si="5"/>
        <v>0</v>
      </c>
      <c r="AE58" s="692">
        <f>IF(AD58=0,,VLOOKUP(AD58,リスト!DK:DL,2,0))</f>
        <v>0</v>
      </c>
      <c r="AF58" s="691">
        <f>IF(Z58=0,,
IF(OR(リスト!$C$21="小麦",リスト!$C$21="二条大麦",リスト!$C$21="六条大麦",リスト!$C$21="はだか麦",リスト!$C$21="なたね"),IF(K58&lt;9,調査年-J58,調査年-J58-1),
IF(リスト!$C$21="さとうきび",IF(K58&gt;=4,調査年-J58,調査年-J58+1),
調査年-J58)))</f>
        <v>0</v>
      </c>
      <c r="AG58" s="693">
        <f t="shared" si="20"/>
        <v>0</v>
      </c>
      <c r="AH58" s="693">
        <f t="shared" si="7"/>
        <v>0</v>
      </c>
      <c r="AI58" s="693">
        <f t="shared" si="8"/>
        <v>0</v>
      </c>
      <c r="AJ58" s="693">
        <f t="shared" si="9"/>
        <v>0</v>
      </c>
      <c r="AK58" s="417"/>
      <c r="AL58" s="69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3">
        <f t="shared" si="10"/>
        <v>0</v>
      </c>
      <c r="AN58" s="693">
        <f t="shared" si="11"/>
        <v>0</v>
      </c>
      <c r="AO58" s="693">
        <f t="shared" si="12"/>
        <v>0</v>
      </c>
      <c r="AP58" s="69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3">
        <f t="shared" si="13"/>
        <v>0</v>
      </c>
      <c r="AR58" s="693">
        <f t="shared" si="14"/>
        <v>0</v>
      </c>
      <c r="AS58" s="693">
        <f t="shared" si="18"/>
        <v>0</v>
      </c>
      <c r="AT58" s="693">
        <f t="shared" si="19"/>
        <v>0</v>
      </c>
      <c r="AU58" s="693">
        <f t="shared" si="15"/>
        <v>0</v>
      </c>
      <c r="AV58" s="693">
        <f t="shared" si="16"/>
        <v>0</v>
      </c>
      <c r="AW58" s="742">
        <f t="shared" si="17"/>
        <v>0</v>
      </c>
      <c r="AX58" s="707"/>
      <c r="AY58" s="707"/>
    </row>
    <row r="59" spans="3:51" s="46" customFormat="1" ht="30.75" hidden="1" customHeight="1" outlineLevel="1">
      <c r="C59" s="743">
        <v>42</v>
      </c>
      <c r="D59" s="708"/>
      <c r="E59" s="744"/>
      <c r="F59" s="745"/>
      <c r="G59" s="1963"/>
      <c r="H59" s="1964"/>
      <c r="I59" s="700"/>
      <c r="J59" s="746"/>
      <c r="K59" s="701"/>
      <c r="L59" s="702"/>
      <c r="M59" s="702"/>
      <c r="N59" s="702"/>
      <c r="O59" s="702"/>
      <c r="P59" s="702"/>
      <c r="Q59" s="702"/>
      <c r="R59" s="1074"/>
      <c r="S59" s="703"/>
      <c r="T59" s="747"/>
      <c r="U59" s="748"/>
      <c r="V59" s="738"/>
      <c r="W59" s="749"/>
      <c r="X59" s="750"/>
      <c r="Z59" s="691">
        <f t="shared" si="2"/>
        <v>0</v>
      </c>
      <c r="AA59" s="691">
        <f t="shared" si="3"/>
        <v>0</v>
      </c>
      <c r="AB59" s="691">
        <f t="shared" si="4"/>
        <v>0</v>
      </c>
      <c r="AC59" s="691">
        <f>IF(Z59=0,,VLOOKUP(Z59,リスト!DC:DD,2,0))</f>
        <v>0</v>
      </c>
      <c r="AD59" s="691">
        <f t="shared" si="5"/>
        <v>0</v>
      </c>
      <c r="AE59" s="692">
        <f>IF(AD59=0,,VLOOKUP(AD59,リスト!DK:DL,2,0))</f>
        <v>0</v>
      </c>
      <c r="AF59" s="691">
        <f>IF(Z59=0,,
IF(OR(リスト!$C$21="小麦",リスト!$C$21="二条大麦",リスト!$C$21="六条大麦",リスト!$C$21="はだか麦",リスト!$C$21="なたね"),IF(K59&lt;9,調査年-J59,調査年-J59-1),
IF(リスト!$C$21="さとうきび",IF(K59&gt;=4,調査年-J59,調査年-J59+1),
調査年-J59)))</f>
        <v>0</v>
      </c>
      <c r="AG59" s="693">
        <f t="shared" si="20"/>
        <v>0</v>
      </c>
      <c r="AH59" s="693">
        <f t="shared" si="7"/>
        <v>0</v>
      </c>
      <c r="AI59" s="693">
        <f t="shared" si="8"/>
        <v>0</v>
      </c>
      <c r="AJ59" s="693">
        <f t="shared" si="9"/>
        <v>0</v>
      </c>
      <c r="AK59" s="417"/>
      <c r="AL59" s="69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3">
        <f t="shared" si="10"/>
        <v>0</v>
      </c>
      <c r="AN59" s="693">
        <f t="shared" si="11"/>
        <v>0</v>
      </c>
      <c r="AO59" s="693">
        <f t="shared" si="12"/>
        <v>0</v>
      </c>
      <c r="AP59" s="69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3">
        <f t="shared" si="13"/>
        <v>0</v>
      </c>
      <c r="AR59" s="693">
        <f t="shared" si="14"/>
        <v>0</v>
      </c>
      <c r="AS59" s="693">
        <f t="shared" si="18"/>
        <v>0</v>
      </c>
      <c r="AT59" s="693">
        <f t="shared" si="19"/>
        <v>0</v>
      </c>
      <c r="AU59" s="693">
        <f t="shared" si="15"/>
        <v>0</v>
      </c>
      <c r="AV59" s="693">
        <f t="shared" si="16"/>
        <v>0</v>
      </c>
      <c r="AW59" s="742">
        <f t="shared" si="17"/>
        <v>0</v>
      </c>
      <c r="AX59" s="707"/>
      <c r="AY59" s="707"/>
    </row>
    <row r="60" spans="3:51" s="46" customFormat="1" ht="30.75" hidden="1" customHeight="1" outlineLevel="1">
      <c r="C60" s="743">
        <v>43</v>
      </c>
      <c r="D60" s="708"/>
      <c r="E60" s="744"/>
      <c r="F60" s="745"/>
      <c r="G60" s="1963"/>
      <c r="H60" s="1964"/>
      <c r="I60" s="700"/>
      <c r="J60" s="746"/>
      <c r="K60" s="701"/>
      <c r="L60" s="702"/>
      <c r="M60" s="702"/>
      <c r="N60" s="702"/>
      <c r="O60" s="702"/>
      <c r="P60" s="702"/>
      <c r="Q60" s="702"/>
      <c r="R60" s="1074"/>
      <c r="S60" s="703"/>
      <c r="T60" s="747"/>
      <c r="U60" s="748"/>
      <c r="V60" s="738"/>
      <c r="W60" s="749"/>
      <c r="X60" s="750"/>
      <c r="Z60" s="691">
        <f t="shared" si="2"/>
        <v>0</v>
      </c>
      <c r="AA60" s="691">
        <f t="shared" si="3"/>
        <v>0</v>
      </c>
      <c r="AB60" s="691">
        <f t="shared" si="4"/>
        <v>0</v>
      </c>
      <c r="AC60" s="691">
        <f>IF(Z60=0,,VLOOKUP(Z60,リスト!DC:DD,2,0))</f>
        <v>0</v>
      </c>
      <c r="AD60" s="691">
        <f t="shared" si="5"/>
        <v>0</v>
      </c>
      <c r="AE60" s="692">
        <f>IF(AD60=0,,VLOOKUP(AD60,リスト!DK:DL,2,0))</f>
        <v>0</v>
      </c>
      <c r="AF60" s="691">
        <f>IF(Z60=0,,
IF(OR(リスト!$C$21="小麦",リスト!$C$21="二条大麦",リスト!$C$21="六条大麦",リスト!$C$21="はだか麦",リスト!$C$21="なたね"),IF(K60&lt;9,調査年-J60,調査年-J60-1),
IF(リスト!$C$21="さとうきび",IF(K60&gt;=4,調査年-J60,調査年-J60+1),
調査年-J60)))</f>
        <v>0</v>
      </c>
      <c r="AG60" s="693">
        <f t="shared" si="20"/>
        <v>0</v>
      </c>
      <c r="AH60" s="693">
        <f t="shared" si="7"/>
        <v>0</v>
      </c>
      <c r="AI60" s="693">
        <f t="shared" si="8"/>
        <v>0</v>
      </c>
      <c r="AJ60" s="693">
        <f t="shared" si="9"/>
        <v>0</v>
      </c>
      <c r="AK60" s="417"/>
      <c r="AL60" s="69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3">
        <f t="shared" si="10"/>
        <v>0</v>
      </c>
      <c r="AN60" s="693">
        <f t="shared" si="11"/>
        <v>0</v>
      </c>
      <c r="AO60" s="693">
        <f t="shared" si="12"/>
        <v>0</v>
      </c>
      <c r="AP60" s="69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3">
        <f t="shared" si="13"/>
        <v>0</v>
      </c>
      <c r="AR60" s="693">
        <f t="shared" si="14"/>
        <v>0</v>
      </c>
      <c r="AS60" s="693">
        <f t="shared" si="18"/>
        <v>0</v>
      </c>
      <c r="AT60" s="693">
        <f t="shared" si="19"/>
        <v>0</v>
      </c>
      <c r="AU60" s="693">
        <f t="shared" si="15"/>
        <v>0</v>
      </c>
      <c r="AV60" s="693">
        <f t="shared" si="16"/>
        <v>0</v>
      </c>
      <c r="AW60" s="742">
        <f t="shared" si="17"/>
        <v>0</v>
      </c>
      <c r="AX60" s="707"/>
      <c r="AY60" s="707"/>
    </row>
    <row r="61" spans="3:51" s="46" customFormat="1" ht="30.75" hidden="1" customHeight="1" outlineLevel="1">
      <c r="C61" s="743">
        <v>44</v>
      </c>
      <c r="D61" s="708"/>
      <c r="E61" s="744"/>
      <c r="F61" s="745"/>
      <c r="G61" s="1963"/>
      <c r="H61" s="1964"/>
      <c r="I61" s="700"/>
      <c r="J61" s="746"/>
      <c r="K61" s="701"/>
      <c r="L61" s="702"/>
      <c r="M61" s="702"/>
      <c r="N61" s="702"/>
      <c r="O61" s="702"/>
      <c r="P61" s="702"/>
      <c r="Q61" s="702"/>
      <c r="R61" s="1074"/>
      <c r="S61" s="703"/>
      <c r="T61" s="747"/>
      <c r="U61" s="748"/>
      <c r="V61" s="738"/>
      <c r="W61" s="749"/>
      <c r="X61" s="750"/>
      <c r="Z61" s="691">
        <f t="shared" si="2"/>
        <v>0</v>
      </c>
      <c r="AA61" s="691">
        <f t="shared" si="3"/>
        <v>0</v>
      </c>
      <c r="AB61" s="691">
        <f t="shared" si="4"/>
        <v>0</v>
      </c>
      <c r="AC61" s="691">
        <f>IF(Z61=0,,VLOOKUP(Z61,リスト!DC:DD,2,0))</f>
        <v>0</v>
      </c>
      <c r="AD61" s="691">
        <f t="shared" si="5"/>
        <v>0</v>
      </c>
      <c r="AE61" s="692">
        <f>IF(AD61=0,,VLOOKUP(AD61,リスト!DK:DL,2,0))</f>
        <v>0</v>
      </c>
      <c r="AF61" s="691">
        <f>IF(Z61=0,,
IF(OR(リスト!$C$21="小麦",リスト!$C$21="二条大麦",リスト!$C$21="六条大麦",リスト!$C$21="はだか麦",リスト!$C$21="なたね"),IF(K61&lt;9,調査年-J61,調査年-J61-1),
IF(リスト!$C$21="さとうきび",IF(K61&gt;=4,調査年-J61,調査年-J61+1),
調査年-J61)))</f>
        <v>0</v>
      </c>
      <c r="AG61" s="693">
        <f t="shared" si="20"/>
        <v>0</v>
      </c>
      <c r="AH61" s="693">
        <f t="shared" si="7"/>
        <v>0</v>
      </c>
      <c r="AI61" s="693">
        <f t="shared" si="8"/>
        <v>0</v>
      </c>
      <c r="AJ61" s="693">
        <f t="shared" si="9"/>
        <v>0</v>
      </c>
      <c r="AK61" s="417"/>
      <c r="AL61" s="69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3">
        <f t="shared" si="10"/>
        <v>0</v>
      </c>
      <c r="AN61" s="693">
        <f t="shared" si="11"/>
        <v>0</v>
      </c>
      <c r="AO61" s="693">
        <f t="shared" si="12"/>
        <v>0</v>
      </c>
      <c r="AP61" s="69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3">
        <f t="shared" si="13"/>
        <v>0</v>
      </c>
      <c r="AR61" s="693">
        <f t="shared" si="14"/>
        <v>0</v>
      </c>
      <c r="AS61" s="693">
        <f t="shared" si="18"/>
        <v>0</v>
      </c>
      <c r="AT61" s="693">
        <f t="shared" si="19"/>
        <v>0</v>
      </c>
      <c r="AU61" s="693">
        <f t="shared" si="15"/>
        <v>0</v>
      </c>
      <c r="AV61" s="693">
        <f t="shared" si="16"/>
        <v>0</v>
      </c>
      <c r="AW61" s="742">
        <f t="shared" si="17"/>
        <v>0</v>
      </c>
      <c r="AX61" s="707"/>
      <c r="AY61" s="707"/>
    </row>
    <row r="62" spans="3:51" s="46" customFormat="1" ht="30.75" hidden="1" customHeight="1" outlineLevel="1">
      <c r="C62" s="743">
        <v>45</v>
      </c>
      <c r="D62" s="708"/>
      <c r="E62" s="744"/>
      <c r="F62" s="745"/>
      <c r="G62" s="1963"/>
      <c r="H62" s="1964"/>
      <c r="I62" s="700"/>
      <c r="J62" s="746"/>
      <c r="K62" s="701"/>
      <c r="L62" s="702"/>
      <c r="M62" s="702"/>
      <c r="N62" s="702"/>
      <c r="O62" s="702"/>
      <c r="P62" s="702"/>
      <c r="Q62" s="702"/>
      <c r="R62" s="1074"/>
      <c r="S62" s="703"/>
      <c r="T62" s="747"/>
      <c r="U62" s="748"/>
      <c r="V62" s="738"/>
      <c r="W62" s="749"/>
      <c r="X62" s="750"/>
      <c r="Z62" s="691">
        <f t="shared" si="2"/>
        <v>0</v>
      </c>
      <c r="AA62" s="691">
        <f t="shared" si="3"/>
        <v>0</v>
      </c>
      <c r="AB62" s="691">
        <f t="shared" si="4"/>
        <v>0</v>
      </c>
      <c r="AC62" s="691">
        <f>IF(Z62=0,,VLOOKUP(Z62,リスト!DC:DD,2,0))</f>
        <v>0</v>
      </c>
      <c r="AD62" s="691">
        <f t="shared" si="5"/>
        <v>0</v>
      </c>
      <c r="AE62" s="692">
        <f>IF(AD62=0,,VLOOKUP(AD62,リスト!DK:DL,2,0))</f>
        <v>0</v>
      </c>
      <c r="AF62" s="691">
        <f>IF(Z62=0,,
IF(OR(リスト!$C$21="小麦",リスト!$C$21="二条大麦",リスト!$C$21="六条大麦",リスト!$C$21="はだか麦",リスト!$C$21="なたね"),IF(K62&lt;9,調査年-J62,調査年-J62-1),
IF(リスト!$C$21="さとうきび",IF(K62&gt;=4,調査年-J62,調査年-J62+1),
調査年-J62)))</f>
        <v>0</v>
      </c>
      <c r="AG62" s="693">
        <f t="shared" si="20"/>
        <v>0</v>
      </c>
      <c r="AH62" s="693">
        <f t="shared" si="7"/>
        <v>0</v>
      </c>
      <c r="AI62" s="693">
        <f t="shared" si="8"/>
        <v>0</v>
      </c>
      <c r="AJ62" s="693">
        <f t="shared" si="9"/>
        <v>0</v>
      </c>
      <c r="AK62" s="417"/>
      <c r="AL62" s="69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3">
        <f t="shared" si="10"/>
        <v>0</v>
      </c>
      <c r="AN62" s="693">
        <f t="shared" si="11"/>
        <v>0</v>
      </c>
      <c r="AO62" s="693">
        <f t="shared" si="12"/>
        <v>0</v>
      </c>
      <c r="AP62" s="69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3">
        <f t="shared" si="13"/>
        <v>0</v>
      </c>
      <c r="AR62" s="693">
        <f t="shared" si="14"/>
        <v>0</v>
      </c>
      <c r="AS62" s="693">
        <f t="shared" si="18"/>
        <v>0</v>
      </c>
      <c r="AT62" s="693">
        <f t="shared" si="19"/>
        <v>0</v>
      </c>
      <c r="AU62" s="693">
        <f t="shared" si="15"/>
        <v>0</v>
      </c>
      <c r="AV62" s="693">
        <f t="shared" si="16"/>
        <v>0</v>
      </c>
      <c r="AW62" s="742">
        <f t="shared" si="17"/>
        <v>0</v>
      </c>
      <c r="AX62" s="707"/>
      <c r="AY62" s="707"/>
    </row>
    <row r="63" spans="3:51" s="46" customFormat="1" ht="30.75" hidden="1" customHeight="1" outlineLevel="1">
      <c r="C63" s="743">
        <v>46</v>
      </c>
      <c r="D63" s="708"/>
      <c r="E63" s="752"/>
      <c r="F63" s="753"/>
      <c r="G63" s="1967"/>
      <c r="H63" s="1968"/>
      <c r="I63" s="754"/>
      <c r="J63" s="755"/>
      <c r="K63" s="756"/>
      <c r="L63" s="757"/>
      <c r="M63" s="757"/>
      <c r="N63" s="757"/>
      <c r="O63" s="757"/>
      <c r="P63" s="757"/>
      <c r="Q63" s="757"/>
      <c r="R63" s="1074"/>
      <c r="S63" s="758"/>
      <c r="T63" s="759"/>
      <c r="U63" s="760"/>
      <c r="V63" s="738"/>
      <c r="W63" s="749"/>
      <c r="X63" s="750"/>
      <c r="Z63" s="691">
        <f t="shared" si="2"/>
        <v>0</v>
      </c>
      <c r="AA63" s="691">
        <f t="shared" si="3"/>
        <v>0</v>
      </c>
      <c r="AB63" s="691">
        <f t="shared" si="4"/>
        <v>0</v>
      </c>
      <c r="AC63" s="691">
        <f>IF(Z63=0,,VLOOKUP(Z63,リスト!DC:DD,2,0))</f>
        <v>0</v>
      </c>
      <c r="AD63" s="691">
        <f t="shared" si="5"/>
        <v>0</v>
      </c>
      <c r="AE63" s="692">
        <f>IF(AD63=0,,VLOOKUP(AD63,リスト!DK:DL,2,0))</f>
        <v>0</v>
      </c>
      <c r="AF63" s="691">
        <f>IF(Z63=0,,
IF(OR(リスト!$C$21="小麦",リスト!$C$21="二条大麦",リスト!$C$21="六条大麦",リスト!$C$21="はだか麦",リスト!$C$21="なたね"),IF(K63&lt;9,調査年-J63,調査年-J63-1),
IF(リスト!$C$21="さとうきび",IF(K63&gt;=4,調査年-J63,調査年-J63+1),
調査年-J63)))</f>
        <v>0</v>
      </c>
      <c r="AG63" s="693">
        <f t="shared" si="20"/>
        <v>0</v>
      </c>
      <c r="AH63" s="693">
        <f t="shared" si="7"/>
        <v>0</v>
      </c>
      <c r="AI63" s="693">
        <f t="shared" si="8"/>
        <v>0</v>
      </c>
      <c r="AJ63" s="693">
        <f t="shared" si="9"/>
        <v>0</v>
      </c>
      <c r="AK63" s="417"/>
      <c r="AL63" s="69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3">
        <f t="shared" si="10"/>
        <v>0</v>
      </c>
      <c r="AN63" s="693">
        <f t="shared" si="11"/>
        <v>0</v>
      </c>
      <c r="AO63" s="693">
        <f t="shared" si="12"/>
        <v>0</v>
      </c>
      <c r="AP63" s="69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3">
        <f t="shared" si="13"/>
        <v>0</v>
      </c>
      <c r="AR63" s="693">
        <f t="shared" si="14"/>
        <v>0</v>
      </c>
      <c r="AS63" s="693">
        <f t="shared" si="18"/>
        <v>0</v>
      </c>
      <c r="AT63" s="693">
        <f t="shared" si="19"/>
        <v>0</v>
      </c>
      <c r="AU63" s="693">
        <f t="shared" si="15"/>
        <v>0</v>
      </c>
      <c r="AV63" s="693">
        <f t="shared" si="16"/>
        <v>0</v>
      </c>
      <c r="AW63" s="742">
        <f t="shared" si="17"/>
        <v>0</v>
      </c>
      <c r="AX63" s="707"/>
      <c r="AY63" s="707"/>
    </row>
    <row r="64" spans="3:51" s="46" customFormat="1" ht="30.75" hidden="1" customHeight="1" outlineLevel="1">
      <c r="C64" s="743">
        <v>47</v>
      </c>
      <c r="D64" s="708"/>
      <c r="E64" s="744"/>
      <c r="F64" s="745"/>
      <c r="G64" s="1963"/>
      <c r="H64" s="1964"/>
      <c r="I64" s="700"/>
      <c r="J64" s="746"/>
      <c r="K64" s="701"/>
      <c r="L64" s="702"/>
      <c r="M64" s="702"/>
      <c r="N64" s="702"/>
      <c r="O64" s="702"/>
      <c r="P64" s="702"/>
      <c r="Q64" s="702"/>
      <c r="R64" s="1074"/>
      <c r="S64" s="703"/>
      <c r="T64" s="747"/>
      <c r="U64" s="748"/>
      <c r="V64" s="738"/>
      <c r="W64" s="749"/>
      <c r="X64" s="750"/>
      <c r="Z64" s="691">
        <f t="shared" si="2"/>
        <v>0</v>
      </c>
      <c r="AA64" s="691">
        <f t="shared" si="3"/>
        <v>0</v>
      </c>
      <c r="AB64" s="691">
        <f t="shared" si="4"/>
        <v>0</v>
      </c>
      <c r="AC64" s="691">
        <f>IF(Z64=0,,VLOOKUP(Z64,リスト!DC:DD,2,0))</f>
        <v>0</v>
      </c>
      <c r="AD64" s="691">
        <f t="shared" si="5"/>
        <v>0</v>
      </c>
      <c r="AE64" s="692">
        <f>IF(AD64=0,,VLOOKUP(AD64,リスト!DK:DL,2,0))</f>
        <v>0</v>
      </c>
      <c r="AF64" s="691">
        <f>IF(Z64=0,,
IF(OR(リスト!$C$21="小麦",リスト!$C$21="二条大麦",リスト!$C$21="六条大麦",リスト!$C$21="はだか麦",リスト!$C$21="なたね"),IF(K64&lt;9,調査年-J64,調査年-J64-1),
IF(リスト!$C$21="さとうきび",IF(K64&gt;=4,調査年-J64,調査年-J64+1),
調査年-J64)))</f>
        <v>0</v>
      </c>
      <c r="AG64" s="693">
        <f t="shared" si="20"/>
        <v>0</v>
      </c>
      <c r="AH64" s="693">
        <f t="shared" si="7"/>
        <v>0</v>
      </c>
      <c r="AI64" s="693">
        <f t="shared" si="8"/>
        <v>0</v>
      </c>
      <c r="AJ64" s="693">
        <f t="shared" si="9"/>
        <v>0</v>
      </c>
      <c r="AK64" s="417"/>
      <c r="AL64" s="69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3">
        <f t="shared" si="10"/>
        <v>0</v>
      </c>
      <c r="AN64" s="693">
        <f t="shared" si="11"/>
        <v>0</v>
      </c>
      <c r="AO64" s="693">
        <f t="shared" si="12"/>
        <v>0</v>
      </c>
      <c r="AP64" s="69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3">
        <f t="shared" si="13"/>
        <v>0</v>
      </c>
      <c r="AR64" s="693">
        <f t="shared" si="14"/>
        <v>0</v>
      </c>
      <c r="AS64" s="693">
        <f t="shared" si="18"/>
        <v>0</v>
      </c>
      <c r="AT64" s="693">
        <f t="shared" si="19"/>
        <v>0</v>
      </c>
      <c r="AU64" s="693">
        <f t="shared" si="15"/>
        <v>0</v>
      </c>
      <c r="AV64" s="693">
        <f t="shared" si="16"/>
        <v>0</v>
      </c>
      <c r="AW64" s="742">
        <f t="shared" si="17"/>
        <v>0</v>
      </c>
      <c r="AX64" s="707"/>
      <c r="AY64" s="707"/>
    </row>
    <row r="65" spans="3:51" s="46" customFormat="1" ht="30.75" hidden="1" customHeight="1" outlineLevel="1">
      <c r="C65" s="743">
        <v>48</v>
      </c>
      <c r="D65" s="708"/>
      <c r="E65" s="744"/>
      <c r="F65" s="745"/>
      <c r="G65" s="1963"/>
      <c r="H65" s="1964"/>
      <c r="I65" s="700"/>
      <c r="J65" s="746"/>
      <c r="K65" s="701"/>
      <c r="L65" s="702"/>
      <c r="M65" s="702"/>
      <c r="N65" s="702"/>
      <c r="O65" s="702"/>
      <c r="P65" s="702"/>
      <c r="Q65" s="702"/>
      <c r="R65" s="1074"/>
      <c r="S65" s="703"/>
      <c r="T65" s="747"/>
      <c r="U65" s="748"/>
      <c r="V65" s="738"/>
      <c r="W65" s="749"/>
      <c r="X65" s="750"/>
      <c r="Z65" s="691">
        <f t="shared" si="2"/>
        <v>0</v>
      </c>
      <c r="AA65" s="691">
        <f t="shared" si="3"/>
        <v>0</v>
      </c>
      <c r="AB65" s="691">
        <f t="shared" si="4"/>
        <v>0</v>
      </c>
      <c r="AC65" s="691">
        <f>IF(Z65=0,,VLOOKUP(Z65,リスト!DC:DD,2,0))</f>
        <v>0</v>
      </c>
      <c r="AD65" s="691">
        <f t="shared" si="5"/>
        <v>0</v>
      </c>
      <c r="AE65" s="692">
        <f>IF(AD65=0,,VLOOKUP(AD65,リスト!DK:DL,2,0))</f>
        <v>0</v>
      </c>
      <c r="AF65" s="691">
        <f>IF(Z65=0,,
IF(OR(リスト!$C$21="小麦",リスト!$C$21="二条大麦",リスト!$C$21="六条大麦",リスト!$C$21="はだか麦",リスト!$C$21="なたね"),IF(K65&lt;9,調査年-J65,調査年-J65-1),
IF(リスト!$C$21="さとうきび",IF(K65&gt;=4,調査年-J65,調査年-J65+1),
調査年-J65)))</f>
        <v>0</v>
      </c>
      <c r="AG65" s="693">
        <f t="shared" si="20"/>
        <v>0</v>
      </c>
      <c r="AH65" s="693">
        <f t="shared" si="7"/>
        <v>0</v>
      </c>
      <c r="AI65" s="693">
        <f t="shared" si="8"/>
        <v>0</v>
      </c>
      <c r="AJ65" s="693">
        <f t="shared" si="9"/>
        <v>0</v>
      </c>
      <c r="AK65" s="417"/>
      <c r="AL65" s="69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3">
        <f t="shared" si="10"/>
        <v>0</v>
      </c>
      <c r="AN65" s="693">
        <f t="shared" si="11"/>
        <v>0</v>
      </c>
      <c r="AO65" s="693">
        <f t="shared" si="12"/>
        <v>0</v>
      </c>
      <c r="AP65" s="69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3">
        <f t="shared" si="13"/>
        <v>0</v>
      </c>
      <c r="AR65" s="693">
        <f t="shared" si="14"/>
        <v>0</v>
      </c>
      <c r="AS65" s="693">
        <f t="shared" si="18"/>
        <v>0</v>
      </c>
      <c r="AT65" s="693">
        <f t="shared" si="19"/>
        <v>0</v>
      </c>
      <c r="AU65" s="693">
        <f t="shared" si="15"/>
        <v>0</v>
      </c>
      <c r="AV65" s="693">
        <f t="shared" si="16"/>
        <v>0</v>
      </c>
      <c r="AW65" s="742">
        <f t="shared" si="17"/>
        <v>0</v>
      </c>
      <c r="AX65" s="707"/>
      <c r="AY65" s="707"/>
    </row>
    <row r="66" spans="3:51" s="46" customFormat="1" ht="30.75" hidden="1" customHeight="1" outlineLevel="1">
      <c r="C66" s="743">
        <v>49</v>
      </c>
      <c r="D66" s="708"/>
      <c r="E66" s="744"/>
      <c r="F66" s="745"/>
      <c r="G66" s="1963"/>
      <c r="H66" s="1964"/>
      <c r="I66" s="700"/>
      <c r="J66" s="746"/>
      <c r="K66" s="701"/>
      <c r="L66" s="702"/>
      <c r="M66" s="702"/>
      <c r="N66" s="702"/>
      <c r="O66" s="702"/>
      <c r="P66" s="702"/>
      <c r="Q66" s="702"/>
      <c r="R66" s="1074"/>
      <c r="S66" s="703"/>
      <c r="T66" s="747"/>
      <c r="U66" s="748"/>
      <c r="V66" s="738"/>
      <c r="W66" s="749"/>
      <c r="X66" s="750"/>
      <c r="Z66" s="691">
        <f t="shared" si="2"/>
        <v>0</v>
      </c>
      <c r="AA66" s="691">
        <f t="shared" si="3"/>
        <v>0</v>
      </c>
      <c r="AB66" s="691">
        <f t="shared" si="4"/>
        <v>0</v>
      </c>
      <c r="AC66" s="691">
        <f>IF(Z66=0,,VLOOKUP(Z66,リスト!DC:DD,2,0))</f>
        <v>0</v>
      </c>
      <c r="AD66" s="691">
        <f t="shared" si="5"/>
        <v>0</v>
      </c>
      <c r="AE66" s="692">
        <f>IF(AD66=0,,VLOOKUP(AD66,リスト!DK:DL,2,0))</f>
        <v>0</v>
      </c>
      <c r="AF66" s="691">
        <f>IF(Z66=0,,
IF(OR(リスト!$C$21="小麦",リスト!$C$21="二条大麦",リスト!$C$21="六条大麦",リスト!$C$21="はだか麦",リスト!$C$21="なたね"),IF(K66&lt;9,調査年-J66,調査年-J66-1),
IF(リスト!$C$21="さとうきび",IF(K66&gt;=4,調査年-J66,調査年-J66+1),
調査年-J66)))</f>
        <v>0</v>
      </c>
      <c r="AG66" s="693">
        <f t="shared" si="20"/>
        <v>0</v>
      </c>
      <c r="AH66" s="693">
        <f t="shared" si="7"/>
        <v>0</v>
      </c>
      <c r="AI66" s="693">
        <f t="shared" si="8"/>
        <v>0</v>
      </c>
      <c r="AJ66" s="693">
        <f t="shared" si="9"/>
        <v>0</v>
      </c>
      <c r="AK66" s="417"/>
      <c r="AL66" s="69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3">
        <f t="shared" si="10"/>
        <v>0</v>
      </c>
      <c r="AN66" s="693">
        <f t="shared" si="11"/>
        <v>0</v>
      </c>
      <c r="AO66" s="693">
        <f t="shared" si="12"/>
        <v>0</v>
      </c>
      <c r="AP66" s="69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3">
        <f t="shared" si="13"/>
        <v>0</v>
      </c>
      <c r="AR66" s="693">
        <f t="shared" si="14"/>
        <v>0</v>
      </c>
      <c r="AS66" s="693">
        <f t="shared" si="18"/>
        <v>0</v>
      </c>
      <c r="AT66" s="693">
        <f t="shared" si="19"/>
        <v>0</v>
      </c>
      <c r="AU66" s="693">
        <f t="shared" si="15"/>
        <v>0</v>
      </c>
      <c r="AV66" s="693">
        <f t="shared" si="16"/>
        <v>0</v>
      </c>
      <c r="AW66" s="742">
        <f t="shared" si="17"/>
        <v>0</v>
      </c>
      <c r="AX66" s="707"/>
      <c r="AY66" s="707"/>
    </row>
    <row r="67" spans="3:51" s="46" customFormat="1" ht="30.75" hidden="1" customHeight="1" outlineLevel="1">
      <c r="C67" s="743">
        <v>50</v>
      </c>
      <c r="D67" s="708"/>
      <c r="E67" s="744"/>
      <c r="F67" s="745"/>
      <c r="G67" s="1963"/>
      <c r="H67" s="1964"/>
      <c r="I67" s="700"/>
      <c r="J67" s="746"/>
      <c r="K67" s="701"/>
      <c r="L67" s="702"/>
      <c r="M67" s="702"/>
      <c r="N67" s="702"/>
      <c r="O67" s="702"/>
      <c r="P67" s="702"/>
      <c r="Q67" s="702"/>
      <c r="R67" s="1074"/>
      <c r="S67" s="703"/>
      <c r="T67" s="747"/>
      <c r="U67" s="748"/>
      <c r="V67" s="738"/>
      <c r="W67" s="749"/>
      <c r="X67" s="750"/>
      <c r="Z67" s="691">
        <f t="shared" si="2"/>
        <v>0</v>
      </c>
      <c r="AA67" s="691">
        <f t="shared" si="3"/>
        <v>0</v>
      </c>
      <c r="AB67" s="691">
        <f t="shared" si="4"/>
        <v>0</v>
      </c>
      <c r="AC67" s="691">
        <f>IF(Z67=0,,VLOOKUP(Z67,リスト!DC:DD,2,0))</f>
        <v>0</v>
      </c>
      <c r="AD67" s="691">
        <f t="shared" si="5"/>
        <v>0</v>
      </c>
      <c r="AE67" s="692">
        <f>IF(AD67=0,,VLOOKUP(AD67,リスト!DK:DL,2,0))</f>
        <v>0</v>
      </c>
      <c r="AF67" s="691">
        <f>IF(Z67=0,,
IF(OR(リスト!$C$21="小麦",リスト!$C$21="二条大麦",リスト!$C$21="六条大麦",リスト!$C$21="はだか麦",リスト!$C$21="なたね"),IF(K67&lt;9,調査年-J67,調査年-J67-1),
IF(リスト!$C$21="さとうきび",IF(K67&gt;=4,調査年-J67,調査年-J67+1),
調査年-J67)))</f>
        <v>0</v>
      </c>
      <c r="AG67" s="693">
        <f t="shared" si="20"/>
        <v>0</v>
      </c>
      <c r="AH67" s="693">
        <f t="shared" si="7"/>
        <v>0</v>
      </c>
      <c r="AI67" s="693">
        <f t="shared" si="8"/>
        <v>0</v>
      </c>
      <c r="AJ67" s="693">
        <f t="shared" si="9"/>
        <v>0</v>
      </c>
      <c r="AK67" s="417"/>
      <c r="AL67" s="69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3">
        <f t="shared" si="10"/>
        <v>0</v>
      </c>
      <c r="AN67" s="693">
        <f t="shared" si="11"/>
        <v>0</v>
      </c>
      <c r="AO67" s="693">
        <f t="shared" si="12"/>
        <v>0</v>
      </c>
      <c r="AP67" s="69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3">
        <f t="shared" si="13"/>
        <v>0</v>
      </c>
      <c r="AR67" s="693">
        <f t="shared" si="14"/>
        <v>0</v>
      </c>
      <c r="AS67" s="693">
        <f t="shared" si="18"/>
        <v>0</v>
      </c>
      <c r="AT67" s="693">
        <f t="shared" si="19"/>
        <v>0</v>
      </c>
      <c r="AU67" s="693">
        <f t="shared" si="15"/>
        <v>0</v>
      </c>
      <c r="AV67" s="693">
        <f t="shared" si="16"/>
        <v>0</v>
      </c>
      <c r="AW67" s="742">
        <f t="shared" si="17"/>
        <v>0</v>
      </c>
      <c r="AX67" s="707"/>
      <c r="AY67" s="707"/>
    </row>
    <row r="68" spans="3:51" s="46" customFormat="1" ht="30.75" hidden="1" customHeight="1" outlineLevel="1">
      <c r="C68" s="743">
        <v>51</v>
      </c>
      <c r="D68" s="708"/>
      <c r="E68" s="744"/>
      <c r="F68" s="745"/>
      <c r="G68" s="1963"/>
      <c r="H68" s="1964"/>
      <c r="I68" s="700"/>
      <c r="J68" s="746"/>
      <c r="K68" s="701"/>
      <c r="L68" s="702"/>
      <c r="M68" s="702"/>
      <c r="N68" s="702"/>
      <c r="O68" s="702"/>
      <c r="P68" s="702"/>
      <c r="Q68" s="702"/>
      <c r="R68" s="1074"/>
      <c r="S68" s="703"/>
      <c r="T68" s="747"/>
      <c r="U68" s="748"/>
      <c r="V68" s="738"/>
      <c r="W68" s="749"/>
      <c r="X68" s="750"/>
      <c r="Z68" s="691">
        <f t="shared" si="2"/>
        <v>0</v>
      </c>
      <c r="AA68" s="691">
        <f t="shared" si="3"/>
        <v>0</v>
      </c>
      <c r="AB68" s="691">
        <f t="shared" si="4"/>
        <v>0</v>
      </c>
      <c r="AC68" s="691">
        <f>IF(Z68=0,,VLOOKUP(Z68,リスト!DC:DD,2,0))</f>
        <v>0</v>
      </c>
      <c r="AD68" s="691">
        <f t="shared" si="5"/>
        <v>0</v>
      </c>
      <c r="AE68" s="692">
        <f>IF(AD68=0,,VLOOKUP(AD68,リスト!DK:DL,2,0))</f>
        <v>0</v>
      </c>
      <c r="AF68" s="691">
        <f>IF(Z68=0,,
IF(OR(リスト!$C$21="小麦",リスト!$C$21="二条大麦",リスト!$C$21="六条大麦",リスト!$C$21="はだか麦",リスト!$C$21="なたね"),IF(K68&lt;9,調査年-J68,調査年-J68-1),
IF(リスト!$C$21="さとうきび",IF(K68&gt;=4,調査年-J68,調査年-J68+1),
調査年-J68)))</f>
        <v>0</v>
      </c>
      <c r="AG68" s="693">
        <f t="shared" si="20"/>
        <v>0</v>
      </c>
      <c r="AH68" s="693">
        <f t="shared" si="7"/>
        <v>0</v>
      </c>
      <c r="AI68" s="693">
        <f t="shared" si="8"/>
        <v>0</v>
      </c>
      <c r="AJ68" s="693">
        <f t="shared" si="9"/>
        <v>0</v>
      </c>
      <c r="AK68" s="417"/>
      <c r="AL68" s="69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3">
        <f t="shared" si="10"/>
        <v>0</v>
      </c>
      <c r="AN68" s="693">
        <f t="shared" si="11"/>
        <v>0</v>
      </c>
      <c r="AO68" s="693">
        <f t="shared" si="12"/>
        <v>0</v>
      </c>
      <c r="AP68" s="69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3">
        <f t="shared" si="13"/>
        <v>0</v>
      </c>
      <c r="AR68" s="693">
        <f t="shared" si="14"/>
        <v>0</v>
      </c>
      <c r="AS68" s="693">
        <f t="shared" si="18"/>
        <v>0</v>
      </c>
      <c r="AT68" s="693">
        <f t="shared" si="19"/>
        <v>0</v>
      </c>
      <c r="AU68" s="693">
        <f t="shared" si="15"/>
        <v>0</v>
      </c>
      <c r="AV68" s="693">
        <f t="shared" si="16"/>
        <v>0</v>
      </c>
      <c r="AW68" s="742">
        <f t="shared" si="17"/>
        <v>0</v>
      </c>
      <c r="AX68" s="707"/>
      <c r="AY68" s="707"/>
    </row>
    <row r="69" spans="3:51" s="46" customFormat="1" ht="30.75" hidden="1" customHeight="1" outlineLevel="1">
      <c r="C69" s="743">
        <v>52</v>
      </c>
      <c r="D69" s="708"/>
      <c r="E69" s="744"/>
      <c r="F69" s="745"/>
      <c r="G69" s="1963"/>
      <c r="H69" s="1964"/>
      <c r="I69" s="700"/>
      <c r="J69" s="746"/>
      <c r="K69" s="701"/>
      <c r="L69" s="702"/>
      <c r="M69" s="702"/>
      <c r="N69" s="702"/>
      <c r="O69" s="702"/>
      <c r="P69" s="702"/>
      <c r="Q69" s="702"/>
      <c r="R69" s="1074"/>
      <c r="S69" s="703"/>
      <c r="T69" s="747"/>
      <c r="U69" s="748"/>
      <c r="V69" s="738"/>
      <c r="W69" s="749"/>
      <c r="X69" s="750"/>
      <c r="Z69" s="691">
        <f t="shared" si="2"/>
        <v>0</v>
      </c>
      <c r="AA69" s="691">
        <f t="shared" si="3"/>
        <v>0</v>
      </c>
      <c r="AB69" s="691">
        <f t="shared" si="4"/>
        <v>0</v>
      </c>
      <c r="AC69" s="691">
        <f>IF(Z69=0,,VLOOKUP(Z69,リスト!DC:DD,2,0))</f>
        <v>0</v>
      </c>
      <c r="AD69" s="691">
        <f t="shared" si="5"/>
        <v>0</v>
      </c>
      <c r="AE69" s="692">
        <f>IF(AD69=0,,VLOOKUP(AD69,リスト!DK:DL,2,0))</f>
        <v>0</v>
      </c>
      <c r="AF69" s="691">
        <f>IF(Z69=0,,
IF(OR(リスト!$C$21="小麦",リスト!$C$21="二条大麦",リスト!$C$21="六条大麦",リスト!$C$21="はだか麦",リスト!$C$21="なたね"),IF(K69&lt;9,調査年-J69,調査年-J69-1),
IF(リスト!$C$21="さとうきび",IF(K69&gt;=4,調査年-J69,調査年-J69+1),
調査年-J69)))</f>
        <v>0</v>
      </c>
      <c r="AG69" s="693">
        <f t="shared" si="20"/>
        <v>0</v>
      </c>
      <c r="AH69" s="693">
        <f t="shared" si="7"/>
        <v>0</v>
      </c>
      <c r="AI69" s="693">
        <f t="shared" si="8"/>
        <v>0</v>
      </c>
      <c r="AJ69" s="693">
        <f t="shared" si="9"/>
        <v>0</v>
      </c>
      <c r="AK69" s="417"/>
      <c r="AL69" s="69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3">
        <f t="shared" si="10"/>
        <v>0</v>
      </c>
      <c r="AN69" s="693">
        <f t="shared" si="11"/>
        <v>0</v>
      </c>
      <c r="AO69" s="693">
        <f t="shared" si="12"/>
        <v>0</v>
      </c>
      <c r="AP69" s="69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3">
        <f t="shared" si="13"/>
        <v>0</v>
      </c>
      <c r="AR69" s="693">
        <f t="shared" si="14"/>
        <v>0</v>
      </c>
      <c r="AS69" s="693">
        <f t="shared" si="18"/>
        <v>0</v>
      </c>
      <c r="AT69" s="693">
        <f t="shared" si="19"/>
        <v>0</v>
      </c>
      <c r="AU69" s="693">
        <f t="shared" si="15"/>
        <v>0</v>
      </c>
      <c r="AV69" s="693">
        <f t="shared" si="16"/>
        <v>0</v>
      </c>
      <c r="AW69" s="742">
        <f t="shared" si="17"/>
        <v>0</v>
      </c>
      <c r="AX69" s="707"/>
      <c r="AY69" s="707"/>
    </row>
    <row r="70" spans="3:51" s="46" customFormat="1" ht="30.75" hidden="1" customHeight="1" outlineLevel="1">
      <c r="C70" s="743">
        <v>53</v>
      </c>
      <c r="D70" s="708"/>
      <c r="E70" s="744"/>
      <c r="F70" s="745"/>
      <c r="G70" s="1963"/>
      <c r="H70" s="1964"/>
      <c r="I70" s="700"/>
      <c r="J70" s="746"/>
      <c r="K70" s="701"/>
      <c r="L70" s="702"/>
      <c r="M70" s="702"/>
      <c r="N70" s="702"/>
      <c r="O70" s="702"/>
      <c r="P70" s="702"/>
      <c r="Q70" s="702"/>
      <c r="R70" s="1074"/>
      <c r="S70" s="703"/>
      <c r="T70" s="747"/>
      <c r="U70" s="748"/>
      <c r="V70" s="738"/>
      <c r="W70" s="749"/>
      <c r="X70" s="750"/>
      <c r="Z70" s="691">
        <f t="shared" si="2"/>
        <v>0</v>
      </c>
      <c r="AA70" s="691">
        <f t="shared" si="3"/>
        <v>0</v>
      </c>
      <c r="AB70" s="691">
        <f t="shared" si="4"/>
        <v>0</v>
      </c>
      <c r="AC70" s="691">
        <f>IF(Z70=0,,VLOOKUP(Z70,リスト!DC:DD,2,0))</f>
        <v>0</v>
      </c>
      <c r="AD70" s="691">
        <f t="shared" si="5"/>
        <v>0</v>
      </c>
      <c r="AE70" s="692">
        <f>IF(AD70=0,,VLOOKUP(AD70,リスト!DK:DL,2,0))</f>
        <v>0</v>
      </c>
      <c r="AF70" s="691">
        <f>IF(Z70=0,,
IF(OR(リスト!$C$21="小麦",リスト!$C$21="二条大麦",リスト!$C$21="六条大麦",リスト!$C$21="はだか麦",リスト!$C$21="なたね"),IF(K70&lt;9,調査年-J70,調査年-J70-1),
IF(リスト!$C$21="さとうきび",IF(K70&gt;=4,調査年-J70,調査年-J70+1),
調査年-J70)))</f>
        <v>0</v>
      </c>
      <c r="AG70" s="693">
        <f t="shared" si="20"/>
        <v>0</v>
      </c>
      <c r="AH70" s="693">
        <f t="shared" si="7"/>
        <v>0</v>
      </c>
      <c r="AI70" s="693">
        <f t="shared" si="8"/>
        <v>0</v>
      </c>
      <c r="AJ70" s="693">
        <f t="shared" si="9"/>
        <v>0</v>
      </c>
      <c r="AK70" s="417"/>
      <c r="AL70" s="69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3">
        <f t="shared" si="10"/>
        <v>0</v>
      </c>
      <c r="AN70" s="693">
        <f t="shared" si="11"/>
        <v>0</v>
      </c>
      <c r="AO70" s="693">
        <f t="shared" si="12"/>
        <v>0</v>
      </c>
      <c r="AP70" s="69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3">
        <f t="shared" si="13"/>
        <v>0</v>
      </c>
      <c r="AR70" s="693">
        <f t="shared" si="14"/>
        <v>0</v>
      </c>
      <c r="AS70" s="693">
        <f t="shared" si="18"/>
        <v>0</v>
      </c>
      <c r="AT70" s="693">
        <f t="shared" si="19"/>
        <v>0</v>
      </c>
      <c r="AU70" s="693">
        <f t="shared" si="15"/>
        <v>0</v>
      </c>
      <c r="AV70" s="693">
        <f t="shared" si="16"/>
        <v>0</v>
      </c>
      <c r="AW70" s="742">
        <f t="shared" si="17"/>
        <v>0</v>
      </c>
      <c r="AX70" s="707"/>
      <c r="AY70" s="707"/>
    </row>
    <row r="71" spans="3:51" s="46" customFormat="1" ht="30.75" hidden="1" customHeight="1" outlineLevel="1">
      <c r="C71" s="743">
        <v>54</v>
      </c>
      <c r="D71" s="708"/>
      <c r="E71" s="744"/>
      <c r="F71" s="745"/>
      <c r="G71" s="1963"/>
      <c r="H71" s="1964"/>
      <c r="I71" s="700"/>
      <c r="J71" s="746"/>
      <c r="K71" s="701"/>
      <c r="L71" s="702"/>
      <c r="M71" s="702"/>
      <c r="N71" s="702"/>
      <c r="O71" s="702"/>
      <c r="P71" s="702"/>
      <c r="Q71" s="702"/>
      <c r="R71" s="1074"/>
      <c r="S71" s="703"/>
      <c r="T71" s="747"/>
      <c r="U71" s="748"/>
      <c r="V71" s="738"/>
      <c r="W71" s="749"/>
      <c r="X71" s="750"/>
      <c r="Z71" s="691">
        <f t="shared" si="2"/>
        <v>0</v>
      </c>
      <c r="AA71" s="691">
        <f t="shared" si="3"/>
        <v>0</v>
      </c>
      <c r="AB71" s="691">
        <f t="shared" si="4"/>
        <v>0</v>
      </c>
      <c r="AC71" s="691">
        <f>IF(Z71=0,,VLOOKUP(Z71,リスト!DC:DD,2,0))</f>
        <v>0</v>
      </c>
      <c r="AD71" s="691">
        <f t="shared" si="5"/>
        <v>0</v>
      </c>
      <c r="AE71" s="692">
        <f>IF(AD71=0,,VLOOKUP(AD71,リスト!DK:DL,2,0))</f>
        <v>0</v>
      </c>
      <c r="AF71" s="691">
        <f>IF(Z71=0,,
IF(OR(リスト!$C$21="小麦",リスト!$C$21="二条大麦",リスト!$C$21="六条大麦",リスト!$C$21="はだか麦",リスト!$C$21="なたね"),IF(K71&lt;9,調査年-J71,調査年-J71-1),
IF(リスト!$C$21="さとうきび",IF(K71&gt;=4,調査年-J71,調査年-J71+1),
調査年-J71)))</f>
        <v>0</v>
      </c>
      <c r="AG71" s="693">
        <f t="shared" si="20"/>
        <v>0</v>
      </c>
      <c r="AH71" s="693">
        <f t="shared" si="7"/>
        <v>0</v>
      </c>
      <c r="AI71" s="693">
        <f t="shared" si="8"/>
        <v>0</v>
      </c>
      <c r="AJ71" s="693">
        <f t="shared" si="9"/>
        <v>0</v>
      </c>
      <c r="AK71" s="417"/>
      <c r="AL71" s="69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3">
        <f t="shared" si="10"/>
        <v>0</v>
      </c>
      <c r="AN71" s="693">
        <f t="shared" si="11"/>
        <v>0</v>
      </c>
      <c r="AO71" s="693">
        <f t="shared" si="12"/>
        <v>0</v>
      </c>
      <c r="AP71" s="69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3">
        <f t="shared" si="13"/>
        <v>0</v>
      </c>
      <c r="AR71" s="693">
        <f t="shared" si="14"/>
        <v>0</v>
      </c>
      <c r="AS71" s="693">
        <f t="shared" si="18"/>
        <v>0</v>
      </c>
      <c r="AT71" s="693">
        <f t="shared" si="19"/>
        <v>0</v>
      </c>
      <c r="AU71" s="693">
        <f t="shared" si="15"/>
        <v>0</v>
      </c>
      <c r="AV71" s="693">
        <f t="shared" si="16"/>
        <v>0</v>
      </c>
      <c r="AW71" s="742">
        <f t="shared" si="17"/>
        <v>0</v>
      </c>
      <c r="AX71" s="707"/>
      <c r="AY71" s="707"/>
    </row>
    <row r="72" spans="3:51" s="46" customFormat="1" ht="30.75" hidden="1" customHeight="1" outlineLevel="1">
      <c r="C72" s="743">
        <v>55</v>
      </c>
      <c r="D72" s="708"/>
      <c r="E72" s="744"/>
      <c r="F72" s="745"/>
      <c r="G72" s="1963"/>
      <c r="H72" s="1964"/>
      <c r="I72" s="700"/>
      <c r="J72" s="746"/>
      <c r="K72" s="701"/>
      <c r="L72" s="702"/>
      <c r="M72" s="702"/>
      <c r="N72" s="702"/>
      <c r="O72" s="702"/>
      <c r="P72" s="702"/>
      <c r="Q72" s="702"/>
      <c r="R72" s="1074"/>
      <c r="S72" s="703"/>
      <c r="T72" s="747"/>
      <c r="U72" s="748"/>
      <c r="V72" s="738"/>
      <c r="W72" s="749"/>
      <c r="X72" s="750"/>
      <c r="Z72" s="691">
        <f t="shared" si="2"/>
        <v>0</v>
      </c>
      <c r="AA72" s="691">
        <f t="shared" si="3"/>
        <v>0</v>
      </c>
      <c r="AB72" s="691">
        <f t="shared" si="4"/>
        <v>0</v>
      </c>
      <c r="AC72" s="691">
        <f>IF(Z72=0,,VLOOKUP(Z72,リスト!DC:DD,2,0))</f>
        <v>0</v>
      </c>
      <c r="AD72" s="691">
        <f t="shared" si="5"/>
        <v>0</v>
      </c>
      <c r="AE72" s="692">
        <f>IF(AD72=0,,VLOOKUP(AD72,リスト!DK:DL,2,0))</f>
        <v>0</v>
      </c>
      <c r="AF72" s="691">
        <f>IF(Z72=0,,
IF(OR(リスト!$C$21="小麦",リスト!$C$21="二条大麦",リスト!$C$21="六条大麦",リスト!$C$21="はだか麦",リスト!$C$21="なたね"),IF(K72&lt;9,調査年-J72,調査年-J72-1),
IF(リスト!$C$21="さとうきび",IF(K72&gt;=4,調査年-J72,調査年-J72+1),
調査年-J72)))</f>
        <v>0</v>
      </c>
      <c r="AG72" s="693">
        <f t="shared" si="20"/>
        <v>0</v>
      </c>
      <c r="AH72" s="693">
        <f t="shared" si="7"/>
        <v>0</v>
      </c>
      <c r="AI72" s="693">
        <f t="shared" si="8"/>
        <v>0</v>
      </c>
      <c r="AJ72" s="693">
        <f t="shared" si="9"/>
        <v>0</v>
      </c>
      <c r="AK72" s="417"/>
      <c r="AL72" s="69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3">
        <f t="shared" si="10"/>
        <v>0</v>
      </c>
      <c r="AN72" s="693">
        <f t="shared" si="11"/>
        <v>0</v>
      </c>
      <c r="AO72" s="693">
        <f t="shared" si="12"/>
        <v>0</v>
      </c>
      <c r="AP72" s="69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3">
        <f t="shared" si="13"/>
        <v>0</v>
      </c>
      <c r="AR72" s="693">
        <f t="shared" si="14"/>
        <v>0</v>
      </c>
      <c r="AS72" s="693">
        <f t="shared" si="18"/>
        <v>0</v>
      </c>
      <c r="AT72" s="693">
        <f t="shared" si="19"/>
        <v>0</v>
      </c>
      <c r="AU72" s="693">
        <f t="shared" si="15"/>
        <v>0</v>
      </c>
      <c r="AV72" s="693">
        <f t="shared" si="16"/>
        <v>0</v>
      </c>
      <c r="AW72" s="742">
        <f t="shared" si="17"/>
        <v>0</v>
      </c>
      <c r="AX72" s="707"/>
      <c r="AY72" s="707"/>
    </row>
    <row r="73" spans="3:51" s="46" customFormat="1" ht="30.75" hidden="1" customHeight="1" outlineLevel="1">
      <c r="C73" s="743">
        <v>56</v>
      </c>
      <c r="D73" s="708"/>
      <c r="E73" s="752"/>
      <c r="F73" s="753"/>
      <c r="G73" s="1967"/>
      <c r="H73" s="1968"/>
      <c r="I73" s="754"/>
      <c r="J73" s="755"/>
      <c r="K73" s="756"/>
      <c r="L73" s="757"/>
      <c r="M73" s="757"/>
      <c r="N73" s="757"/>
      <c r="O73" s="757"/>
      <c r="P73" s="757"/>
      <c r="Q73" s="757"/>
      <c r="R73" s="1074"/>
      <c r="S73" s="758"/>
      <c r="T73" s="759"/>
      <c r="U73" s="760"/>
      <c r="V73" s="738"/>
      <c r="W73" s="749"/>
      <c r="X73" s="750"/>
      <c r="Z73" s="691">
        <f t="shared" si="2"/>
        <v>0</v>
      </c>
      <c r="AA73" s="691">
        <f t="shared" si="3"/>
        <v>0</v>
      </c>
      <c r="AB73" s="691">
        <f t="shared" si="4"/>
        <v>0</v>
      </c>
      <c r="AC73" s="691">
        <f>IF(Z73=0,,VLOOKUP(Z73,リスト!DC:DD,2,0))</f>
        <v>0</v>
      </c>
      <c r="AD73" s="691">
        <f t="shared" si="5"/>
        <v>0</v>
      </c>
      <c r="AE73" s="692">
        <f>IF(AD73=0,,VLOOKUP(AD73,リスト!DK:DL,2,0))</f>
        <v>0</v>
      </c>
      <c r="AF73" s="691">
        <f>IF(Z73=0,,
IF(OR(リスト!$C$21="小麦",リスト!$C$21="二条大麦",リスト!$C$21="六条大麦",リスト!$C$21="はだか麦",リスト!$C$21="なたね"),IF(K73&lt;9,調査年-J73,調査年-J73-1),
IF(リスト!$C$21="さとうきび",IF(K73&gt;=4,調査年-J73,調査年-J73+1),
調査年-J73)))</f>
        <v>0</v>
      </c>
      <c r="AG73" s="693">
        <f t="shared" si="20"/>
        <v>0</v>
      </c>
      <c r="AH73" s="693">
        <f t="shared" si="7"/>
        <v>0</v>
      </c>
      <c r="AI73" s="693">
        <f t="shared" si="8"/>
        <v>0</v>
      </c>
      <c r="AJ73" s="693">
        <f t="shared" si="9"/>
        <v>0</v>
      </c>
      <c r="AK73" s="417"/>
      <c r="AL73" s="69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3">
        <f t="shared" si="10"/>
        <v>0</v>
      </c>
      <c r="AN73" s="693">
        <f t="shared" si="11"/>
        <v>0</v>
      </c>
      <c r="AO73" s="693">
        <f t="shared" si="12"/>
        <v>0</v>
      </c>
      <c r="AP73" s="69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3">
        <f t="shared" si="13"/>
        <v>0</v>
      </c>
      <c r="AR73" s="693">
        <f t="shared" si="14"/>
        <v>0</v>
      </c>
      <c r="AS73" s="693">
        <f t="shared" si="18"/>
        <v>0</v>
      </c>
      <c r="AT73" s="693">
        <f t="shared" si="19"/>
        <v>0</v>
      </c>
      <c r="AU73" s="693">
        <f t="shared" si="15"/>
        <v>0</v>
      </c>
      <c r="AV73" s="693">
        <f t="shared" si="16"/>
        <v>0</v>
      </c>
      <c r="AW73" s="742">
        <f t="shared" si="17"/>
        <v>0</v>
      </c>
      <c r="AX73" s="707"/>
      <c r="AY73" s="707"/>
    </row>
    <row r="74" spans="3:51" s="46" customFormat="1" ht="30.75" hidden="1" customHeight="1" outlineLevel="1">
      <c r="C74" s="743">
        <v>57</v>
      </c>
      <c r="D74" s="708"/>
      <c r="E74" s="744"/>
      <c r="F74" s="745"/>
      <c r="G74" s="1963"/>
      <c r="H74" s="1964"/>
      <c r="I74" s="700"/>
      <c r="J74" s="746"/>
      <c r="K74" s="701"/>
      <c r="L74" s="702"/>
      <c r="M74" s="702"/>
      <c r="N74" s="702"/>
      <c r="O74" s="702"/>
      <c r="P74" s="702"/>
      <c r="Q74" s="702"/>
      <c r="R74" s="1074"/>
      <c r="S74" s="703"/>
      <c r="T74" s="747"/>
      <c r="U74" s="748"/>
      <c r="V74" s="738"/>
      <c r="W74" s="749"/>
      <c r="X74" s="750"/>
      <c r="Z74" s="691">
        <f t="shared" si="2"/>
        <v>0</v>
      </c>
      <c r="AA74" s="691">
        <f t="shared" si="3"/>
        <v>0</v>
      </c>
      <c r="AB74" s="691">
        <f t="shared" si="4"/>
        <v>0</v>
      </c>
      <c r="AC74" s="691">
        <f>IF(Z74=0,,VLOOKUP(Z74,リスト!DC:DD,2,0))</f>
        <v>0</v>
      </c>
      <c r="AD74" s="691">
        <f t="shared" si="5"/>
        <v>0</v>
      </c>
      <c r="AE74" s="692">
        <f>IF(AD74=0,,VLOOKUP(AD74,リスト!DK:DL,2,0))</f>
        <v>0</v>
      </c>
      <c r="AF74" s="691">
        <f>IF(Z74=0,,
IF(OR(リスト!$C$21="小麦",リスト!$C$21="二条大麦",リスト!$C$21="六条大麦",リスト!$C$21="はだか麦",リスト!$C$21="なたね"),IF(K74&lt;9,調査年-J74,調査年-J74-1),
IF(リスト!$C$21="さとうきび",IF(K74&gt;=4,調査年-J74,調査年-J74+1),
調査年-J74)))</f>
        <v>0</v>
      </c>
      <c r="AG74" s="693">
        <f t="shared" si="20"/>
        <v>0</v>
      </c>
      <c r="AH74" s="693">
        <f t="shared" si="7"/>
        <v>0</v>
      </c>
      <c r="AI74" s="693">
        <f t="shared" si="8"/>
        <v>0</v>
      </c>
      <c r="AJ74" s="693">
        <f t="shared" si="9"/>
        <v>0</v>
      </c>
      <c r="AK74" s="417"/>
      <c r="AL74" s="69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3">
        <f t="shared" si="10"/>
        <v>0</v>
      </c>
      <c r="AN74" s="693">
        <f t="shared" si="11"/>
        <v>0</v>
      </c>
      <c r="AO74" s="693">
        <f t="shared" si="12"/>
        <v>0</v>
      </c>
      <c r="AP74" s="69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3">
        <f t="shared" si="13"/>
        <v>0</v>
      </c>
      <c r="AR74" s="693">
        <f t="shared" si="14"/>
        <v>0</v>
      </c>
      <c r="AS74" s="693">
        <f t="shared" si="18"/>
        <v>0</v>
      </c>
      <c r="AT74" s="693">
        <f t="shared" si="19"/>
        <v>0</v>
      </c>
      <c r="AU74" s="693">
        <f t="shared" si="15"/>
        <v>0</v>
      </c>
      <c r="AV74" s="693">
        <f t="shared" si="16"/>
        <v>0</v>
      </c>
      <c r="AW74" s="742">
        <f t="shared" si="17"/>
        <v>0</v>
      </c>
      <c r="AX74" s="707"/>
      <c r="AY74" s="707"/>
    </row>
    <row r="75" spans="3:51" s="46" customFormat="1" ht="30.75" hidden="1" customHeight="1" outlineLevel="1">
      <c r="C75" s="743">
        <v>58</v>
      </c>
      <c r="D75" s="708"/>
      <c r="E75" s="744"/>
      <c r="F75" s="745"/>
      <c r="G75" s="1963"/>
      <c r="H75" s="1964"/>
      <c r="I75" s="700"/>
      <c r="J75" s="746"/>
      <c r="K75" s="701"/>
      <c r="L75" s="702"/>
      <c r="M75" s="702"/>
      <c r="N75" s="702"/>
      <c r="O75" s="702"/>
      <c r="P75" s="702"/>
      <c r="Q75" s="702"/>
      <c r="R75" s="1074"/>
      <c r="S75" s="703"/>
      <c r="T75" s="747"/>
      <c r="U75" s="748"/>
      <c r="V75" s="738"/>
      <c r="W75" s="749"/>
      <c r="X75" s="750"/>
      <c r="Z75" s="691">
        <f t="shared" si="2"/>
        <v>0</v>
      </c>
      <c r="AA75" s="691">
        <f t="shared" si="3"/>
        <v>0</v>
      </c>
      <c r="AB75" s="691">
        <f t="shared" si="4"/>
        <v>0</v>
      </c>
      <c r="AC75" s="691">
        <f>IF(Z75=0,,VLOOKUP(Z75,リスト!DC:DD,2,0))</f>
        <v>0</v>
      </c>
      <c r="AD75" s="691">
        <f t="shared" si="5"/>
        <v>0</v>
      </c>
      <c r="AE75" s="692">
        <f>IF(AD75=0,,VLOOKUP(AD75,リスト!DK:DL,2,0))</f>
        <v>0</v>
      </c>
      <c r="AF75" s="691">
        <f>IF(Z75=0,,
IF(OR(リスト!$C$21="小麦",リスト!$C$21="二条大麦",リスト!$C$21="六条大麦",リスト!$C$21="はだか麦",リスト!$C$21="なたね"),IF(K75&lt;9,調査年-J75,調査年-J75-1),
IF(リスト!$C$21="さとうきび",IF(K75&gt;=4,調査年-J75,調査年-J75+1),
調査年-J75)))</f>
        <v>0</v>
      </c>
      <c r="AG75" s="693">
        <f t="shared" si="20"/>
        <v>0</v>
      </c>
      <c r="AH75" s="693">
        <f t="shared" si="7"/>
        <v>0</v>
      </c>
      <c r="AI75" s="693">
        <f t="shared" si="8"/>
        <v>0</v>
      </c>
      <c r="AJ75" s="693">
        <f t="shared" si="9"/>
        <v>0</v>
      </c>
      <c r="AK75" s="417"/>
      <c r="AL75" s="69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3">
        <f t="shared" si="10"/>
        <v>0</v>
      </c>
      <c r="AN75" s="693">
        <f t="shared" si="11"/>
        <v>0</v>
      </c>
      <c r="AO75" s="693">
        <f t="shared" si="12"/>
        <v>0</v>
      </c>
      <c r="AP75" s="69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3">
        <f t="shared" si="13"/>
        <v>0</v>
      </c>
      <c r="AR75" s="693">
        <f t="shared" si="14"/>
        <v>0</v>
      </c>
      <c r="AS75" s="693">
        <f t="shared" si="18"/>
        <v>0</v>
      </c>
      <c r="AT75" s="693">
        <f t="shared" si="19"/>
        <v>0</v>
      </c>
      <c r="AU75" s="693">
        <f t="shared" si="15"/>
        <v>0</v>
      </c>
      <c r="AV75" s="693">
        <f t="shared" si="16"/>
        <v>0</v>
      </c>
      <c r="AW75" s="742">
        <f t="shared" si="17"/>
        <v>0</v>
      </c>
      <c r="AX75" s="707"/>
      <c r="AY75" s="707"/>
    </row>
    <row r="76" spans="3:51" s="46" customFormat="1" ht="30.75" hidden="1" customHeight="1" outlineLevel="1">
      <c r="C76" s="743">
        <v>59</v>
      </c>
      <c r="D76" s="708"/>
      <c r="E76" s="744"/>
      <c r="F76" s="745"/>
      <c r="G76" s="1963"/>
      <c r="H76" s="1964"/>
      <c r="I76" s="700"/>
      <c r="J76" s="746"/>
      <c r="K76" s="701"/>
      <c r="L76" s="702"/>
      <c r="M76" s="702"/>
      <c r="N76" s="702"/>
      <c r="O76" s="702"/>
      <c r="P76" s="702"/>
      <c r="Q76" s="702"/>
      <c r="R76" s="1074"/>
      <c r="S76" s="703"/>
      <c r="T76" s="747"/>
      <c r="U76" s="748"/>
      <c r="V76" s="738"/>
      <c r="W76" s="749"/>
      <c r="X76" s="750"/>
      <c r="Z76" s="691">
        <f t="shared" si="2"/>
        <v>0</v>
      </c>
      <c r="AA76" s="691">
        <f t="shared" si="3"/>
        <v>0</v>
      </c>
      <c r="AB76" s="691">
        <f t="shared" si="4"/>
        <v>0</v>
      </c>
      <c r="AC76" s="691">
        <f>IF(Z76=0,,VLOOKUP(Z76,リスト!DC:DD,2,0))</f>
        <v>0</v>
      </c>
      <c r="AD76" s="691">
        <f t="shared" si="5"/>
        <v>0</v>
      </c>
      <c r="AE76" s="692">
        <f>IF(AD76=0,,VLOOKUP(AD76,リスト!DK:DL,2,0))</f>
        <v>0</v>
      </c>
      <c r="AF76" s="691">
        <f>IF(Z76=0,,
IF(OR(リスト!$C$21="小麦",リスト!$C$21="二条大麦",リスト!$C$21="六条大麦",リスト!$C$21="はだか麦",リスト!$C$21="なたね"),IF(K76&lt;9,調査年-J76,調査年-J76-1),
IF(リスト!$C$21="さとうきび",IF(K76&gt;=4,調査年-J76,調査年-J76+1),
調査年-J76)))</f>
        <v>0</v>
      </c>
      <c r="AG76" s="693">
        <f t="shared" si="20"/>
        <v>0</v>
      </c>
      <c r="AH76" s="693">
        <f t="shared" si="7"/>
        <v>0</v>
      </c>
      <c r="AI76" s="693">
        <f t="shared" si="8"/>
        <v>0</v>
      </c>
      <c r="AJ76" s="693">
        <f t="shared" si="9"/>
        <v>0</v>
      </c>
      <c r="AK76" s="417"/>
      <c r="AL76" s="69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3">
        <f t="shared" si="10"/>
        <v>0</v>
      </c>
      <c r="AN76" s="693">
        <f t="shared" si="11"/>
        <v>0</v>
      </c>
      <c r="AO76" s="693">
        <f t="shared" si="12"/>
        <v>0</v>
      </c>
      <c r="AP76" s="69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3">
        <f t="shared" si="13"/>
        <v>0</v>
      </c>
      <c r="AR76" s="693">
        <f t="shared" si="14"/>
        <v>0</v>
      </c>
      <c r="AS76" s="693">
        <f t="shared" si="18"/>
        <v>0</v>
      </c>
      <c r="AT76" s="693">
        <f t="shared" si="19"/>
        <v>0</v>
      </c>
      <c r="AU76" s="693">
        <f t="shared" si="15"/>
        <v>0</v>
      </c>
      <c r="AV76" s="693">
        <f t="shared" si="16"/>
        <v>0</v>
      </c>
      <c r="AW76" s="742">
        <f t="shared" si="17"/>
        <v>0</v>
      </c>
      <c r="AX76" s="707"/>
      <c r="AY76" s="707"/>
    </row>
    <row r="77" spans="3:51" s="46" customFormat="1" ht="30.75" hidden="1" customHeight="1" outlineLevel="1">
      <c r="C77" s="743">
        <v>60</v>
      </c>
      <c r="D77" s="708"/>
      <c r="E77" s="744"/>
      <c r="F77" s="745"/>
      <c r="G77" s="1963"/>
      <c r="H77" s="1964"/>
      <c r="I77" s="700"/>
      <c r="J77" s="746"/>
      <c r="K77" s="701"/>
      <c r="L77" s="702"/>
      <c r="M77" s="702"/>
      <c r="N77" s="702"/>
      <c r="O77" s="702"/>
      <c r="P77" s="702"/>
      <c r="Q77" s="702"/>
      <c r="R77" s="1074"/>
      <c r="S77" s="703"/>
      <c r="T77" s="747"/>
      <c r="U77" s="748"/>
      <c r="V77" s="738"/>
      <c r="W77" s="749"/>
      <c r="X77" s="750"/>
      <c r="Z77" s="691">
        <f t="shared" si="2"/>
        <v>0</v>
      </c>
      <c r="AA77" s="691">
        <f t="shared" si="3"/>
        <v>0</v>
      </c>
      <c r="AB77" s="691">
        <f t="shared" si="4"/>
        <v>0</v>
      </c>
      <c r="AC77" s="691">
        <f>IF(Z77=0,,VLOOKUP(Z77,リスト!DC:DD,2,0))</f>
        <v>0</v>
      </c>
      <c r="AD77" s="691">
        <f t="shared" si="5"/>
        <v>0</v>
      </c>
      <c r="AE77" s="692">
        <f>IF(AD77=0,,VLOOKUP(AD77,リスト!DK:DL,2,0))</f>
        <v>0</v>
      </c>
      <c r="AF77" s="691">
        <f>IF(Z77=0,,
IF(OR(リスト!$C$21="小麦",リスト!$C$21="二条大麦",リスト!$C$21="六条大麦",リスト!$C$21="はだか麦",リスト!$C$21="なたね"),IF(K77&lt;9,調査年-J77,調査年-J77-1),
IF(リスト!$C$21="さとうきび",IF(K77&gt;=4,調査年-J77,調査年-J77+1),
調査年-J77)))</f>
        <v>0</v>
      </c>
      <c r="AG77" s="693">
        <f t="shared" si="20"/>
        <v>0</v>
      </c>
      <c r="AH77" s="693">
        <f t="shared" si="7"/>
        <v>0</v>
      </c>
      <c r="AI77" s="693">
        <f t="shared" si="8"/>
        <v>0</v>
      </c>
      <c r="AJ77" s="693">
        <f t="shared" si="9"/>
        <v>0</v>
      </c>
      <c r="AK77" s="417"/>
      <c r="AL77" s="69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3">
        <f t="shared" si="10"/>
        <v>0</v>
      </c>
      <c r="AN77" s="693">
        <f t="shared" si="11"/>
        <v>0</v>
      </c>
      <c r="AO77" s="693">
        <f t="shared" si="12"/>
        <v>0</v>
      </c>
      <c r="AP77" s="69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3">
        <f t="shared" si="13"/>
        <v>0</v>
      </c>
      <c r="AR77" s="693">
        <f t="shared" si="14"/>
        <v>0</v>
      </c>
      <c r="AS77" s="693">
        <f t="shared" si="18"/>
        <v>0</v>
      </c>
      <c r="AT77" s="693">
        <f t="shared" si="19"/>
        <v>0</v>
      </c>
      <c r="AU77" s="693">
        <f t="shared" si="15"/>
        <v>0</v>
      </c>
      <c r="AV77" s="693">
        <f t="shared" si="16"/>
        <v>0</v>
      </c>
      <c r="AW77" s="742">
        <f t="shared" si="17"/>
        <v>0</v>
      </c>
      <c r="AX77" s="707"/>
      <c r="AY77" s="707"/>
    </row>
    <row r="78" spans="3:51" s="46" customFormat="1" ht="30.75" hidden="1" customHeight="1" outlineLevel="1">
      <c r="C78" s="743">
        <v>61</v>
      </c>
      <c r="D78" s="708"/>
      <c r="E78" s="752"/>
      <c r="F78" s="753"/>
      <c r="G78" s="1967"/>
      <c r="H78" s="1968"/>
      <c r="I78" s="754"/>
      <c r="J78" s="755"/>
      <c r="K78" s="756"/>
      <c r="L78" s="757"/>
      <c r="M78" s="757"/>
      <c r="N78" s="757"/>
      <c r="O78" s="757"/>
      <c r="P78" s="757"/>
      <c r="Q78" s="757"/>
      <c r="R78" s="1074"/>
      <c r="S78" s="758"/>
      <c r="T78" s="759"/>
      <c r="U78" s="760"/>
      <c r="V78" s="738"/>
      <c r="W78" s="749"/>
      <c r="X78" s="750"/>
      <c r="Z78" s="691">
        <f t="shared" si="2"/>
        <v>0</v>
      </c>
      <c r="AA78" s="691">
        <f t="shared" si="3"/>
        <v>0</v>
      </c>
      <c r="AB78" s="691">
        <f t="shared" si="4"/>
        <v>0</v>
      </c>
      <c r="AC78" s="691">
        <f>IF(Z78=0,,VLOOKUP(Z78,リスト!DC:DD,2,0))</f>
        <v>0</v>
      </c>
      <c r="AD78" s="691">
        <f t="shared" si="5"/>
        <v>0</v>
      </c>
      <c r="AE78" s="692">
        <f>IF(AD78=0,,VLOOKUP(AD78,リスト!DK:DL,2,0))</f>
        <v>0</v>
      </c>
      <c r="AF78" s="691">
        <f>IF(Z78=0,,
IF(OR(リスト!$C$21="小麦",リスト!$C$21="二条大麦",リスト!$C$21="六条大麦",リスト!$C$21="はだか麦",リスト!$C$21="なたね"),IF(K78&lt;9,調査年-J78,調査年-J78-1),
IF(リスト!$C$21="さとうきび",IF(K78&gt;=4,調査年-J78,調査年-J78+1),
調査年-J78)))</f>
        <v>0</v>
      </c>
      <c r="AG78" s="693">
        <f t="shared" si="20"/>
        <v>0</v>
      </c>
      <c r="AH78" s="693">
        <f t="shared" si="7"/>
        <v>0</v>
      </c>
      <c r="AI78" s="693">
        <f t="shared" si="8"/>
        <v>0</v>
      </c>
      <c r="AJ78" s="693">
        <f t="shared" si="9"/>
        <v>0</v>
      </c>
      <c r="AK78" s="417"/>
      <c r="AL78" s="69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3">
        <f t="shared" si="10"/>
        <v>0</v>
      </c>
      <c r="AN78" s="693">
        <f t="shared" si="11"/>
        <v>0</v>
      </c>
      <c r="AO78" s="693">
        <f t="shared" si="12"/>
        <v>0</v>
      </c>
      <c r="AP78" s="69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3">
        <f t="shared" si="13"/>
        <v>0</v>
      </c>
      <c r="AR78" s="693">
        <f t="shared" si="14"/>
        <v>0</v>
      </c>
      <c r="AS78" s="693">
        <f t="shared" si="18"/>
        <v>0</v>
      </c>
      <c r="AT78" s="693">
        <f t="shared" si="19"/>
        <v>0</v>
      </c>
      <c r="AU78" s="693">
        <f t="shared" si="15"/>
        <v>0</v>
      </c>
      <c r="AV78" s="693">
        <f t="shared" si="16"/>
        <v>0</v>
      </c>
      <c r="AW78" s="742">
        <f t="shared" si="17"/>
        <v>0</v>
      </c>
      <c r="AX78" s="707"/>
      <c r="AY78" s="707"/>
    </row>
    <row r="79" spans="3:51" s="46" customFormat="1" ht="30.75" hidden="1" customHeight="1" outlineLevel="1">
      <c r="C79" s="743">
        <v>62</v>
      </c>
      <c r="D79" s="696"/>
      <c r="E79" s="744"/>
      <c r="F79" s="745"/>
      <c r="G79" s="1963"/>
      <c r="H79" s="1964"/>
      <c r="I79" s="700"/>
      <c r="J79" s="746"/>
      <c r="K79" s="701"/>
      <c r="L79" s="702"/>
      <c r="M79" s="702"/>
      <c r="N79" s="702"/>
      <c r="O79" s="702"/>
      <c r="P79" s="702"/>
      <c r="Q79" s="702"/>
      <c r="R79" s="1074"/>
      <c r="S79" s="703"/>
      <c r="T79" s="747"/>
      <c r="U79" s="748"/>
      <c r="V79" s="738"/>
      <c r="W79" s="749"/>
      <c r="X79" s="750"/>
      <c r="Z79" s="691">
        <f t="shared" si="2"/>
        <v>0</v>
      </c>
      <c r="AA79" s="691">
        <f t="shared" si="3"/>
        <v>0</v>
      </c>
      <c r="AB79" s="691">
        <f t="shared" si="4"/>
        <v>0</v>
      </c>
      <c r="AC79" s="691">
        <f>IF(Z79=0,,VLOOKUP(Z79,リスト!DC:DD,2,0))</f>
        <v>0</v>
      </c>
      <c r="AD79" s="691">
        <f t="shared" si="5"/>
        <v>0</v>
      </c>
      <c r="AE79" s="692">
        <f>IF(AD79=0,,VLOOKUP(AD79,リスト!DK:DL,2,0))</f>
        <v>0</v>
      </c>
      <c r="AF79" s="691">
        <f>IF(Z79=0,,
IF(OR(リスト!$C$21="小麦",リスト!$C$21="二条大麦",リスト!$C$21="六条大麦",リスト!$C$21="はだか麦",リスト!$C$21="なたね"),IF(K79&lt;9,調査年-J79,調査年-J79-1),
IF(リスト!$C$21="さとうきび",IF(K79&gt;=4,調査年-J79,調査年-J79+1),
調査年-J79)))</f>
        <v>0</v>
      </c>
      <c r="AG79" s="693">
        <f t="shared" si="20"/>
        <v>0</v>
      </c>
      <c r="AH79" s="693">
        <f t="shared" si="7"/>
        <v>0</v>
      </c>
      <c r="AI79" s="693">
        <f t="shared" si="8"/>
        <v>0</v>
      </c>
      <c r="AJ79" s="693">
        <f t="shared" si="9"/>
        <v>0</v>
      </c>
      <c r="AK79" s="417"/>
      <c r="AL79" s="69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3">
        <f t="shared" si="10"/>
        <v>0</v>
      </c>
      <c r="AN79" s="693">
        <f t="shared" si="11"/>
        <v>0</v>
      </c>
      <c r="AO79" s="693">
        <f t="shared" si="12"/>
        <v>0</v>
      </c>
      <c r="AP79" s="69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3">
        <f t="shared" si="13"/>
        <v>0</v>
      </c>
      <c r="AR79" s="693">
        <f t="shared" si="14"/>
        <v>0</v>
      </c>
      <c r="AS79" s="693">
        <f t="shared" si="18"/>
        <v>0</v>
      </c>
      <c r="AT79" s="693">
        <f t="shared" si="19"/>
        <v>0</v>
      </c>
      <c r="AU79" s="693">
        <f t="shared" si="15"/>
        <v>0</v>
      </c>
      <c r="AV79" s="693">
        <f t="shared" si="16"/>
        <v>0</v>
      </c>
      <c r="AW79" s="742">
        <f t="shared" si="17"/>
        <v>0</v>
      </c>
      <c r="AX79" s="707"/>
      <c r="AY79" s="707"/>
    </row>
    <row r="80" spans="3:51" s="46" customFormat="1" ht="30.75" hidden="1" customHeight="1" outlineLevel="1">
      <c r="C80" s="743">
        <v>63</v>
      </c>
      <c r="D80" s="708"/>
      <c r="E80" s="744"/>
      <c r="F80" s="745"/>
      <c r="G80" s="1963"/>
      <c r="H80" s="1964"/>
      <c r="I80" s="700"/>
      <c r="J80" s="746"/>
      <c r="K80" s="701"/>
      <c r="L80" s="702"/>
      <c r="M80" s="702"/>
      <c r="N80" s="702"/>
      <c r="O80" s="702"/>
      <c r="P80" s="702"/>
      <c r="Q80" s="702"/>
      <c r="R80" s="1074"/>
      <c r="S80" s="703"/>
      <c r="T80" s="747"/>
      <c r="U80" s="748"/>
      <c r="V80" s="738"/>
      <c r="W80" s="749"/>
      <c r="X80" s="750"/>
      <c r="Z80" s="691">
        <f t="shared" si="2"/>
        <v>0</v>
      </c>
      <c r="AA80" s="691">
        <f t="shared" si="3"/>
        <v>0</v>
      </c>
      <c r="AB80" s="691">
        <f t="shared" si="4"/>
        <v>0</v>
      </c>
      <c r="AC80" s="691">
        <f>IF(Z80=0,,VLOOKUP(Z80,リスト!DC:DD,2,0))</f>
        <v>0</v>
      </c>
      <c r="AD80" s="691">
        <f t="shared" si="5"/>
        <v>0</v>
      </c>
      <c r="AE80" s="692">
        <f>IF(AD80=0,,VLOOKUP(AD80,リスト!DK:DL,2,0))</f>
        <v>0</v>
      </c>
      <c r="AF80" s="691">
        <f>IF(Z80=0,,
IF(OR(リスト!$C$21="小麦",リスト!$C$21="二条大麦",リスト!$C$21="六条大麦",リスト!$C$21="はだか麦",リスト!$C$21="なたね"),IF(K80&lt;9,調査年-J80,調査年-J80-1),
IF(リスト!$C$21="さとうきび",IF(K80&gt;=4,調査年-J80,調査年-J80+1),
調査年-J80)))</f>
        <v>0</v>
      </c>
      <c r="AG80" s="693">
        <f t="shared" si="20"/>
        <v>0</v>
      </c>
      <c r="AH80" s="693">
        <f t="shared" si="7"/>
        <v>0</v>
      </c>
      <c r="AI80" s="693">
        <f t="shared" si="8"/>
        <v>0</v>
      </c>
      <c r="AJ80" s="693">
        <f t="shared" si="9"/>
        <v>0</v>
      </c>
      <c r="AK80" s="417"/>
      <c r="AL80" s="69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3">
        <f t="shared" si="10"/>
        <v>0</v>
      </c>
      <c r="AN80" s="693">
        <f t="shared" si="11"/>
        <v>0</v>
      </c>
      <c r="AO80" s="693">
        <f t="shared" si="12"/>
        <v>0</v>
      </c>
      <c r="AP80" s="69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3">
        <f t="shared" si="13"/>
        <v>0</v>
      </c>
      <c r="AR80" s="693">
        <f t="shared" si="14"/>
        <v>0</v>
      </c>
      <c r="AS80" s="693">
        <f t="shared" si="18"/>
        <v>0</v>
      </c>
      <c r="AT80" s="693">
        <f t="shared" si="19"/>
        <v>0</v>
      </c>
      <c r="AU80" s="693">
        <f t="shared" si="15"/>
        <v>0</v>
      </c>
      <c r="AV80" s="693">
        <f t="shared" si="16"/>
        <v>0</v>
      </c>
      <c r="AW80" s="742">
        <f t="shared" si="17"/>
        <v>0</v>
      </c>
      <c r="AX80" s="707"/>
      <c r="AY80" s="707"/>
    </row>
    <row r="81" spans="3:51" s="46" customFormat="1" ht="30.75" hidden="1" customHeight="1" outlineLevel="1">
      <c r="C81" s="743">
        <v>64</v>
      </c>
      <c r="D81" s="708"/>
      <c r="E81" s="744"/>
      <c r="F81" s="745"/>
      <c r="G81" s="1963"/>
      <c r="H81" s="1964"/>
      <c r="I81" s="700"/>
      <c r="J81" s="746"/>
      <c r="K81" s="701"/>
      <c r="L81" s="702"/>
      <c r="M81" s="702"/>
      <c r="N81" s="702"/>
      <c r="O81" s="702"/>
      <c r="P81" s="702"/>
      <c r="Q81" s="702"/>
      <c r="R81" s="1074"/>
      <c r="S81" s="703"/>
      <c r="T81" s="747"/>
      <c r="U81" s="748"/>
      <c r="V81" s="738"/>
      <c r="W81" s="749"/>
      <c r="X81" s="750"/>
      <c r="Z81" s="691">
        <f t="shared" si="2"/>
        <v>0</v>
      </c>
      <c r="AA81" s="691">
        <f t="shared" si="3"/>
        <v>0</v>
      </c>
      <c r="AB81" s="691">
        <f t="shared" si="4"/>
        <v>0</v>
      </c>
      <c r="AC81" s="691">
        <f>IF(Z81=0,,VLOOKUP(Z81,リスト!DC:DD,2,0))</f>
        <v>0</v>
      </c>
      <c r="AD81" s="691">
        <f t="shared" si="5"/>
        <v>0</v>
      </c>
      <c r="AE81" s="692">
        <f>IF(AD81=0,,VLOOKUP(AD81,リスト!DK:DL,2,0))</f>
        <v>0</v>
      </c>
      <c r="AF81" s="691">
        <f>IF(Z81=0,,
IF(OR(リスト!$C$21="小麦",リスト!$C$21="二条大麦",リスト!$C$21="六条大麦",リスト!$C$21="はだか麦",リスト!$C$21="なたね"),IF(K81&lt;9,調査年-J81,調査年-J81-1),
IF(リスト!$C$21="さとうきび",IF(K81&gt;=4,調査年-J81,調査年-J81+1),
調査年-J81)))</f>
        <v>0</v>
      </c>
      <c r="AG81" s="693">
        <f t="shared" si="20"/>
        <v>0</v>
      </c>
      <c r="AH81" s="693">
        <f t="shared" si="7"/>
        <v>0</v>
      </c>
      <c r="AI81" s="693">
        <f t="shared" si="8"/>
        <v>0</v>
      </c>
      <c r="AJ81" s="693">
        <f t="shared" si="9"/>
        <v>0</v>
      </c>
      <c r="AK81" s="417"/>
      <c r="AL81" s="69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3">
        <f t="shared" si="10"/>
        <v>0</v>
      </c>
      <c r="AN81" s="693">
        <f t="shared" si="11"/>
        <v>0</v>
      </c>
      <c r="AO81" s="693">
        <f t="shared" si="12"/>
        <v>0</v>
      </c>
      <c r="AP81" s="69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3">
        <f t="shared" si="13"/>
        <v>0</v>
      </c>
      <c r="AR81" s="693">
        <f t="shared" si="14"/>
        <v>0</v>
      </c>
      <c r="AS81" s="693">
        <f t="shared" si="18"/>
        <v>0</v>
      </c>
      <c r="AT81" s="693">
        <f t="shared" si="19"/>
        <v>0</v>
      </c>
      <c r="AU81" s="693">
        <f t="shared" si="15"/>
        <v>0</v>
      </c>
      <c r="AV81" s="693">
        <f t="shared" si="16"/>
        <v>0</v>
      </c>
      <c r="AW81" s="742">
        <f t="shared" si="17"/>
        <v>0</v>
      </c>
      <c r="AX81" s="707"/>
      <c r="AY81" s="707"/>
    </row>
    <row r="82" spans="3:51" s="46" customFormat="1" ht="30.75" hidden="1" customHeight="1" outlineLevel="1">
      <c r="C82" s="743">
        <v>65</v>
      </c>
      <c r="D82" s="708"/>
      <c r="E82" s="744"/>
      <c r="F82" s="745"/>
      <c r="G82" s="1963"/>
      <c r="H82" s="1964"/>
      <c r="I82" s="700"/>
      <c r="J82" s="746"/>
      <c r="K82" s="701"/>
      <c r="L82" s="702"/>
      <c r="M82" s="702"/>
      <c r="N82" s="702"/>
      <c r="O82" s="702"/>
      <c r="P82" s="702"/>
      <c r="Q82" s="702"/>
      <c r="R82" s="1074"/>
      <c r="S82" s="703"/>
      <c r="T82" s="747"/>
      <c r="U82" s="748"/>
      <c r="V82" s="738"/>
      <c r="W82" s="749"/>
      <c r="X82" s="750"/>
      <c r="Z82" s="691">
        <f t="shared" ref="Z82:Z117" si="21">IF(AND(E82&gt;0,F82&gt;0),"["&amp;RIGHT(LEFT(E82,2),1)&amp;RIGHT(LEFT(F82,2),1)&amp;"]",)</f>
        <v>0</v>
      </c>
      <c r="AA82" s="691">
        <f t="shared" ref="AA82:AA117" si="22">IF(Z82=0,,IF(L82&lt;100000,1,0))</f>
        <v>0</v>
      </c>
      <c r="AB82" s="691">
        <f t="shared" ref="AB82:AB117" si="23">IF(Z82=0,,IF(AND(AA82=0,L82&lt;200000),1,))</f>
        <v>0</v>
      </c>
      <c r="AC82" s="691">
        <f>IF(Z82=0,,VLOOKUP(Z82,リスト!DC:DD,2,0))</f>
        <v>0</v>
      </c>
      <c r="AD82" s="691">
        <f t="shared" ref="AD82:AD117" si="24">IF(AB82=1,3,IF(G82="[2]中古",MIN(AC82,I82),AC82))</f>
        <v>0</v>
      </c>
      <c r="AE82" s="692">
        <f>IF(AD82=0,,VLOOKUP(AD82,リスト!DK:DL,2,0))</f>
        <v>0</v>
      </c>
      <c r="AF82" s="691">
        <f>IF(Z82=0,,
IF(OR(リスト!$C$21="小麦",リスト!$C$21="二条大麦",リスト!$C$21="六条大麦",リスト!$C$21="はだか麦",リスト!$C$21="なたね"),IF(K82&lt;9,調査年-J82,調査年-J82-1),
IF(リスト!$C$21="さとうきび",IF(K82&gt;=4,調査年-J82,調査年-J82+1),
調査年-J82)))</f>
        <v>0</v>
      </c>
      <c r="AG82" s="693">
        <f t="shared" ref="AG82:AG113" si="25">IF(OR(Z82=0,AA82=1),,
IF(AND(AD82&gt;0,AF82&lt;AD82,AH82&lt;=ROUND((L82-1)*AE82,0)),ROUND(AH82,0),
IF(AND(AD82&gt;0,AF82&lt;AD82),ROUND((L82-1)*AE82,0),)))</f>
        <v>0</v>
      </c>
      <c r="AH82" s="693">
        <f t="shared" ref="AH82:AH117" si="26">IF(OR(Z82=0,AA82=1),,
IF(AND(AD82&gt;0,AF82&lt;AD82),L82-ROUND((L82-1)*AE82*AF82,0),1
))</f>
        <v>0</v>
      </c>
      <c r="AI82" s="693">
        <f t="shared" ref="AI82:AI117" si="27">IF(OR(Z82=0,AA82=1),,
IF(T82=0,AG82,
IF(T82="[2]廃棄等",SUM(AH82,U82),
IF(T82="[1]売却",AH82-U82,))))</f>
        <v>0</v>
      </c>
      <c r="AJ82" s="693">
        <f t="shared" ref="AJ82:AJ117" si="28">IF(AND(AI82=0,AG82=0),,
IF(OR(T82="[1]売却",T82="[2]廃棄等"),SUM(AI82)-SUM(AG82),))</f>
        <v>0</v>
      </c>
      <c r="AK82" s="417"/>
      <c r="AL82" s="69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3">
        <f t="shared" ref="AM82:AM117" si="29">IF(R82=0,,IF(AI82=0,,ROUND(AI82*R82%,0)))</f>
        <v>0</v>
      </c>
      <c r="AN82" s="693">
        <f t="shared" ref="AN82:AN117" si="30">IF(R82=0,,IF(AJ82=0,,ROUND(AJ82*R82%,0)))</f>
        <v>0</v>
      </c>
      <c r="AO82" s="693">
        <f t="shared" ref="AO82:AO117" si="31">IF(R82=0,,IF(AH82=0,,ROUND(AH82*R82%,0)))</f>
        <v>0</v>
      </c>
      <c r="AP82" s="69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3">
        <f t="shared" ref="AQ82:AQ117" si="32">IF(R82=0,,IF(N82=0,,ROUND(N82*R82%,0)))</f>
        <v>0</v>
      </c>
      <c r="AR82" s="693">
        <f t="shared" ref="AR82:AR117" si="33">IF(OR(AP82&gt;0,AQ82&gt;0),SUM(AP82:AQ82),)</f>
        <v>0</v>
      </c>
      <c r="AS82" s="693">
        <f t="shared" si="18"/>
        <v>0</v>
      </c>
      <c r="AT82" s="693">
        <f t="shared" si="19"/>
        <v>0</v>
      </c>
      <c r="AU82" s="693">
        <f t="shared" ref="AU82:AU117" si="34">IF(P82&gt;0,ROUND(P82*R82%,),)</f>
        <v>0</v>
      </c>
      <c r="AV82" s="693">
        <f t="shared" ref="AV82:AV117" si="35">IF(Q82&gt;0,ROUND(Q82*$R82%,),)</f>
        <v>0</v>
      </c>
      <c r="AW82" s="742">
        <f t="shared" ref="AW82:AW117" si="36">IF(X82="○",,IF(AND(W82&gt;0,R82&gt;0),ROUND(1/W82,1),IF(R82&gt;0,ROUND(1,1),)))</f>
        <v>0</v>
      </c>
      <c r="AX82" s="707"/>
      <c r="AY82" s="707"/>
    </row>
    <row r="83" spans="3:51" s="46" customFormat="1" ht="30.75" hidden="1" customHeight="1" outlineLevel="1">
      <c r="C83" s="743">
        <v>66</v>
      </c>
      <c r="D83" s="708"/>
      <c r="E83" s="752"/>
      <c r="F83" s="753"/>
      <c r="G83" s="1967"/>
      <c r="H83" s="1968"/>
      <c r="I83" s="754"/>
      <c r="J83" s="755"/>
      <c r="K83" s="756"/>
      <c r="L83" s="757"/>
      <c r="M83" s="757"/>
      <c r="N83" s="757"/>
      <c r="O83" s="757"/>
      <c r="P83" s="757"/>
      <c r="Q83" s="757"/>
      <c r="R83" s="1074"/>
      <c r="S83" s="758"/>
      <c r="T83" s="759"/>
      <c r="U83" s="760"/>
      <c r="V83" s="738"/>
      <c r="W83" s="749"/>
      <c r="X83" s="750"/>
      <c r="Z83" s="691">
        <f t="shared" si="21"/>
        <v>0</v>
      </c>
      <c r="AA83" s="691">
        <f t="shared" si="22"/>
        <v>0</v>
      </c>
      <c r="AB83" s="691">
        <f t="shared" si="23"/>
        <v>0</v>
      </c>
      <c r="AC83" s="691">
        <f>IF(Z83=0,,VLOOKUP(Z83,リスト!DC:DD,2,0))</f>
        <v>0</v>
      </c>
      <c r="AD83" s="691">
        <f t="shared" si="24"/>
        <v>0</v>
      </c>
      <c r="AE83" s="692">
        <f>IF(AD83=0,,VLOOKUP(AD83,リスト!DK:DL,2,0))</f>
        <v>0</v>
      </c>
      <c r="AF83" s="691">
        <f>IF(Z83=0,,
IF(OR(リスト!$C$21="小麦",リスト!$C$21="二条大麦",リスト!$C$21="六条大麦",リスト!$C$21="はだか麦",リスト!$C$21="なたね"),IF(K83&lt;9,調査年-J83,調査年-J83-1),
IF(リスト!$C$21="さとうきび",IF(K83&gt;=4,調査年-J83,調査年-J83+1),
調査年-J83)))</f>
        <v>0</v>
      </c>
      <c r="AG83" s="693">
        <f t="shared" si="25"/>
        <v>0</v>
      </c>
      <c r="AH83" s="693">
        <f t="shared" si="26"/>
        <v>0</v>
      </c>
      <c r="AI83" s="693">
        <f t="shared" si="27"/>
        <v>0</v>
      </c>
      <c r="AJ83" s="693">
        <f t="shared" si="28"/>
        <v>0</v>
      </c>
      <c r="AK83" s="417"/>
      <c r="AL83" s="69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3">
        <f t="shared" si="29"/>
        <v>0</v>
      </c>
      <c r="AN83" s="693">
        <f t="shared" si="30"/>
        <v>0</v>
      </c>
      <c r="AO83" s="693">
        <f t="shared" si="31"/>
        <v>0</v>
      </c>
      <c r="AP83" s="69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3">
        <f t="shared" si="32"/>
        <v>0</v>
      </c>
      <c r="AR83" s="693">
        <f t="shared" si="33"/>
        <v>0</v>
      </c>
      <c r="AS83" s="693">
        <f t="shared" ref="AS83:AS117" si="37">IF(O83&gt;0,IF(AND(F83&lt;&gt;"[1]軽自動車",F83&lt;&gt;"[3]自動二輪・三輪"),ROUND(O83*R83%,),),)</f>
        <v>0</v>
      </c>
      <c r="AT83" s="693">
        <f t="shared" ref="AT83:AT117" si="38">IF(O83&gt;0,IF(OR(F83="[1]軽自動車",F83="[3]自動二輪・三輪"),ROUND(O83*R83%,),),)</f>
        <v>0</v>
      </c>
      <c r="AU83" s="693">
        <f t="shared" si="34"/>
        <v>0</v>
      </c>
      <c r="AV83" s="693">
        <f t="shared" si="35"/>
        <v>0</v>
      </c>
      <c r="AW83" s="742">
        <f t="shared" si="36"/>
        <v>0</v>
      </c>
      <c r="AX83" s="707"/>
      <c r="AY83" s="707"/>
    </row>
    <row r="84" spans="3:51" s="46" customFormat="1" ht="30.75" hidden="1" customHeight="1" outlineLevel="1">
      <c r="C84" s="743">
        <v>67</v>
      </c>
      <c r="D84" s="708"/>
      <c r="E84" s="744"/>
      <c r="F84" s="745"/>
      <c r="G84" s="1963"/>
      <c r="H84" s="1964"/>
      <c r="I84" s="700"/>
      <c r="J84" s="746"/>
      <c r="K84" s="701"/>
      <c r="L84" s="702"/>
      <c r="M84" s="702"/>
      <c r="N84" s="702"/>
      <c r="O84" s="702"/>
      <c r="P84" s="702"/>
      <c r="Q84" s="702"/>
      <c r="R84" s="1074"/>
      <c r="S84" s="703"/>
      <c r="T84" s="747"/>
      <c r="U84" s="748"/>
      <c r="V84" s="738"/>
      <c r="W84" s="749"/>
      <c r="X84" s="750"/>
      <c r="Z84" s="691">
        <f t="shared" si="21"/>
        <v>0</v>
      </c>
      <c r="AA84" s="691">
        <f t="shared" si="22"/>
        <v>0</v>
      </c>
      <c r="AB84" s="691">
        <f t="shared" si="23"/>
        <v>0</v>
      </c>
      <c r="AC84" s="691">
        <f>IF(Z84=0,,VLOOKUP(Z84,リスト!DC:DD,2,0))</f>
        <v>0</v>
      </c>
      <c r="AD84" s="691">
        <f t="shared" si="24"/>
        <v>0</v>
      </c>
      <c r="AE84" s="692">
        <f>IF(AD84=0,,VLOOKUP(AD84,リスト!DK:DL,2,0))</f>
        <v>0</v>
      </c>
      <c r="AF84" s="691">
        <f>IF(Z84=0,,
IF(OR(リスト!$C$21="小麦",リスト!$C$21="二条大麦",リスト!$C$21="六条大麦",リスト!$C$21="はだか麦",リスト!$C$21="なたね"),IF(K84&lt;9,調査年-J84,調査年-J84-1),
IF(リスト!$C$21="さとうきび",IF(K84&gt;=4,調査年-J84,調査年-J84+1),
調査年-J84)))</f>
        <v>0</v>
      </c>
      <c r="AG84" s="693">
        <f t="shared" si="25"/>
        <v>0</v>
      </c>
      <c r="AH84" s="693">
        <f t="shared" si="26"/>
        <v>0</v>
      </c>
      <c r="AI84" s="693">
        <f t="shared" si="27"/>
        <v>0</v>
      </c>
      <c r="AJ84" s="693">
        <f t="shared" si="28"/>
        <v>0</v>
      </c>
      <c r="AK84" s="417"/>
      <c r="AL84" s="69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3">
        <f t="shared" si="29"/>
        <v>0</v>
      </c>
      <c r="AN84" s="693">
        <f t="shared" si="30"/>
        <v>0</v>
      </c>
      <c r="AO84" s="693">
        <f t="shared" si="31"/>
        <v>0</v>
      </c>
      <c r="AP84" s="69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3">
        <f t="shared" si="32"/>
        <v>0</v>
      </c>
      <c r="AR84" s="693">
        <f t="shared" si="33"/>
        <v>0</v>
      </c>
      <c r="AS84" s="693">
        <f t="shared" si="37"/>
        <v>0</v>
      </c>
      <c r="AT84" s="693">
        <f t="shared" si="38"/>
        <v>0</v>
      </c>
      <c r="AU84" s="693">
        <f t="shared" si="34"/>
        <v>0</v>
      </c>
      <c r="AV84" s="693">
        <f t="shared" si="35"/>
        <v>0</v>
      </c>
      <c r="AW84" s="742">
        <f t="shared" si="36"/>
        <v>0</v>
      </c>
      <c r="AX84" s="707"/>
      <c r="AY84" s="707"/>
    </row>
    <row r="85" spans="3:51" s="46" customFormat="1" ht="30.75" hidden="1" customHeight="1" outlineLevel="1">
      <c r="C85" s="743">
        <v>68</v>
      </c>
      <c r="D85" s="708"/>
      <c r="E85" s="744"/>
      <c r="F85" s="745"/>
      <c r="G85" s="1963"/>
      <c r="H85" s="1964"/>
      <c r="I85" s="700"/>
      <c r="J85" s="746"/>
      <c r="K85" s="701"/>
      <c r="L85" s="702"/>
      <c r="M85" s="702"/>
      <c r="N85" s="702"/>
      <c r="O85" s="702"/>
      <c r="P85" s="702"/>
      <c r="Q85" s="702"/>
      <c r="R85" s="1074"/>
      <c r="S85" s="703"/>
      <c r="T85" s="747"/>
      <c r="U85" s="748"/>
      <c r="V85" s="738"/>
      <c r="W85" s="749"/>
      <c r="X85" s="750"/>
      <c r="Z85" s="691">
        <f t="shared" si="21"/>
        <v>0</v>
      </c>
      <c r="AA85" s="691">
        <f t="shared" si="22"/>
        <v>0</v>
      </c>
      <c r="AB85" s="691">
        <f t="shared" si="23"/>
        <v>0</v>
      </c>
      <c r="AC85" s="691">
        <f>IF(Z85=0,,VLOOKUP(Z85,リスト!DC:DD,2,0))</f>
        <v>0</v>
      </c>
      <c r="AD85" s="691">
        <f t="shared" si="24"/>
        <v>0</v>
      </c>
      <c r="AE85" s="692">
        <f>IF(AD85=0,,VLOOKUP(AD85,リスト!DK:DL,2,0))</f>
        <v>0</v>
      </c>
      <c r="AF85" s="691">
        <f>IF(Z85=0,,
IF(OR(リスト!$C$21="小麦",リスト!$C$21="二条大麦",リスト!$C$21="六条大麦",リスト!$C$21="はだか麦",リスト!$C$21="なたね"),IF(K85&lt;9,調査年-J85,調査年-J85-1),
IF(リスト!$C$21="さとうきび",IF(K85&gt;=4,調査年-J85,調査年-J85+1),
調査年-J85)))</f>
        <v>0</v>
      </c>
      <c r="AG85" s="693">
        <f t="shared" si="25"/>
        <v>0</v>
      </c>
      <c r="AH85" s="693">
        <f t="shared" si="26"/>
        <v>0</v>
      </c>
      <c r="AI85" s="693">
        <f t="shared" si="27"/>
        <v>0</v>
      </c>
      <c r="AJ85" s="693">
        <f t="shared" si="28"/>
        <v>0</v>
      </c>
      <c r="AK85" s="417"/>
      <c r="AL85" s="69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3">
        <f t="shared" si="29"/>
        <v>0</v>
      </c>
      <c r="AN85" s="693">
        <f t="shared" si="30"/>
        <v>0</v>
      </c>
      <c r="AO85" s="693">
        <f t="shared" si="31"/>
        <v>0</v>
      </c>
      <c r="AP85" s="69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3">
        <f t="shared" si="32"/>
        <v>0</v>
      </c>
      <c r="AR85" s="693">
        <f t="shared" si="33"/>
        <v>0</v>
      </c>
      <c r="AS85" s="693">
        <f t="shared" si="37"/>
        <v>0</v>
      </c>
      <c r="AT85" s="693">
        <f t="shared" si="38"/>
        <v>0</v>
      </c>
      <c r="AU85" s="693">
        <f t="shared" si="34"/>
        <v>0</v>
      </c>
      <c r="AV85" s="693">
        <f t="shared" si="35"/>
        <v>0</v>
      </c>
      <c r="AW85" s="742">
        <f t="shared" si="36"/>
        <v>0</v>
      </c>
      <c r="AX85" s="707"/>
      <c r="AY85" s="707"/>
    </row>
    <row r="86" spans="3:51" s="46" customFormat="1" ht="30.75" hidden="1" customHeight="1" outlineLevel="1">
      <c r="C86" s="743">
        <v>69</v>
      </c>
      <c r="D86" s="708"/>
      <c r="E86" s="744"/>
      <c r="F86" s="745"/>
      <c r="G86" s="1963"/>
      <c r="H86" s="1964"/>
      <c r="I86" s="700"/>
      <c r="J86" s="746"/>
      <c r="K86" s="701"/>
      <c r="L86" s="702"/>
      <c r="M86" s="702"/>
      <c r="N86" s="702"/>
      <c r="O86" s="702"/>
      <c r="P86" s="702"/>
      <c r="Q86" s="702"/>
      <c r="R86" s="1074"/>
      <c r="S86" s="703"/>
      <c r="T86" s="747"/>
      <c r="U86" s="748"/>
      <c r="V86" s="738"/>
      <c r="W86" s="749"/>
      <c r="X86" s="750"/>
      <c r="Z86" s="691">
        <f t="shared" si="21"/>
        <v>0</v>
      </c>
      <c r="AA86" s="691">
        <f t="shared" si="22"/>
        <v>0</v>
      </c>
      <c r="AB86" s="691">
        <f t="shared" si="23"/>
        <v>0</v>
      </c>
      <c r="AC86" s="691">
        <f>IF(Z86=0,,VLOOKUP(Z86,リスト!DC:DD,2,0))</f>
        <v>0</v>
      </c>
      <c r="AD86" s="691">
        <f t="shared" si="24"/>
        <v>0</v>
      </c>
      <c r="AE86" s="692">
        <f>IF(AD86=0,,VLOOKUP(AD86,リスト!DK:DL,2,0))</f>
        <v>0</v>
      </c>
      <c r="AF86" s="691">
        <f>IF(Z86=0,,
IF(OR(リスト!$C$21="小麦",リスト!$C$21="二条大麦",リスト!$C$21="六条大麦",リスト!$C$21="はだか麦",リスト!$C$21="なたね"),IF(K86&lt;9,調査年-J86,調査年-J86-1),
IF(リスト!$C$21="さとうきび",IF(K86&gt;=4,調査年-J86,調査年-J86+1),
調査年-J86)))</f>
        <v>0</v>
      </c>
      <c r="AG86" s="693">
        <f t="shared" si="25"/>
        <v>0</v>
      </c>
      <c r="AH86" s="693">
        <f t="shared" si="26"/>
        <v>0</v>
      </c>
      <c r="AI86" s="693">
        <f t="shared" si="27"/>
        <v>0</v>
      </c>
      <c r="AJ86" s="693">
        <f t="shared" si="28"/>
        <v>0</v>
      </c>
      <c r="AK86" s="417"/>
      <c r="AL86" s="69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3">
        <f t="shared" si="29"/>
        <v>0</v>
      </c>
      <c r="AN86" s="693">
        <f t="shared" si="30"/>
        <v>0</v>
      </c>
      <c r="AO86" s="693">
        <f t="shared" si="31"/>
        <v>0</v>
      </c>
      <c r="AP86" s="69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3">
        <f t="shared" si="32"/>
        <v>0</v>
      </c>
      <c r="AR86" s="693">
        <f t="shared" si="33"/>
        <v>0</v>
      </c>
      <c r="AS86" s="693">
        <f t="shared" si="37"/>
        <v>0</v>
      </c>
      <c r="AT86" s="693">
        <f t="shared" si="38"/>
        <v>0</v>
      </c>
      <c r="AU86" s="693">
        <f t="shared" si="34"/>
        <v>0</v>
      </c>
      <c r="AV86" s="693">
        <f t="shared" si="35"/>
        <v>0</v>
      </c>
      <c r="AW86" s="742">
        <f t="shared" si="36"/>
        <v>0</v>
      </c>
      <c r="AX86" s="707"/>
      <c r="AY86" s="707"/>
    </row>
    <row r="87" spans="3:51" s="46" customFormat="1" ht="30.75" hidden="1" customHeight="1" outlineLevel="1">
      <c r="C87" s="743">
        <v>70</v>
      </c>
      <c r="D87" s="708"/>
      <c r="E87" s="744"/>
      <c r="F87" s="745"/>
      <c r="G87" s="1963"/>
      <c r="H87" s="1964"/>
      <c r="I87" s="700"/>
      <c r="J87" s="746"/>
      <c r="K87" s="701"/>
      <c r="L87" s="702"/>
      <c r="M87" s="702"/>
      <c r="N87" s="702"/>
      <c r="O87" s="702"/>
      <c r="P87" s="702"/>
      <c r="Q87" s="702"/>
      <c r="R87" s="1074"/>
      <c r="S87" s="703"/>
      <c r="T87" s="747"/>
      <c r="U87" s="748"/>
      <c r="V87" s="738"/>
      <c r="W87" s="749"/>
      <c r="X87" s="750"/>
      <c r="Z87" s="691">
        <f t="shared" si="21"/>
        <v>0</v>
      </c>
      <c r="AA87" s="691">
        <f t="shared" si="22"/>
        <v>0</v>
      </c>
      <c r="AB87" s="691">
        <f t="shared" si="23"/>
        <v>0</v>
      </c>
      <c r="AC87" s="691">
        <f>IF(Z87=0,,VLOOKUP(Z87,リスト!DC:DD,2,0))</f>
        <v>0</v>
      </c>
      <c r="AD87" s="691">
        <f t="shared" si="24"/>
        <v>0</v>
      </c>
      <c r="AE87" s="692">
        <f>IF(AD87=0,,VLOOKUP(AD87,リスト!DK:DL,2,0))</f>
        <v>0</v>
      </c>
      <c r="AF87" s="691">
        <f>IF(Z87=0,,
IF(OR(リスト!$C$21="小麦",リスト!$C$21="二条大麦",リスト!$C$21="六条大麦",リスト!$C$21="はだか麦",リスト!$C$21="なたね"),IF(K87&lt;9,調査年-J87,調査年-J87-1),
IF(リスト!$C$21="さとうきび",IF(K87&gt;=4,調査年-J87,調査年-J87+1),
調査年-J87)))</f>
        <v>0</v>
      </c>
      <c r="AG87" s="693">
        <f t="shared" si="25"/>
        <v>0</v>
      </c>
      <c r="AH87" s="693">
        <f t="shared" si="26"/>
        <v>0</v>
      </c>
      <c r="AI87" s="693">
        <f t="shared" si="27"/>
        <v>0</v>
      </c>
      <c r="AJ87" s="693">
        <f t="shared" si="28"/>
        <v>0</v>
      </c>
      <c r="AK87" s="417"/>
      <c r="AL87" s="69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3">
        <f t="shared" si="29"/>
        <v>0</v>
      </c>
      <c r="AN87" s="693">
        <f t="shared" si="30"/>
        <v>0</v>
      </c>
      <c r="AO87" s="693">
        <f t="shared" si="31"/>
        <v>0</v>
      </c>
      <c r="AP87" s="69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3">
        <f t="shared" si="32"/>
        <v>0</v>
      </c>
      <c r="AR87" s="693">
        <f t="shared" si="33"/>
        <v>0</v>
      </c>
      <c r="AS87" s="693">
        <f t="shared" si="37"/>
        <v>0</v>
      </c>
      <c r="AT87" s="693">
        <f t="shared" si="38"/>
        <v>0</v>
      </c>
      <c r="AU87" s="693">
        <f t="shared" si="34"/>
        <v>0</v>
      </c>
      <c r="AV87" s="693">
        <f t="shared" si="35"/>
        <v>0</v>
      </c>
      <c r="AW87" s="742">
        <f t="shared" si="36"/>
        <v>0</v>
      </c>
      <c r="AX87" s="707"/>
      <c r="AY87" s="707"/>
    </row>
    <row r="88" spans="3:51" s="46" customFormat="1" ht="30.75" hidden="1" customHeight="1" outlineLevel="1">
      <c r="C88" s="743">
        <v>71</v>
      </c>
      <c r="D88" s="708"/>
      <c r="E88" s="744"/>
      <c r="F88" s="745"/>
      <c r="G88" s="1963"/>
      <c r="H88" s="1964"/>
      <c r="I88" s="700"/>
      <c r="J88" s="746"/>
      <c r="K88" s="701"/>
      <c r="L88" s="702"/>
      <c r="M88" s="702"/>
      <c r="N88" s="702"/>
      <c r="O88" s="702"/>
      <c r="P88" s="702"/>
      <c r="Q88" s="702"/>
      <c r="R88" s="1074"/>
      <c r="S88" s="703"/>
      <c r="T88" s="747"/>
      <c r="U88" s="748"/>
      <c r="V88" s="738"/>
      <c r="W88" s="749"/>
      <c r="X88" s="750"/>
      <c r="Z88" s="691">
        <f t="shared" si="21"/>
        <v>0</v>
      </c>
      <c r="AA88" s="691">
        <f t="shared" si="22"/>
        <v>0</v>
      </c>
      <c r="AB88" s="691">
        <f t="shared" si="23"/>
        <v>0</v>
      </c>
      <c r="AC88" s="691">
        <f>IF(Z88=0,,VLOOKUP(Z88,リスト!DC:DD,2,0))</f>
        <v>0</v>
      </c>
      <c r="AD88" s="691">
        <f t="shared" si="24"/>
        <v>0</v>
      </c>
      <c r="AE88" s="692">
        <f>IF(AD88=0,,VLOOKUP(AD88,リスト!DK:DL,2,0))</f>
        <v>0</v>
      </c>
      <c r="AF88" s="691">
        <f>IF(Z88=0,,
IF(OR(リスト!$C$21="小麦",リスト!$C$21="二条大麦",リスト!$C$21="六条大麦",リスト!$C$21="はだか麦",リスト!$C$21="なたね"),IF(K88&lt;9,調査年-J88,調査年-J88-1),
IF(リスト!$C$21="さとうきび",IF(K88&gt;=4,調査年-J88,調査年-J88+1),
調査年-J88)))</f>
        <v>0</v>
      </c>
      <c r="AG88" s="693">
        <f t="shared" si="25"/>
        <v>0</v>
      </c>
      <c r="AH88" s="693">
        <f t="shared" si="26"/>
        <v>0</v>
      </c>
      <c r="AI88" s="693">
        <f t="shared" si="27"/>
        <v>0</v>
      </c>
      <c r="AJ88" s="693">
        <f t="shared" si="28"/>
        <v>0</v>
      </c>
      <c r="AK88" s="417"/>
      <c r="AL88" s="69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3">
        <f t="shared" si="29"/>
        <v>0</v>
      </c>
      <c r="AN88" s="693">
        <f t="shared" si="30"/>
        <v>0</v>
      </c>
      <c r="AO88" s="693">
        <f t="shared" si="31"/>
        <v>0</v>
      </c>
      <c r="AP88" s="69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3">
        <f t="shared" si="32"/>
        <v>0</v>
      </c>
      <c r="AR88" s="693">
        <f t="shared" si="33"/>
        <v>0</v>
      </c>
      <c r="AS88" s="693">
        <f t="shared" si="37"/>
        <v>0</v>
      </c>
      <c r="AT88" s="693">
        <f t="shared" si="38"/>
        <v>0</v>
      </c>
      <c r="AU88" s="693">
        <f t="shared" si="34"/>
        <v>0</v>
      </c>
      <c r="AV88" s="693">
        <f t="shared" si="35"/>
        <v>0</v>
      </c>
      <c r="AW88" s="742">
        <f t="shared" si="36"/>
        <v>0</v>
      </c>
      <c r="AX88" s="707"/>
      <c r="AY88" s="707"/>
    </row>
    <row r="89" spans="3:51" s="46" customFormat="1" ht="30.75" hidden="1" customHeight="1" outlineLevel="1">
      <c r="C89" s="743">
        <v>72</v>
      </c>
      <c r="D89" s="708"/>
      <c r="E89" s="744"/>
      <c r="F89" s="745"/>
      <c r="G89" s="1963"/>
      <c r="H89" s="1964"/>
      <c r="I89" s="700"/>
      <c r="J89" s="746"/>
      <c r="K89" s="701"/>
      <c r="L89" s="702"/>
      <c r="M89" s="702"/>
      <c r="N89" s="702"/>
      <c r="O89" s="702"/>
      <c r="P89" s="702"/>
      <c r="Q89" s="702"/>
      <c r="R89" s="1074"/>
      <c r="S89" s="703"/>
      <c r="T89" s="747"/>
      <c r="U89" s="748"/>
      <c r="V89" s="738"/>
      <c r="W89" s="749"/>
      <c r="X89" s="750"/>
      <c r="Z89" s="691">
        <f t="shared" si="21"/>
        <v>0</v>
      </c>
      <c r="AA89" s="691">
        <f t="shared" si="22"/>
        <v>0</v>
      </c>
      <c r="AB89" s="691">
        <f t="shared" si="23"/>
        <v>0</v>
      </c>
      <c r="AC89" s="691">
        <f>IF(Z89=0,,VLOOKUP(Z89,リスト!DC:DD,2,0))</f>
        <v>0</v>
      </c>
      <c r="AD89" s="691">
        <f t="shared" si="24"/>
        <v>0</v>
      </c>
      <c r="AE89" s="692">
        <f>IF(AD89=0,,VLOOKUP(AD89,リスト!DK:DL,2,0))</f>
        <v>0</v>
      </c>
      <c r="AF89" s="691">
        <f>IF(Z89=0,,
IF(OR(リスト!$C$21="小麦",リスト!$C$21="二条大麦",リスト!$C$21="六条大麦",リスト!$C$21="はだか麦",リスト!$C$21="なたね"),IF(K89&lt;9,調査年-J89,調査年-J89-1),
IF(リスト!$C$21="さとうきび",IF(K89&gt;=4,調査年-J89,調査年-J89+1),
調査年-J89)))</f>
        <v>0</v>
      </c>
      <c r="AG89" s="693">
        <f t="shared" si="25"/>
        <v>0</v>
      </c>
      <c r="AH89" s="693">
        <f t="shared" si="26"/>
        <v>0</v>
      </c>
      <c r="AI89" s="693">
        <f t="shared" si="27"/>
        <v>0</v>
      </c>
      <c r="AJ89" s="693">
        <f t="shared" si="28"/>
        <v>0</v>
      </c>
      <c r="AK89" s="417"/>
      <c r="AL89" s="69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3">
        <f t="shared" si="29"/>
        <v>0</v>
      </c>
      <c r="AN89" s="693">
        <f t="shared" si="30"/>
        <v>0</v>
      </c>
      <c r="AO89" s="693">
        <f t="shared" si="31"/>
        <v>0</v>
      </c>
      <c r="AP89" s="69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3">
        <f t="shared" si="32"/>
        <v>0</v>
      </c>
      <c r="AR89" s="693">
        <f t="shared" si="33"/>
        <v>0</v>
      </c>
      <c r="AS89" s="693">
        <f t="shared" si="37"/>
        <v>0</v>
      </c>
      <c r="AT89" s="693">
        <f t="shared" si="38"/>
        <v>0</v>
      </c>
      <c r="AU89" s="693">
        <f t="shared" si="34"/>
        <v>0</v>
      </c>
      <c r="AV89" s="693">
        <f t="shared" si="35"/>
        <v>0</v>
      </c>
      <c r="AW89" s="742">
        <f t="shared" si="36"/>
        <v>0</v>
      </c>
      <c r="AX89" s="707"/>
      <c r="AY89" s="707"/>
    </row>
    <row r="90" spans="3:51" s="46" customFormat="1" ht="30.75" hidden="1" customHeight="1" outlineLevel="1">
      <c r="C90" s="743">
        <v>73</v>
      </c>
      <c r="D90" s="708"/>
      <c r="E90" s="744"/>
      <c r="F90" s="745"/>
      <c r="G90" s="1963"/>
      <c r="H90" s="1964"/>
      <c r="I90" s="700"/>
      <c r="J90" s="746"/>
      <c r="K90" s="701"/>
      <c r="L90" s="702"/>
      <c r="M90" s="702"/>
      <c r="N90" s="702"/>
      <c r="O90" s="702"/>
      <c r="P90" s="702"/>
      <c r="Q90" s="702"/>
      <c r="R90" s="1074"/>
      <c r="S90" s="703"/>
      <c r="T90" s="747"/>
      <c r="U90" s="748"/>
      <c r="V90" s="738"/>
      <c r="W90" s="749"/>
      <c r="X90" s="750"/>
      <c r="Z90" s="691">
        <f t="shared" si="21"/>
        <v>0</v>
      </c>
      <c r="AA90" s="691">
        <f t="shared" si="22"/>
        <v>0</v>
      </c>
      <c r="AB90" s="691">
        <f t="shared" si="23"/>
        <v>0</v>
      </c>
      <c r="AC90" s="691">
        <f>IF(Z90=0,,VLOOKUP(Z90,リスト!DC:DD,2,0))</f>
        <v>0</v>
      </c>
      <c r="AD90" s="691">
        <f t="shared" si="24"/>
        <v>0</v>
      </c>
      <c r="AE90" s="692">
        <f>IF(AD90=0,,VLOOKUP(AD90,リスト!DK:DL,2,0))</f>
        <v>0</v>
      </c>
      <c r="AF90" s="691">
        <f>IF(Z90=0,,
IF(OR(リスト!$C$21="小麦",リスト!$C$21="二条大麦",リスト!$C$21="六条大麦",リスト!$C$21="はだか麦",リスト!$C$21="なたね"),IF(K90&lt;9,調査年-J90,調査年-J90-1),
IF(リスト!$C$21="さとうきび",IF(K90&gt;=4,調査年-J90,調査年-J90+1),
調査年-J90)))</f>
        <v>0</v>
      </c>
      <c r="AG90" s="693">
        <f t="shared" si="25"/>
        <v>0</v>
      </c>
      <c r="AH90" s="693">
        <f t="shared" si="26"/>
        <v>0</v>
      </c>
      <c r="AI90" s="693">
        <f t="shared" si="27"/>
        <v>0</v>
      </c>
      <c r="AJ90" s="693">
        <f t="shared" si="28"/>
        <v>0</v>
      </c>
      <c r="AK90" s="417"/>
      <c r="AL90" s="69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3">
        <f t="shared" si="29"/>
        <v>0</v>
      </c>
      <c r="AN90" s="693">
        <f t="shared" si="30"/>
        <v>0</v>
      </c>
      <c r="AO90" s="693">
        <f t="shared" si="31"/>
        <v>0</v>
      </c>
      <c r="AP90" s="69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3">
        <f t="shared" si="32"/>
        <v>0</v>
      </c>
      <c r="AR90" s="693">
        <f t="shared" si="33"/>
        <v>0</v>
      </c>
      <c r="AS90" s="693">
        <f t="shared" si="37"/>
        <v>0</v>
      </c>
      <c r="AT90" s="693">
        <f t="shared" si="38"/>
        <v>0</v>
      </c>
      <c r="AU90" s="693">
        <f t="shared" si="34"/>
        <v>0</v>
      </c>
      <c r="AV90" s="693">
        <f t="shared" si="35"/>
        <v>0</v>
      </c>
      <c r="AW90" s="742">
        <f t="shared" si="36"/>
        <v>0</v>
      </c>
      <c r="AX90" s="707"/>
      <c r="AY90" s="707"/>
    </row>
    <row r="91" spans="3:51" s="46" customFormat="1" ht="30.75" hidden="1" customHeight="1" outlineLevel="1">
      <c r="C91" s="743">
        <v>74</v>
      </c>
      <c r="D91" s="708"/>
      <c r="E91" s="744"/>
      <c r="F91" s="745"/>
      <c r="G91" s="1963"/>
      <c r="H91" s="1964"/>
      <c r="I91" s="700"/>
      <c r="J91" s="746"/>
      <c r="K91" s="701"/>
      <c r="L91" s="702"/>
      <c r="M91" s="702"/>
      <c r="N91" s="702"/>
      <c r="O91" s="702"/>
      <c r="P91" s="702"/>
      <c r="Q91" s="702"/>
      <c r="R91" s="1074"/>
      <c r="S91" s="703"/>
      <c r="T91" s="747"/>
      <c r="U91" s="748"/>
      <c r="V91" s="738"/>
      <c r="W91" s="749"/>
      <c r="X91" s="750"/>
      <c r="Z91" s="691">
        <f t="shared" si="21"/>
        <v>0</v>
      </c>
      <c r="AA91" s="691">
        <f t="shared" si="22"/>
        <v>0</v>
      </c>
      <c r="AB91" s="691">
        <f t="shared" si="23"/>
        <v>0</v>
      </c>
      <c r="AC91" s="691">
        <f>IF(Z91=0,,VLOOKUP(Z91,リスト!DC:DD,2,0))</f>
        <v>0</v>
      </c>
      <c r="AD91" s="691">
        <f t="shared" si="24"/>
        <v>0</v>
      </c>
      <c r="AE91" s="692">
        <f>IF(AD91=0,,VLOOKUP(AD91,リスト!DK:DL,2,0))</f>
        <v>0</v>
      </c>
      <c r="AF91" s="691">
        <f>IF(Z91=0,,
IF(OR(リスト!$C$21="小麦",リスト!$C$21="二条大麦",リスト!$C$21="六条大麦",リスト!$C$21="はだか麦",リスト!$C$21="なたね"),IF(K91&lt;9,調査年-J91,調査年-J91-1),
IF(リスト!$C$21="さとうきび",IF(K91&gt;=4,調査年-J91,調査年-J91+1),
調査年-J91)))</f>
        <v>0</v>
      </c>
      <c r="AG91" s="693">
        <f t="shared" si="25"/>
        <v>0</v>
      </c>
      <c r="AH91" s="693">
        <f t="shared" si="26"/>
        <v>0</v>
      </c>
      <c r="AI91" s="693">
        <f t="shared" si="27"/>
        <v>0</v>
      </c>
      <c r="AJ91" s="693">
        <f t="shared" si="28"/>
        <v>0</v>
      </c>
      <c r="AK91" s="417"/>
      <c r="AL91" s="69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3">
        <f t="shared" si="29"/>
        <v>0</v>
      </c>
      <c r="AN91" s="693">
        <f t="shared" si="30"/>
        <v>0</v>
      </c>
      <c r="AO91" s="693">
        <f t="shared" si="31"/>
        <v>0</v>
      </c>
      <c r="AP91" s="69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3">
        <f t="shared" si="32"/>
        <v>0</v>
      </c>
      <c r="AR91" s="693">
        <f t="shared" si="33"/>
        <v>0</v>
      </c>
      <c r="AS91" s="693">
        <f t="shared" si="37"/>
        <v>0</v>
      </c>
      <c r="AT91" s="693">
        <f t="shared" si="38"/>
        <v>0</v>
      </c>
      <c r="AU91" s="693">
        <f t="shared" si="34"/>
        <v>0</v>
      </c>
      <c r="AV91" s="693">
        <f t="shared" si="35"/>
        <v>0</v>
      </c>
      <c r="AW91" s="742">
        <f t="shared" si="36"/>
        <v>0</v>
      </c>
      <c r="AX91" s="707"/>
      <c r="AY91" s="707"/>
    </row>
    <row r="92" spans="3:51" s="46" customFormat="1" ht="30.75" hidden="1" customHeight="1" outlineLevel="1">
      <c r="C92" s="743">
        <v>75</v>
      </c>
      <c r="D92" s="708"/>
      <c r="E92" s="744"/>
      <c r="F92" s="745"/>
      <c r="G92" s="1963"/>
      <c r="H92" s="1964"/>
      <c r="I92" s="700"/>
      <c r="J92" s="746"/>
      <c r="K92" s="701"/>
      <c r="L92" s="702"/>
      <c r="M92" s="702"/>
      <c r="N92" s="702"/>
      <c r="O92" s="702"/>
      <c r="P92" s="702"/>
      <c r="Q92" s="702"/>
      <c r="R92" s="1074"/>
      <c r="S92" s="703"/>
      <c r="T92" s="747"/>
      <c r="U92" s="748"/>
      <c r="V92" s="738"/>
      <c r="W92" s="749"/>
      <c r="X92" s="750"/>
      <c r="Z92" s="691">
        <f t="shared" si="21"/>
        <v>0</v>
      </c>
      <c r="AA92" s="691">
        <f t="shared" si="22"/>
        <v>0</v>
      </c>
      <c r="AB92" s="691">
        <f t="shared" si="23"/>
        <v>0</v>
      </c>
      <c r="AC92" s="691">
        <f>IF(Z92=0,,VLOOKUP(Z92,リスト!DC:DD,2,0))</f>
        <v>0</v>
      </c>
      <c r="AD92" s="691">
        <f t="shared" si="24"/>
        <v>0</v>
      </c>
      <c r="AE92" s="692">
        <f>IF(AD92=0,,VLOOKUP(AD92,リスト!DK:DL,2,0))</f>
        <v>0</v>
      </c>
      <c r="AF92" s="691">
        <f>IF(Z92=0,,
IF(OR(リスト!$C$21="小麦",リスト!$C$21="二条大麦",リスト!$C$21="六条大麦",リスト!$C$21="はだか麦",リスト!$C$21="なたね"),IF(K92&lt;9,調査年-J92,調査年-J92-1),
IF(リスト!$C$21="さとうきび",IF(K92&gt;=4,調査年-J92,調査年-J92+1),
調査年-J92)))</f>
        <v>0</v>
      </c>
      <c r="AG92" s="693">
        <f t="shared" si="25"/>
        <v>0</v>
      </c>
      <c r="AH92" s="693">
        <f t="shared" si="26"/>
        <v>0</v>
      </c>
      <c r="AI92" s="693">
        <f t="shared" si="27"/>
        <v>0</v>
      </c>
      <c r="AJ92" s="693">
        <f t="shared" si="28"/>
        <v>0</v>
      </c>
      <c r="AK92" s="417"/>
      <c r="AL92" s="69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3">
        <f t="shared" si="29"/>
        <v>0</v>
      </c>
      <c r="AN92" s="693">
        <f t="shared" si="30"/>
        <v>0</v>
      </c>
      <c r="AO92" s="693">
        <f t="shared" si="31"/>
        <v>0</v>
      </c>
      <c r="AP92" s="69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3">
        <f t="shared" si="32"/>
        <v>0</v>
      </c>
      <c r="AR92" s="693">
        <f t="shared" si="33"/>
        <v>0</v>
      </c>
      <c r="AS92" s="693">
        <f t="shared" si="37"/>
        <v>0</v>
      </c>
      <c r="AT92" s="693">
        <f t="shared" si="38"/>
        <v>0</v>
      </c>
      <c r="AU92" s="693">
        <f t="shared" si="34"/>
        <v>0</v>
      </c>
      <c r="AV92" s="693">
        <f t="shared" si="35"/>
        <v>0</v>
      </c>
      <c r="AW92" s="742">
        <f t="shared" si="36"/>
        <v>0</v>
      </c>
      <c r="AX92" s="707"/>
      <c r="AY92" s="707"/>
    </row>
    <row r="93" spans="3:51" s="46" customFormat="1" ht="30.75" hidden="1" customHeight="1" outlineLevel="1">
      <c r="C93" s="743">
        <v>76</v>
      </c>
      <c r="D93" s="708"/>
      <c r="E93" s="752"/>
      <c r="F93" s="753"/>
      <c r="G93" s="1967"/>
      <c r="H93" s="1968"/>
      <c r="I93" s="754"/>
      <c r="J93" s="755"/>
      <c r="K93" s="756"/>
      <c r="L93" s="757"/>
      <c r="M93" s="757"/>
      <c r="N93" s="757"/>
      <c r="O93" s="757"/>
      <c r="P93" s="757"/>
      <c r="Q93" s="757"/>
      <c r="R93" s="1074"/>
      <c r="S93" s="758"/>
      <c r="T93" s="759"/>
      <c r="U93" s="760"/>
      <c r="V93" s="738"/>
      <c r="W93" s="749"/>
      <c r="X93" s="750"/>
      <c r="Z93" s="691">
        <f t="shared" si="21"/>
        <v>0</v>
      </c>
      <c r="AA93" s="691">
        <f t="shared" si="22"/>
        <v>0</v>
      </c>
      <c r="AB93" s="691">
        <f t="shared" si="23"/>
        <v>0</v>
      </c>
      <c r="AC93" s="691">
        <f>IF(Z93=0,,VLOOKUP(Z93,リスト!DC:DD,2,0))</f>
        <v>0</v>
      </c>
      <c r="AD93" s="691">
        <f t="shared" si="24"/>
        <v>0</v>
      </c>
      <c r="AE93" s="692">
        <f>IF(AD93=0,,VLOOKUP(AD93,リスト!DK:DL,2,0))</f>
        <v>0</v>
      </c>
      <c r="AF93" s="691">
        <f>IF(Z93=0,,
IF(OR(リスト!$C$21="小麦",リスト!$C$21="二条大麦",リスト!$C$21="六条大麦",リスト!$C$21="はだか麦",リスト!$C$21="なたね"),IF(K93&lt;9,調査年-J93,調査年-J93-1),
IF(リスト!$C$21="さとうきび",IF(K93&gt;=4,調査年-J93,調査年-J93+1),
調査年-J93)))</f>
        <v>0</v>
      </c>
      <c r="AG93" s="693">
        <f t="shared" si="25"/>
        <v>0</v>
      </c>
      <c r="AH93" s="693">
        <f t="shared" si="26"/>
        <v>0</v>
      </c>
      <c r="AI93" s="693">
        <f t="shared" si="27"/>
        <v>0</v>
      </c>
      <c r="AJ93" s="693">
        <f t="shared" si="28"/>
        <v>0</v>
      </c>
      <c r="AK93" s="417"/>
      <c r="AL93" s="69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3">
        <f t="shared" si="29"/>
        <v>0</v>
      </c>
      <c r="AN93" s="693">
        <f t="shared" si="30"/>
        <v>0</v>
      </c>
      <c r="AO93" s="693">
        <f t="shared" si="31"/>
        <v>0</v>
      </c>
      <c r="AP93" s="69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3">
        <f t="shared" si="32"/>
        <v>0</v>
      </c>
      <c r="AR93" s="693">
        <f t="shared" si="33"/>
        <v>0</v>
      </c>
      <c r="AS93" s="693">
        <f t="shared" si="37"/>
        <v>0</v>
      </c>
      <c r="AT93" s="693">
        <f t="shared" si="38"/>
        <v>0</v>
      </c>
      <c r="AU93" s="693">
        <f t="shared" si="34"/>
        <v>0</v>
      </c>
      <c r="AV93" s="693">
        <f t="shared" si="35"/>
        <v>0</v>
      </c>
      <c r="AW93" s="742">
        <f t="shared" si="36"/>
        <v>0</v>
      </c>
      <c r="AX93" s="707"/>
      <c r="AY93" s="707"/>
    </row>
    <row r="94" spans="3:51" s="46" customFormat="1" ht="30.75" hidden="1" customHeight="1" outlineLevel="1">
      <c r="C94" s="743">
        <v>77</v>
      </c>
      <c r="D94" s="708"/>
      <c r="E94" s="744"/>
      <c r="F94" s="745"/>
      <c r="G94" s="1963"/>
      <c r="H94" s="1964"/>
      <c r="I94" s="700"/>
      <c r="J94" s="746"/>
      <c r="K94" s="701"/>
      <c r="L94" s="702"/>
      <c r="M94" s="702"/>
      <c r="N94" s="702"/>
      <c r="O94" s="702"/>
      <c r="P94" s="702"/>
      <c r="Q94" s="702"/>
      <c r="R94" s="1074"/>
      <c r="S94" s="703"/>
      <c r="T94" s="747"/>
      <c r="U94" s="748"/>
      <c r="V94" s="738"/>
      <c r="W94" s="749"/>
      <c r="X94" s="750"/>
      <c r="Z94" s="691">
        <f t="shared" si="21"/>
        <v>0</v>
      </c>
      <c r="AA94" s="691">
        <f t="shared" si="22"/>
        <v>0</v>
      </c>
      <c r="AB94" s="691">
        <f t="shared" si="23"/>
        <v>0</v>
      </c>
      <c r="AC94" s="691">
        <f>IF(Z94=0,,VLOOKUP(Z94,リスト!DC:DD,2,0))</f>
        <v>0</v>
      </c>
      <c r="AD94" s="691">
        <f t="shared" si="24"/>
        <v>0</v>
      </c>
      <c r="AE94" s="692">
        <f>IF(AD94=0,,VLOOKUP(AD94,リスト!DK:DL,2,0))</f>
        <v>0</v>
      </c>
      <c r="AF94" s="691">
        <f>IF(Z94=0,,
IF(OR(リスト!$C$21="小麦",リスト!$C$21="二条大麦",リスト!$C$21="六条大麦",リスト!$C$21="はだか麦",リスト!$C$21="なたね"),IF(K94&lt;9,調査年-J94,調査年-J94-1),
IF(リスト!$C$21="さとうきび",IF(K94&gt;=4,調査年-J94,調査年-J94+1),
調査年-J94)))</f>
        <v>0</v>
      </c>
      <c r="AG94" s="693">
        <f t="shared" si="25"/>
        <v>0</v>
      </c>
      <c r="AH94" s="693">
        <f t="shared" si="26"/>
        <v>0</v>
      </c>
      <c r="AI94" s="693">
        <f t="shared" si="27"/>
        <v>0</v>
      </c>
      <c r="AJ94" s="693">
        <f t="shared" si="28"/>
        <v>0</v>
      </c>
      <c r="AK94" s="417"/>
      <c r="AL94" s="69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3">
        <f t="shared" si="29"/>
        <v>0</v>
      </c>
      <c r="AN94" s="693">
        <f t="shared" si="30"/>
        <v>0</v>
      </c>
      <c r="AO94" s="693">
        <f t="shared" si="31"/>
        <v>0</v>
      </c>
      <c r="AP94" s="69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3">
        <f t="shared" si="32"/>
        <v>0</v>
      </c>
      <c r="AR94" s="693">
        <f t="shared" si="33"/>
        <v>0</v>
      </c>
      <c r="AS94" s="693">
        <f t="shared" si="37"/>
        <v>0</v>
      </c>
      <c r="AT94" s="693">
        <f t="shared" si="38"/>
        <v>0</v>
      </c>
      <c r="AU94" s="693">
        <f t="shared" si="34"/>
        <v>0</v>
      </c>
      <c r="AV94" s="693">
        <f t="shared" si="35"/>
        <v>0</v>
      </c>
      <c r="AW94" s="742">
        <f t="shared" si="36"/>
        <v>0</v>
      </c>
      <c r="AX94" s="707"/>
      <c r="AY94" s="707"/>
    </row>
    <row r="95" spans="3:51" s="46" customFormat="1" ht="30.75" hidden="1" customHeight="1" outlineLevel="1">
      <c r="C95" s="743">
        <v>78</v>
      </c>
      <c r="D95" s="708"/>
      <c r="E95" s="744"/>
      <c r="F95" s="745"/>
      <c r="G95" s="1963"/>
      <c r="H95" s="1964"/>
      <c r="I95" s="700"/>
      <c r="J95" s="746"/>
      <c r="K95" s="701"/>
      <c r="L95" s="702"/>
      <c r="M95" s="702"/>
      <c r="N95" s="702"/>
      <c r="O95" s="702"/>
      <c r="P95" s="702"/>
      <c r="Q95" s="702"/>
      <c r="R95" s="1074"/>
      <c r="S95" s="703"/>
      <c r="T95" s="747"/>
      <c r="U95" s="748"/>
      <c r="V95" s="738"/>
      <c r="W95" s="749"/>
      <c r="X95" s="750"/>
      <c r="Z95" s="691">
        <f t="shared" si="21"/>
        <v>0</v>
      </c>
      <c r="AA95" s="691">
        <f t="shared" si="22"/>
        <v>0</v>
      </c>
      <c r="AB95" s="691">
        <f t="shared" si="23"/>
        <v>0</v>
      </c>
      <c r="AC95" s="691">
        <f>IF(Z95=0,,VLOOKUP(Z95,リスト!DC:DD,2,0))</f>
        <v>0</v>
      </c>
      <c r="AD95" s="691">
        <f t="shared" si="24"/>
        <v>0</v>
      </c>
      <c r="AE95" s="692">
        <f>IF(AD95=0,,VLOOKUP(AD95,リスト!DK:DL,2,0))</f>
        <v>0</v>
      </c>
      <c r="AF95" s="691">
        <f>IF(Z95=0,,
IF(OR(リスト!$C$21="小麦",リスト!$C$21="二条大麦",リスト!$C$21="六条大麦",リスト!$C$21="はだか麦",リスト!$C$21="なたね"),IF(K95&lt;9,調査年-J95,調査年-J95-1),
IF(リスト!$C$21="さとうきび",IF(K95&gt;=4,調査年-J95,調査年-J95+1),
調査年-J95)))</f>
        <v>0</v>
      </c>
      <c r="AG95" s="693">
        <f t="shared" si="25"/>
        <v>0</v>
      </c>
      <c r="AH95" s="693">
        <f t="shared" si="26"/>
        <v>0</v>
      </c>
      <c r="AI95" s="693">
        <f t="shared" si="27"/>
        <v>0</v>
      </c>
      <c r="AJ95" s="693">
        <f t="shared" si="28"/>
        <v>0</v>
      </c>
      <c r="AK95" s="417"/>
      <c r="AL95" s="69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3">
        <f t="shared" si="29"/>
        <v>0</v>
      </c>
      <c r="AN95" s="693">
        <f t="shared" si="30"/>
        <v>0</v>
      </c>
      <c r="AO95" s="693">
        <f t="shared" si="31"/>
        <v>0</v>
      </c>
      <c r="AP95" s="69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3">
        <f t="shared" si="32"/>
        <v>0</v>
      </c>
      <c r="AR95" s="693">
        <f t="shared" si="33"/>
        <v>0</v>
      </c>
      <c r="AS95" s="693">
        <f t="shared" si="37"/>
        <v>0</v>
      </c>
      <c r="AT95" s="693">
        <f t="shared" si="38"/>
        <v>0</v>
      </c>
      <c r="AU95" s="693">
        <f t="shared" si="34"/>
        <v>0</v>
      </c>
      <c r="AV95" s="693">
        <f t="shared" si="35"/>
        <v>0</v>
      </c>
      <c r="AW95" s="742">
        <f t="shared" si="36"/>
        <v>0</v>
      </c>
      <c r="AX95" s="707"/>
      <c r="AY95" s="707"/>
    </row>
    <row r="96" spans="3:51" s="46" customFormat="1" ht="30.75" hidden="1" customHeight="1" outlineLevel="1">
      <c r="C96" s="743">
        <v>79</v>
      </c>
      <c r="D96" s="708"/>
      <c r="E96" s="744"/>
      <c r="F96" s="745"/>
      <c r="G96" s="1963"/>
      <c r="H96" s="1964"/>
      <c r="I96" s="700"/>
      <c r="J96" s="746"/>
      <c r="K96" s="701"/>
      <c r="L96" s="702"/>
      <c r="M96" s="702"/>
      <c r="N96" s="702"/>
      <c r="O96" s="702"/>
      <c r="P96" s="702"/>
      <c r="Q96" s="702"/>
      <c r="R96" s="1074"/>
      <c r="S96" s="703"/>
      <c r="T96" s="747"/>
      <c r="U96" s="748"/>
      <c r="V96" s="738"/>
      <c r="W96" s="749"/>
      <c r="X96" s="750"/>
      <c r="Z96" s="691">
        <f t="shared" si="21"/>
        <v>0</v>
      </c>
      <c r="AA96" s="691">
        <f t="shared" si="22"/>
        <v>0</v>
      </c>
      <c r="AB96" s="691">
        <f t="shared" si="23"/>
        <v>0</v>
      </c>
      <c r="AC96" s="691">
        <f>IF(Z96=0,,VLOOKUP(Z96,リスト!DC:DD,2,0))</f>
        <v>0</v>
      </c>
      <c r="AD96" s="691">
        <f t="shared" si="24"/>
        <v>0</v>
      </c>
      <c r="AE96" s="692">
        <f>IF(AD96=0,,VLOOKUP(AD96,リスト!DK:DL,2,0))</f>
        <v>0</v>
      </c>
      <c r="AF96" s="691">
        <f>IF(Z96=0,,
IF(OR(リスト!$C$21="小麦",リスト!$C$21="二条大麦",リスト!$C$21="六条大麦",リスト!$C$21="はだか麦",リスト!$C$21="なたね"),IF(K96&lt;9,調査年-J96,調査年-J96-1),
IF(リスト!$C$21="さとうきび",IF(K96&gt;=4,調査年-J96,調査年-J96+1),
調査年-J96)))</f>
        <v>0</v>
      </c>
      <c r="AG96" s="693">
        <f t="shared" si="25"/>
        <v>0</v>
      </c>
      <c r="AH96" s="693">
        <f t="shared" si="26"/>
        <v>0</v>
      </c>
      <c r="AI96" s="693">
        <f t="shared" si="27"/>
        <v>0</v>
      </c>
      <c r="AJ96" s="693">
        <f t="shared" si="28"/>
        <v>0</v>
      </c>
      <c r="AK96" s="417"/>
      <c r="AL96" s="69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3">
        <f t="shared" si="29"/>
        <v>0</v>
      </c>
      <c r="AN96" s="693">
        <f t="shared" si="30"/>
        <v>0</v>
      </c>
      <c r="AO96" s="693">
        <f t="shared" si="31"/>
        <v>0</v>
      </c>
      <c r="AP96" s="69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3">
        <f t="shared" si="32"/>
        <v>0</v>
      </c>
      <c r="AR96" s="693">
        <f t="shared" si="33"/>
        <v>0</v>
      </c>
      <c r="AS96" s="693">
        <f t="shared" si="37"/>
        <v>0</v>
      </c>
      <c r="AT96" s="693">
        <f t="shared" si="38"/>
        <v>0</v>
      </c>
      <c r="AU96" s="693">
        <f t="shared" si="34"/>
        <v>0</v>
      </c>
      <c r="AV96" s="693">
        <f t="shared" si="35"/>
        <v>0</v>
      </c>
      <c r="AW96" s="742">
        <f t="shared" si="36"/>
        <v>0</v>
      </c>
      <c r="AX96" s="707"/>
      <c r="AY96" s="707"/>
    </row>
    <row r="97" spans="3:51" s="46" customFormat="1" ht="30.75" hidden="1" customHeight="1" outlineLevel="1">
      <c r="C97" s="743">
        <v>80</v>
      </c>
      <c r="D97" s="708"/>
      <c r="E97" s="744"/>
      <c r="F97" s="745"/>
      <c r="G97" s="1963"/>
      <c r="H97" s="1964"/>
      <c r="I97" s="700"/>
      <c r="J97" s="746"/>
      <c r="K97" s="701"/>
      <c r="L97" s="702"/>
      <c r="M97" s="702"/>
      <c r="N97" s="702"/>
      <c r="O97" s="702"/>
      <c r="P97" s="702"/>
      <c r="Q97" s="702"/>
      <c r="R97" s="1074"/>
      <c r="S97" s="703"/>
      <c r="T97" s="747"/>
      <c r="U97" s="748"/>
      <c r="V97" s="738"/>
      <c r="W97" s="749"/>
      <c r="X97" s="750"/>
      <c r="Z97" s="691">
        <f t="shared" si="21"/>
        <v>0</v>
      </c>
      <c r="AA97" s="691">
        <f t="shared" si="22"/>
        <v>0</v>
      </c>
      <c r="AB97" s="691">
        <f t="shared" si="23"/>
        <v>0</v>
      </c>
      <c r="AC97" s="691">
        <f>IF(Z97=0,,VLOOKUP(Z97,リスト!DC:DD,2,0))</f>
        <v>0</v>
      </c>
      <c r="AD97" s="691">
        <f t="shared" si="24"/>
        <v>0</v>
      </c>
      <c r="AE97" s="692">
        <f>IF(AD97=0,,VLOOKUP(AD97,リスト!DK:DL,2,0))</f>
        <v>0</v>
      </c>
      <c r="AF97" s="691">
        <f>IF(Z97=0,,
IF(OR(リスト!$C$21="小麦",リスト!$C$21="二条大麦",リスト!$C$21="六条大麦",リスト!$C$21="はだか麦",リスト!$C$21="なたね"),IF(K97&lt;9,調査年-J97,調査年-J97-1),
IF(リスト!$C$21="さとうきび",IF(K97&gt;=4,調査年-J97,調査年-J97+1),
調査年-J97)))</f>
        <v>0</v>
      </c>
      <c r="AG97" s="693">
        <f t="shared" si="25"/>
        <v>0</v>
      </c>
      <c r="AH97" s="693">
        <f t="shared" si="26"/>
        <v>0</v>
      </c>
      <c r="AI97" s="693">
        <f t="shared" si="27"/>
        <v>0</v>
      </c>
      <c r="AJ97" s="693">
        <f t="shared" si="28"/>
        <v>0</v>
      </c>
      <c r="AK97" s="417"/>
      <c r="AL97" s="69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3">
        <f t="shared" si="29"/>
        <v>0</v>
      </c>
      <c r="AN97" s="693">
        <f t="shared" si="30"/>
        <v>0</v>
      </c>
      <c r="AO97" s="693">
        <f t="shared" si="31"/>
        <v>0</v>
      </c>
      <c r="AP97" s="69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3">
        <f t="shared" si="32"/>
        <v>0</v>
      </c>
      <c r="AR97" s="693">
        <f t="shared" si="33"/>
        <v>0</v>
      </c>
      <c r="AS97" s="693">
        <f t="shared" si="37"/>
        <v>0</v>
      </c>
      <c r="AT97" s="693">
        <f t="shared" si="38"/>
        <v>0</v>
      </c>
      <c r="AU97" s="693">
        <f t="shared" si="34"/>
        <v>0</v>
      </c>
      <c r="AV97" s="693">
        <f t="shared" si="35"/>
        <v>0</v>
      </c>
      <c r="AW97" s="742">
        <f t="shared" si="36"/>
        <v>0</v>
      </c>
      <c r="AX97" s="707"/>
      <c r="AY97" s="707"/>
    </row>
    <row r="98" spans="3:51" s="46" customFormat="1" ht="30.75" hidden="1" customHeight="1" outlineLevel="1">
      <c r="C98" s="743">
        <v>81</v>
      </c>
      <c r="D98" s="708"/>
      <c r="E98" s="752"/>
      <c r="F98" s="753"/>
      <c r="G98" s="1967"/>
      <c r="H98" s="1968"/>
      <c r="I98" s="754"/>
      <c r="J98" s="755"/>
      <c r="K98" s="756"/>
      <c r="L98" s="757"/>
      <c r="M98" s="757"/>
      <c r="N98" s="757"/>
      <c r="O98" s="757"/>
      <c r="P98" s="757"/>
      <c r="Q98" s="757"/>
      <c r="R98" s="1074"/>
      <c r="S98" s="758"/>
      <c r="T98" s="759"/>
      <c r="U98" s="760"/>
      <c r="V98" s="738"/>
      <c r="W98" s="749"/>
      <c r="X98" s="750"/>
      <c r="Z98" s="691">
        <f t="shared" si="21"/>
        <v>0</v>
      </c>
      <c r="AA98" s="691">
        <f t="shared" si="22"/>
        <v>0</v>
      </c>
      <c r="AB98" s="691">
        <f t="shared" si="23"/>
        <v>0</v>
      </c>
      <c r="AC98" s="691">
        <f>IF(Z98=0,,VLOOKUP(Z98,リスト!DC:DD,2,0))</f>
        <v>0</v>
      </c>
      <c r="AD98" s="691">
        <f t="shared" si="24"/>
        <v>0</v>
      </c>
      <c r="AE98" s="692">
        <f>IF(AD98=0,,VLOOKUP(AD98,リスト!DK:DL,2,0))</f>
        <v>0</v>
      </c>
      <c r="AF98" s="691">
        <f>IF(Z98=0,,
IF(OR(リスト!$C$21="小麦",リスト!$C$21="二条大麦",リスト!$C$21="六条大麦",リスト!$C$21="はだか麦",リスト!$C$21="なたね"),IF(K98&lt;9,調査年-J98,調査年-J98-1),
IF(リスト!$C$21="さとうきび",IF(K98&gt;=4,調査年-J98,調査年-J98+1),
調査年-J98)))</f>
        <v>0</v>
      </c>
      <c r="AG98" s="693">
        <f t="shared" si="25"/>
        <v>0</v>
      </c>
      <c r="AH98" s="693">
        <f t="shared" si="26"/>
        <v>0</v>
      </c>
      <c r="AI98" s="693">
        <f t="shared" si="27"/>
        <v>0</v>
      </c>
      <c r="AJ98" s="693">
        <f t="shared" si="28"/>
        <v>0</v>
      </c>
      <c r="AK98" s="417"/>
      <c r="AL98" s="69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3">
        <f t="shared" si="29"/>
        <v>0</v>
      </c>
      <c r="AN98" s="693">
        <f t="shared" si="30"/>
        <v>0</v>
      </c>
      <c r="AO98" s="693">
        <f t="shared" si="31"/>
        <v>0</v>
      </c>
      <c r="AP98" s="69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3">
        <f t="shared" si="32"/>
        <v>0</v>
      </c>
      <c r="AR98" s="693">
        <f t="shared" si="33"/>
        <v>0</v>
      </c>
      <c r="AS98" s="693">
        <f t="shared" si="37"/>
        <v>0</v>
      </c>
      <c r="AT98" s="693">
        <f t="shared" si="38"/>
        <v>0</v>
      </c>
      <c r="AU98" s="693">
        <f t="shared" si="34"/>
        <v>0</v>
      </c>
      <c r="AV98" s="693">
        <f t="shared" si="35"/>
        <v>0</v>
      </c>
      <c r="AW98" s="742">
        <f t="shared" si="36"/>
        <v>0</v>
      </c>
      <c r="AX98" s="707"/>
      <c r="AY98" s="707"/>
    </row>
    <row r="99" spans="3:51" s="46" customFormat="1" ht="30.75" hidden="1" customHeight="1" outlineLevel="1">
      <c r="C99" s="743">
        <v>82</v>
      </c>
      <c r="D99" s="708"/>
      <c r="E99" s="744"/>
      <c r="F99" s="745"/>
      <c r="G99" s="1963"/>
      <c r="H99" s="1964"/>
      <c r="I99" s="700"/>
      <c r="J99" s="746"/>
      <c r="K99" s="701"/>
      <c r="L99" s="702"/>
      <c r="M99" s="702"/>
      <c r="N99" s="702"/>
      <c r="O99" s="702"/>
      <c r="P99" s="702"/>
      <c r="Q99" s="702"/>
      <c r="R99" s="1074"/>
      <c r="S99" s="703"/>
      <c r="T99" s="747"/>
      <c r="U99" s="748"/>
      <c r="V99" s="738"/>
      <c r="W99" s="749"/>
      <c r="X99" s="750"/>
      <c r="Z99" s="691">
        <f t="shared" si="21"/>
        <v>0</v>
      </c>
      <c r="AA99" s="691">
        <f t="shared" si="22"/>
        <v>0</v>
      </c>
      <c r="AB99" s="691">
        <f t="shared" si="23"/>
        <v>0</v>
      </c>
      <c r="AC99" s="691">
        <f>IF(Z99=0,,VLOOKUP(Z99,リスト!DC:DD,2,0))</f>
        <v>0</v>
      </c>
      <c r="AD99" s="691">
        <f t="shared" si="24"/>
        <v>0</v>
      </c>
      <c r="AE99" s="692">
        <f>IF(AD99=0,,VLOOKUP(AD99,リスト!DK:DL,2,0))</f>
        <v>0</v>
      </c>
      <c r="AF99" s="691">
        <f>IF(Z99=0,,
IF(OR(リスト!$C$21="小麦",リスト!$C$21="二条大麦",リスト!$C$21="六条大麦",リスト!$C$21="はだか麦",リスト!$C$21="なたね"),IF(K99&lt;9,調査年-J99,調査年-J99-1),
IF(リスト!$C$21="さとうきび",IF(K99&gt;=4,調査年-J99,調査年-J99+1),
調査年-J99)))</f>
        <v>0</v>
      </c>
      <c r="AG99" s="693">
        <f t="shared" si="25"/>
        <v>0</v>
      </c>
      <c r="AH99" s="693">
        <f t="shared" si="26"/>
        <v>0</v>
      </c>
      <c r="AI99" s="693">
        <f t="shared" si="27"/>
        <v>0</v>
      </c>
      <c r="AJ99" s="693">
        <f t="shared" si="28"/>
        <v>0</v>
      </c>
      <c r="AK99" s="417"/>
      <c r="AL99" s="69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3">
        <f t="shared" si="29"/>
        <v>0</v>
      </c>
      <c r="AN99" s="693">
        <f t="shared" si="30"/>
        <v>0</v>
      </c>
      <c r="AO99" s="693">
        <f t="shared" si="31"/>
        <v>0</v>
      </c>
      <c r="AP99" s="69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3">
        <f t="shared" si="32"/>
        <v>0</v>
      </c>
      <c r="AR99" s="693">
        <f t="shared" si="33"/>
        <v>0</v>
      </c>
      <c r="AS99" s="693">
        <f t="shared" si="37"/>
        <v>0</v>
      </c>
      <c r="AT99" s="693">
        <f t="shared" si="38"/>
        <v>0</v>
      </c>
      <c r="AU99" s="693">
        <f t="shared" si="34"/>
        <v>0</v>
      </c>
      <c r="AV99" s="693">
        <f t="shared" si="35"/>
        <v>0</v>
      </c>
      <c r="AW99" s="742">
        <f t="shared" si="36"/>
        <v>0</v>
      </c>
      <c r="AX99" s="707"/>
      <c r="AY99" s="707"/>
    </row>
    <row r="100" spans="3:51" s="46" customFormat="1" ht="30.75" hidden="1" customHeight="1" outlineLevel="1">
      <c r="C100" s="743">
        <v>83</v>
      </c>
      <c r="D100" s="708"/>
      <c r="E100" s="744"/>
      <c r="F100" s="745"/>
      <c r="G100" s="1963"/>
      <c r="H100" s="1964"/>
      <c r="I100" s="700"/>
      <c r="J100" s="746"/>
      <c r="K100" s="701"/>
      <c r="L100" s="702"/>
      <c r="M100" s="702"/>
      <c r="N100" s="702"/>
      <c r="O100" s="702"/>
      <c r="P100" s="702"/>
      <c r="Q100" s="702"/>
      <c r="R100" s="1074"/>
      <c r="S100" s="703"/>
      <c r="T100" s="747"/>
      <c r="U100" s="748"/>
      <c r="V100" s="738"/>
      <c r="W100" s="749"/>
      <c r="X100" s="750"/>
      <c r="Z100" s="691">
        <f t="shared" si="21"/>
        <v>0</v>
      </c>
      <c r="AA100" s="691">
        <f t="shared" si="22"/>
        <v>0</v>
      </c>
      <c r="AB100" s="691">
        <f t="shared" si="23"/>
        <v>0</v>
      </c>
      <c r="AC100" s="691">
        <f>IF(Z100=0,,VLOOKUP(Z100,リスト!DC:DD,2,0))</f>
        <v>0</v>
      </c>
      <c r="AD100" s="691">
        <f t="shared" si="24"/>
        <v>0</v>
      </c>
      <c r="AE100" s="692">
        <f>IF(AD100=0,,VLOOKUP(AD100,リスト!DK:DL,2,0))</f>
        <v>0</v>
      </c>
      <c r="AF100" s="691">
        <f>IF(Z100=0,,
IF(OR(リスト!$C$21="小麦",リスト!$C$21="二条大麦",リスト!$C$21="六条大麦",リスト!$C$21="はだか麦",リスト!$C$21="なたね"),IF(K100&lt;9,調査年-J100,調査年-J100-1),
IF(リスト!$C$21="さとうきび",IF(K100&gt;=4,調査年-J100,調査年-J100+1),
調査年-J100)))</f>
        <v>0</v>
      </c>
      <c r="AG100" s="693">
        <f t="shared" si="25"/>
        <v>0</v>
      </c>
      <c r="AH100" s="693">
        <f t="shared" si="26"/>
        <v>0</v>
      </c>
      <c r="AI100" s="693">
        <f t="shared" si="27"/>
        <v>0</v>
      </c>
      <c r="AJ100" s="693">
        <f t="shared" si="28"/>
        <v>0</v>
      </c>
      <c r="AK100" s="417"/>
      <c r="AL100" s="69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3">
        <f t="shared" si="29"/>
        <v>0</v>
      </c>
      <c r="AN100" s="693">
        <f t="shared" si="30"/>
        <v>0</v>
      </c>
      <c r="AO100" s="693">
        <f t="shared" si="31"/>
        <v>0</v>
      </c>
      <c r="AP100" s="69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3">
        <f t="shared" si="32"/>
        <v>0</v>
      </c>
      <c r="AR100" s="693">
        <f t="shared" si="33"/>
        <v>0</v>
      </c>
      <c r="AS100" s="693">
        <f t="shared" si="37"/>
        <v>0</v>
      </c>
      <c r="AT100" s="693">
        <f t="shared" si="38"/>
        <v>0</v>
      </c>
      <c r="AU100" s="693">
        <f t="shared" si="34"/>
        <v>0</v>
      </c>
      <c r="AV100" s="693">
        <f t="shared" si="35"/>
        <v>0</v>
      </c>
      <c r="AW100" s="742">
        <f t="shared" si="36"/>
        <v>0</v>
      </c>
      <c r="AX100" s="707"/>
      <c r="AY100" s="707"/>
    </row>
    <row r="101" spans="3:51" s="46" customFormat="1" ht="30.75" hidden="1" customHeight="1" outlineLevel="1">
      <c r="C101" s="743">
        <v>84</v>
      </c>
      <c r="D101" s="708"/>
      <c r="E101" s="744"/>
      <c r="F101" s="745"/>
      <c r="G101" s="1963"/>
      <c r="H101" s="1964"/>
      <c r="I101" s="700"/>
      <c r="J101" s="746"/>
      <c r="K101" s="701"/>
      <c r="L101" s="702"/>
      <c r="M101" s="702"/>
      <c r="N101" s="702"/>
      <c r="O101" s="702"/>
      <c r="P101" s="702"/>
      <c r="Q101" s="702"/>
      <c r="R101" s="1074"/>
      <c r="S101" s="703"/>
      <c r="T101" s="747"/>
      <c r="U101" s="748"/>
      <c r="V101" s="738"/>
      <c r="W101" s="749"/>
      <c r="X101" s="750"/>
      <c r="Z101" s="691">
        <f t="shared" si="21"/>
        <v>0</v>
      </c>
      <c r="AA101" s="691">
        <f t="shared" si="22"/>
        <v>0</v>
      </c>
      <c r="AB101" s="691">
        <f t="shared" si="23"/>
        <v>0</v>
      </c>
      <c r="AC101" s="691">
        <f>IF(Z101=0,,VLOOKUP(Z101,リスト!DC:DD,2,0))</f>
        <v>0</v>
      </c>
      <c r="AD101" s="691">
        <f t="shared" si="24"/>
        <v>0</v>
      </c>
      <c r="AE101" s="692">
        <f>IF(AD101=0,,VLOOKUP(AD101,リスト!DK:DL,2,0))</f>
        <v>0</v>
      </c>
      <c r="AF101" s="691">
        <f>IF(Z101=0,,
IF(OR(リスト!$C$21="小麦",リスト!$C$21="二条大麦",リスト!$C$21="六条大麦",リスト!$C$21="はだか麦",リスト!$C$21="なたね"),IF(K101&lt;9,調査年-J101,調査年-J101-1),
IF(リスト!$C$21="さとうきび",IF(K101&gt;=4,調査年-J101,調査年-J101+1),
調査年-J101)))</f>
        <v>0</v>
      </c>
      <c r="AG101" s="693">
        <f t="shared" si="25"/>
        <v>0</v>
      </c>
      <c r="AH101" s="693">
        <f t="shared" si="26"/>
        <v>0</v>
      </c>
      <c r="AI101" s="693">
        <f t="shared" si="27"/>
        <v>0</v>
      </c>
      <c r="AJ101" s="693">
        <f t="shared" si="28"/>
        <v>0</v>
      </c>
      <c r="AK101" s="417"/>
      <c r="AL101" s="69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3">
        <f t="shared" si="29"/>
        <v>0</v>
      </c>
      <c r="AN101" s="693">
        <f t="shared" si="30"/>
        <v>0</v>
      </c>
      <c r="AO101" s="693">
        <f t="shared" si="31"/>
        <v>0</v>
      </c>
      <c r="AP101" s="69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3">
        <f t="shared" si="32"/>
        <v>0</v>
      </c>
      <c r="AR101" s="693">
        <f t="shared" si="33"/>
        <v>0</v>
      </c>
      <c r="AS101" s="693">
        <f t="shared" si="37"/>
        <v>0</v>
      </c>
      <c r="AT101" s="693">
        <f t="shared" si="38"/>
        <v>0</v>
      </c>
      <c r="AU101" s="693">
        <f t="shared" si="34"/>
        <v>0</v>
      </c>
      <c r="AV101" s="693">
        <f t="shared" si="35"/>
        <v>0</v>
      </c>
      <c r="AW101" s="742">
        <f t="shared" si="36"/>
        <v>0</v>
      </c>
      <c r="AX101" s="707"/>
      <c r="AY101" s="707"/>
    </row>
    <row r="102" spans="3:51" s="46" customFormat="1" ht="30.75" hidden="1" customHeight="1" outlineLevel="1">
      <c r="C102" s="743">
        <v>85</v>
      </c>
      <c r="D102" s="708"/>
      <c r="E102" s="744"/>
      <c r="F102" s="745"/>
      <c r="G102" s="1963"/>
      <c r="H102" s="1964"/>
      <c r="I102" s="700"/>
      <c r="J102" s="746"/>
      <c r="K102" s="701"/>
      <c r="L102" s="702"/>
      <c r="M102" s="702"/>
      <c r="N102" s="702"/>
      <c r="O102" s="702"/>
      <c r="P102" s="702"/>
      <c r="Q102" s="702"/>
      <c r="R102" s="1074"/>
      <c r="S102" s="703"/>
      <c r="T102" s="747"/>
      <c r="U102" s="748"/>
      <c r="V102" s="738"/>
      <c r="W102" s="749"/>
      <c r="X102" s="750"/>
      <c r="Z102" s="691">
        <f t="shared" si="21"/>
        <v>0</v>
      </c>
      <c r="AA102" s="691">
        <f t="shared" si="22"/>
        <v>0</v>
      </c>
      <c r="AB102" s="691">
        <f t="shared" si="23"/>
        <v>0</v>
      </c>
      <c r="AC102" s="691">
        <f>IF(Z102=0,,VLOOKUP(Z102,リスト!DC:DD,2,0))</f>
        <v>0</v>
      </c>
      <c r="AD102" s="691">
        <f t="shared" si="24"/>
        <v>0</v>
      </c>
      <c r="AE102" s="692">
        <f>IF(AD102=0,,VLOOKUP(AD102,リスト!DK:DL,2,0))</f>
        <v>0</v>
      </c>
      <c r="AF102" s="691">
        <f>IF(Z102=0,,
IF(OR(リスト!$C$21="小麦",リスト!$C$21="二条大麦",リスト!$C$21="六条大麦",リスト!$C$21="はだか麦",リスト!$C$21="なたね"),IF(K102&lt;9,調査年-J102,調査年-J102-1),
IF(リスト!$C$21="さとうきび",IF(K102&gt;=4,調査年-J102,調査年-J102+1),
調査年-J102)))</f>
        <v>0</v>
      </c>
      <c r="AG102" s="693">
        <f t="shared" si="25"/>
        <v>0</v>
      </c>
      <c r="AH102" s="693">
        <f t="shared" si="26"/>
        <v>0</v>
      </c>
      <c r="AI102" s="693">
        <f t="shared" si="27"/>
        <v>0</v>
      </c>
      <c r="AJ102" s="693">
        <f t="shared" si="28"/>
        <v>0</v>
      </c>
      <c r="AK102" s="417"/>
      <c r="AL102" s="69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3">
        <f t="shared" si="29"/>
        <v>0</v>
      </c>
      <c r="AN102" s="693">
        <f t="shared" si="30"/>
        <v>0</v>
      </c>
      <c r="AO102" s="693">
        <f t="shared" si="31"/>
        <v>0</v>
      </c>
      <c r="AP102" s="69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3">
        <f t="shared" si="32"/>
        <v>0</v>
      </c>
      <c r="AR102" s="693">
        <f t="shared" si="33"/>
        <v>0</v>
      </c>
      <c r="AS102" s="693">
        <f t="shared" si="37"/>
        <v>0</v>
      </c>
      <c r="AT102" s="693">
        <f t="shared" si="38"/>
        <v>0</v>
      </c>
      <c r="AU102" s="693">
        <f t="shared" si="34"/>
        <v>0</v>
      </c>
      <c r="AV102" s="693">
        <f t="shared" si="35"/>
        <v>0</v>
      </c>
      <c r="AW102" s="742">
        <f t="shared" si="36"/>
        <v>0</v>
      </c>
      <c r="AX102" s="707"/>
      <c r="AY102" s="707"/>
    </row>
    <row r="103" spans="3:51" s="46" customFormat="1" ht="30.75" hidden="1" customHeight="1" outlineLevel="1">
      <c r="C103" s="743">
        <v>86</v>
      </c>
      <c r="D103" s="708"/>
      <c r="E103" s="744"/>
      <c r="F103" s="745"/>
      <c r="G103" s="1963"/>
      <c r="H103" s="1964"/>
      <c r="I103" s="700"/>
      <c r="J103" s="746"/>
      <c r="K103" s="701"/>
      <c r="L103" s="702"/>
      <c r="M103" s="702"/>
      <c r="N103" s="702"/>
      <c r="O103" s="702"/>
      <c r="P103" s="702"/>
      <c r="Q103" s="702"/>
      <c r="R103" s="1074"/>
      <c r="S103" s="703"/>
      <c r="T103" s="747"/>
      <c r="U103" s="748"/>
      <c r="V103" s="738"/>
      <c r="W103" s="749"/>
      <c r="X103" s="750"/>
      <c r="Z103" s="691">
        <f t="shared" si="21"/>
        <v>0</v>
      </c>
      <c r="AA103" s="691">
        <f t="shared" si="22"/>
        <v>0</v>
      </c>
      <c r="AB103" s="691">
        <f t="shared" si="23"/>
        <v>0</v>
      </c>
      <c r="AC103" s="691">
        <f>IF(Z103=0,,VLOOKUP(Z103,リスト!DC:DD,2,0))</f>
        <v>0</v>
      </c>
      <c r="AD103" s="691">
        <f t="shared" si="24"/>
        <v>0</v>
      </c>
      <c r="AE103" s="692">
        <f>IF(AD103=0,,VLOOKUP(AD103,リスト!DK:DL,2,0))</f>
        <v>0</v>
      </c>
      <c r="AF103" s="691">
        <f>IF(Z103=0,,
IF(OR(リスト!$C$21="小麦",リスト!$C$21="二条大麦",リスト!$C$21="六条大麦",リスト!$C$21="はだか麦",リスト!$C$21="なたね"),IF(K103&lt;9,調査年-J103,調査年-J103-1),
IF(リスト!$C$21="さとうきび",IF(K103&gt;=4,調査年-J103,調査年-J103+1),
調査年-J103)))</f>
        <v>0</v>
      </c>
      <c r="AG103" s="693">
        <f t="shared" si="25"/>
        <v>0</v>
      </c>
      <c r="AH103" s="693">
        <f t="shared" si="26"/>
        <v>0</v>
      </c>
      <c r="AI103" s="693">
        <f t="shared" si="27"/>
        <v>0</v>
      </c>
      <c r="AJ103" s="693">
        <f t="shared" si="28"/>
        <v>0</v>
      </c>
      <c r="AK103" s="417"/>
      <c r="AL103" s="69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3">
        <f t="shared" si="29"/>
        <v>0</v>
      </c>
      <c r="AN103" s="693">
        <f t="shared" si="30"/>
        <v>0</v>
      </c>
      <c r="AO103" s="693">
        <f t="shared" si="31"/>
        <v>0</v>
      </c>
      <c r="AP103" s="69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3">
        <f t="shared" si="32"/>
        <v>0</v>
      </c>
      <c r="AR103" s="693">
        <f t="shared" si="33"/>
        <v>0</v>
      </c>
      <c r="AS103" s="693">
        <f t="shared" si="37"/>
        <v>0</v>
      </c>
      <c r="AT103" s="693">
        <f t="shared" si="38"/>
        <v>0</v>
      </c>
      <c r="AU103" s="693">
        <f t="shared" si="34"/>
        <v>0</v>
      </c>
      <c r="AV103" s="693">
        <f t="shared" si="35"/>
        <v>0</v>
      </c>
      <c r="AW103" s="742">
        <f t="shared" si="36"/>
        <v>0</v>
      </c>
      <c r="AX103" s="707"/>
      <c r="AY103" s="707"/>
    </row>
    <row r="104" spans="3:51" s="46" customFormat="1" ht="30.75" hidden="1" customHeight="1" outlineLevel="1">
      <c r="C104" s="743">
        <v>87</v>
      </c>
      <c r="D104" s="708"/>
      <c r="E104" s="744"/>
      <c r="F104" s="745"/>
      <c r="G104" s="1963"/>
      <c r="H104" s="1964"/>
      <c r="I104" s="700"/>
      <c r="J104" s="746"/>
      <c r="K104" s="701"/>
      <c r="L104" s="702"/>
      <c r="M104" s="702"/>
      <c r="N104" s="702"/>
      <c r="O104" s="702"/>
      <c r="P104" s="702"/>
      <c r="Q104" s="702"/>
      <c r="R104" s="1074"/>
      <c r="S104" s="703"/>
      <c r="T104" s="747"/>
      <c r="U104" s="748"/>
      <c r="V104" s="738"/>
      <c r="W104" s="749"/>
      <c r="X104" s="750"/>
      <c r="Z104" s="691">
        <f t="shared" si="21"/>
        <v>0</v>
      </c>
      <c r="AA104" s="691">
        <f t="shared" si="22"/>
        <v>0</v>
      </c>
      <c r="AB104" s="691">
        <f t="shared" si="23"/>
        <v>0</v>
      </c>
      <c r="AC104" s="691">
        <f>IF(Z104=0,,VLOOKUP(Z104,リスト!DC:DD,2,0))</f>
        <v>0</v>
      </c>
      <c r="AD104" s="691">
        <f t="shared" si="24"/>
        <v>0</v>
      </c>
      <c r="AE104" s="692">
        <f>IF(AD104=0,,VLOOKUP(AD104,リスト!DK:DL,2,0))</f>
        <v>0</v>
      </c>
      <c r="AF104" s="691">
        <f>IF(Z104=0,,
IF(OR(リスト!$C$21="小麦",リスト!$C$21="二条大麦",リスト!$C$21="六条大麦",リスト!$C$21="はだか麦",リスト!$C$21="なたね"),IF(K104&lt;9,調査年-J104,調査年-J104-1),
IF(リスト!$C$21="さとうきび",IF(K104&gt;=4,調査年-J104,調査年-J104+1),
調査年-J104)))</f>
        <v>0</v>
      </c>
      <c r="AG104" s="693">
        <f t="shared" si="25"/>
        <v>0</v>
      </c>
      <c r="AH104" s="693">
        <f t="shared" si="26"/>
        <v>0</v>
      </c>
      <c r="AI104" s="693">
        <f t="shared" si="27"/>
        <v>0</v>
      </c>
      <c r="AJ104" s="693">
        <f t="shared" si="28"/>
        <v>0</v>
      </c>
      <c r="AK104" s="417"/>
      <c r="AL104" s="69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3">
        <f t="shared" si="29"/>
        <v>0</v>
      </c>
      <c r="AN104" s="693">
        <f t="shared" si="30"/>
        <v>0</v>
      </c>
      <c r="AO104" s="693">
        <f t="shared" si="31"/>
        <v>0</v>
      </c>
      <c r="AP104" s="69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3">
        <f t="shared" si="32"/>
        <v>0</v>
      </c>
      <c r="AR104" s="693">
        <f t="shared" si="33"/>
        <v>0</v>
      </c>
      <c r="AS104" s="693">
        <f t="shared" si="37"/>
        <v>0</v>
      </c>
      <c r="AT104" s="693">
        <f t="shared" si="38"/>
        <v>0</v>
      </c>
      <c r="AU104" s="693">
        <f t="shared" si="34"/>
        <v>0</v>
      </c>
      <c r="AV104" s="693">
        <f t="shared" si="35"/>
        <v>0</v>
      </c>
      <c r="AW104" s="742">
        <f t="shared" si="36"/>
        <v>0</v>
      </c>
      <c r="AX104" s="707"/>
      <c r="AY104" s="707"/>
    </row>
    <row r="105" spans="3:51" s="46" customFormat="1" ht="30.75" hidden="1" customHeight="1" outlineLevel="1">
      <c r="C105" s="743">
        <v>88</v>
      </c>
      <c r="D105" s="708"/>
      <c r="E105" s="744"/>
      <c r="F105" s="745"/>
      <c r="G105" s="1963"/>
      <c r="H105" s="1964"/>
      <c r="I105" s="700"/>
      <c r="J105" s="746"/>
      <c r="K105" s="701"/>
      <c r="L105" s="702"/>
      <c r="M105" s="702"/>
      <c r="N105" s="702"/>
      <c r="O105" s="702"/>
      <c r="P105" s="702"/>
      <c r="Q105" s="702"/>
      <c r="R105" s="1074"/>
      <c r="S105" s="703"/>
      <c r="T105" s="747"/>
      <c r="U105" s="748"/>
      <c r="V105" s="738"/>
      <c r="W105" s="749"/>
      <c r="X105" s="750"/>
      <c r="Z105" s="691">
        <f t="shared" si="21"/>
        <v>0</v>
      </c>
      <c r="AA105" s="691">
        <f t="shared" si="22"/>
        <v>0</v>
      </c>
      <c r="AB105" s="691">
        <f t="shared" si="23"/>
        <v>0</v>
      </c>
      <c r="AC105" s="691">
        <f>IF(Z105=0,,VLOOKUP(Z105,リスト!DC:DD,2,0))</f>
        <v>0</v>
      </c>
      <c r="AD105" s="691">
        <f t="shared" si="24"/>
        <v>0</v>
      </c>
      <c r="AE105" s="692">
        <f>IF(AD105=0,,VLOOKUP(AD105,リスト!DK:DL,2,0))</f>
        <v>0</v>
      </c>
      <c r="AF105" s="691">
        <f>IF(Z105=0,,
IF(OR(リスト!$C$21="小麦",リスト!$C$21="二条大麦",リスト!$C$21="六条大麦",リスト!$C$21="はだか麦",リスト!$C$21="なたね"),IF(K105&lt;9,調査年-J105,調査年-J105-1),
IF(リスト!$C$21="さとうきび",IF(K105&gt;=4,調査年-J105,調査年-J105+1),
調査年-J105)))</f>
        <v>0</v>
      </c>
      <c r="AG105" s="693">
        <f t="shared" si="25"/>
        <v>0</v>
      </c>
      <c r="AH105" s="693">
        <f t="shared" si="26"/>
        <v>0</v>
      </c>
      <c r="AI105" s="693">
        <f t="shared" si="27"/>
        <v>0</v>
      </c>
      <c r="AJ105" s="693">
        <f t="shared" si="28"/>
        <v>0</v>
      </c>
      <c r="AK105" s="417"/>
      <c r="AL105" s="69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3">
        <f t="shared" si="29"/>
        <v>0</v>
      </c>
      <c r="AN105" s="693">
        <f t="shared" si="30"/>
        <v>0</v>
      </c>
      <c r="AO105" s="693">
        <f t="shared" si="31"/>
        <v>0</v>
      </c>
      <c r="AP105" s="69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3">
        <f t="shared" si="32"/>
        <v>0</v>
      </c>
      <c r="AR105" s="693">
        <f t="shared" si="33"/>
        <v>0</v>
      </c>
      <c r="AS105" s="693">
        <f t="shared" si="37"/>
        <v>0</v>
      </c>
      <c r="AT105" s="693">
        <f t="shared" si="38"/>
        <v>0</v>
      </c>
      <c r="AU105" s="693">
        <f t="shared" si="34"/>
        <v>0</v>
      </c>
      <c r="AV105" s="693">
        <f t="shared" si="35"/>
        <v>0</v>
      </c>
      <c r="AW105" s="742">
        <f t="shared" si="36"/>
        <v>0</v>
      </c>
      <c r="AX105" s="707"/>
      <c r="AY105" s="707"/>
    </row>
    <row r="106" spans="3:51" s="46" customFormat="1" ht="30.75" hidden="1" customHeight="1" outlineLevel="1">
      <c r="C106" s="743">
        <v>89</v>
      </c>
      <c r="D106" s="708"/>
      <c r="E106" s="744"/>
      <c r="F106" s="745"/>
      <c r="G106" s="1963"/>
      <c r="H106" s="1964"/>
      <c r="I106" s="700"/>
      <c r="J106" s="746"/>
      <c r="K106" s="701"/>
      <c r="L106" s="702"/>
      <c r="M106" s="702"/>
      <c r="N106" s="702"/>
      <c r="O106" s="702"/>
      <c r="P106" s="702"/>
      <c r="Q106" s="702"/>
      <c r="R106" s="1074"/>
      <c r="S106" s="703"/>
      <c r="T106" s="747"/>
      <c r="U106" s="748"/>
      <c r="V106" s="738"/>
      <c r="W106" s="749"/>
      <c r="X106" s="750"/>
      <c r="Z106" s="691">
        <f t="shared" si="21"/>
        <v>0</v>
      </c>
      <c r="AA106" s="691">
        <f t="shared" si="22"/>
        <v>0</v>
      </c>
      <c r="AB106" s="691">
        <f t="shared" si="23"/>
        <v>0</v>
      </c>
      <c r="AC106" s="691">
        <f>IF(Z106=0,,VLOOKUP(Z106,リスト!DC:DD,2,0))</f>
        <v>0</v>
      </c>
      <c r="AD106" s="691">
        <f t="shared" si="24"/>
        <v>0</v>
      </c>
      <c r="AE106" s="692">
        <f>IF(AD106=0,,VLOOKUP(AD106,リスト!DK:DL,2,0))</f>
        <v>0</v>
      </c>
      <c r="AF106" s="691">
        <f>IF(Z106=0,,
IF(OR(リスト!$C$21="小麦",リスト!$C$21="二条大麦",リスト!$C$21="六条大麦",リスト!$C$21="はだか麦",リスト!$C$21="なたね"),IF(K106&lt;9,調査年-J106,調査年-J106-1),
IF(リスト!$C$21="さとうきび",IF(K106&gt;=4,調査年-J106,調査年-J106+1),
調査年-J106)))</f>
        <v>0</v>
      </c>
      <c r="AG106" s="693">
        <f t="shared" si="25"/>
        <v>0</v>
      </c>
      <c r="AH106" s="693">
        <f t="shared" si="26"/>
        <v>0</v>
      </c>
      <c r="AI106" s="693">
        <f t="shared" si="27"/>
        <v>0</v>
      </c>
      <c r="AJ106" s="693">
        <f t="shared" si="28"/>
        <v>0</v>
      </c>
      <c r="AK106" s="417"/>
      <c r="AL106" s="69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3">
        <f t="shared" si="29"/>
        <v>0</v>
      </c>
      <c r="AN106" s="693">
        <f t="shared" si="30"/>
        <v>0</v>
      </c>
      <c r="AO106" s="693">
        <f t="shared" si="31"/>
        <v>0</v>
      </c>
      <c r="AP106" s="69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3">
        <f t="shared" si="32"/>
        <v>0</v>
      </c>
      <c r="AR106" s="693">
        <f t="shared" si="33"/>
        <v>0</v>
      </c>
      <c r="AS106" s="693">
        <f t="shared" si="37"/>
        <v>0</v>
      </c>
      <c r="AT106" s="693">
        <f t="shared" si="38"/>
        <v>0</v>
      </c>
      <c r="AU106" s="693">
        <f t="shared" si="34"/>
        <v>0</v>
      </c>
      <c r="AV106" s="693">
        <f t="shared" si="35"/>
        <v>0</v>
      </c>
      <c r="AW106" s="742">
        <f t="shared" si="36"/>
        <v>0</v>
      </c>
      <c r="AX106" s="707"/>
      <c r="AY106" s="707"/>
    </row>
    <row r="107" spans="3:51" s="46" customFormat="1" ht="30.75" hidden="1" customHeight="1" outlineLevel="1">
      <c r="C107" s="743">
        <v>90</v>
      </c>
      <c r="D107" s="708"/>
      <c r="E107" s="744"/>
      <c r="F107" s="745"/>
      <c r="G107" s="1963"/>
      <c r="H107" s="1964"/>
      <c r="I107" s="700"/>
      <c r="J107" s="746"/>
      <c r="K107" s="701"/>
      <c r="L107" s="702"/>
      <c r="M107" s="702"/>
      <c r="N107" s="702"/>
      <c r="O107" s="702"/>
      <c r="P107" s="702"/>
      <c r="Q107" s="702"/>
      <c r="R107" s="1074"/>
      <c r="S107" s="703"/>
      <c r="T107" s="747"/>
      <c r="U107" s="748"/>
      <c r="V107" s="738"/>
      <c r="W107" s="749"/>
      <c r="X107" s="750"/>
      <c r="Z107" s="691">
        <f t="shared" si="21"/>
        <v>0</v>
      </c>
      <c r="AA107" s="691">
        <f t="shared" si="22"/>
        <v>0</v>
      </c>
      <c r="AB107" s="691">
        <f t="shared" si="23"/>
        <v>0</v>
      </c>
      <c r="AC107" s="691">
        <f>IF(Z107=0,,VLOOKUP(Z107,リスト!DC:DD,2,0))</f>
        <v>0</v>
      </c>
      <c r="AD107" s="691">
        <f t="shared" si="24"/>
        <v>0</v>
      </c>
      <c r="AE107" s="692">
        <f>IF(AD107=0,,VLOOKUP(AD107,リスト!DK:DL,2,0))</f>
        <v>0</v>
      </c>
      <c r="AF107" s="691">
        <f>IF(Z107=0,,
IF(OR(リスト!$C$21="小麦",リスト!$C$21="二条大麦",リスト!$C$21="六条大麦",リスト!$C$21="はだか麦",リスト!$C$21="なたね"),IF(K107&lt;9,調査年-J107,調査年-J107-1),
IF(リスト!$C$21="さとうきび",IF(K107&gt;=4,調査年-J107,調査年-J107+1),
調査年-J107)))</f>
        <v>0</v>
      </c>
      <c r="AG107" s="693">
        <f t="shared" si="25"/>
        <v>0</v>
      </c>
      <c r="AH107" s="693">
        <f t="shared" si="26"/>
        <v>0</v>
      </c>
      <c r="AI107" s="693">
        <f t="shared" si="27"/>
        <v>0</v>
      </c>
      <c r="AJ107" s="693">
        <f t="shared" si="28"/>
        <v>0</v>
      </c>
      <c r="AK107" s="417"/>
      <c r="AL107" s="69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3">
        <f t="shared" si="29"/>
        <v>0</v>
      </c>
      <c r="AN107" s="693">
        <f t="shared" si="30"/>
        <v>0</v>
      </c>
      <c r="AO107" s="693">
        <f t="shared" si="31"/>
        <v>0</v>
      </c>
      <c r="AP107" s="69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3">
        <f t="shared" si="32"/>
        <v>0</v>
      </c>
      <c r="AR107" s="693">
        <f t="shared" si="33"/>
        <v>0</v>
      </c>
      <c r="AS107" s="693">
        <f t="shared" si="37"/>
        <v>0</v>
      </c>
      <c r="AT107" s="693">
        <f t="shared" si="38"/>
        <v>0</v>
      </c>
      <c r="AU107" s="693">
        <f t="shared" si="34"/>
        <v>0</v>
      </c>
      <c r="AV107" s="693">
        <f t="shared" si="35"/>
        <v>0</v>
      </c>
      <c r="AW107" s="742">
        <f t="shared" si="36"/>
        <v>0</v>
      </c>
      <c r="AX107" s="707"/>
      <c r="AY107" s="707"/>
    </row>
    <row r="108" spans="3:51" s="46" customFormat="1" ht="30.75" hidden="1" customHeight="1" outlineLevel="1">
      <c r="C108" s="743">
        <v>91</v>
      </c>
      <c r="D108" s="708"/>
      <c r="E108" s="752"/>
      <c r="F108" s="753"/>
      <c r="G108" s="1967"/>
      <c r="H108" s="1968"/>
      <c r="I108" s="754"/>
      <c r="J108" s="755"/>
      <c r="K108" s="756"/>
      <c r="L108" s="757"/>
      <c r="M108" s="757"/>
      <c r="N108" s="757"/>
      <c r="O108" s="757"/>
      <c r="P108" s="757"/>
      <c r="Q108" s="757"/>
      <c r="R108" s="1074"/>
      <c r="S108" s="758"/>
      <c r="T108" s="759"/>
      <c r="U108" s="760"/>
      <c r="V108" s="738"/>
      <c r="W108" s="749"/>
      <c r="X108" s="750"/>
      <c r="Z108" s="691">
        <f t="shared" si="21"/>
        <v>0</v>
      </c>
      <c r="AA108" s="691">
        <f t="shared" si="22"/>
        <v>0</v>
      </c>
      <c r="AB108" s="691">
        <f t="shared" si="23"/>
        <v>0</v>
      </c>
      <c r="AC108" s="691">
        <f>IF(Z108=0,,VLOOKUP(Z108,リスト!DC:DD,2,0))</f>
        <v>0</v>
      </c>
      <c r="AD108" s="691">
        <f t="shared" si="24"/>
        <v>0</v>
      </c>
      <c r="AE108" s="692">
        <f>IF(AD108=0,,VLOOKUP(AD108,リスト!DK:DL,2,0))</f>
        <v>0</v>
      </c>
      <c r="AF108" s="691">
        <f>IF(Z108=0,,
IF(OR(リスト!$C$21="小麦",リスト!$C$21="二条大麦",リスト!$C$21="六条大麦",リスト!$C$21="はだか麦",リスト!$C$21="なたね"),IF(K108&lt;9,調査年-J108,調査年-J108-1),
IF(リスト!$C$21="さとうきび",IF(K108&gt;=4,調査年-J108,調査年-J108+1),
調査年-J108)))</f>
        <v>0</v>
      </c>
      <c r="AG108" s="693">
        <f t="shared" si="25"/>
        <v>0</v>
      </c>
      <c r="AH108" s="693">
        <f t="shared" si="26"/>
        <v>0</v>
      </c>
      <c r="AI108" s="693">
        <f t="shared" si="27"/>
        <v>0</v>
      </c>
      <c r="AJ108" s="693">
        <f t="shared" si="28"/>
        <v>0</v>
      </c>
      <c r="AK108" s="417"/>
      <c r="AL108" s="69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3">
        <f t="shared" si="29"/>
        <v>0</v>
      </c>
      <c r="AN108" s="693">
        <f t="shared" si="30"/>
        <v>0</v>
      </c>
      <c r="AO108" s="693">
        <f t="shared" si="31"/>
        <v>0</v>
      </c>
      <c r="AP108" s="69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3">
        <f t="shared" si="32"/>
        <v>0</v>
      </c>
      <c r="AR108" s="693">
        <f t="shared" si="33"/>
        <v>0</v>
      </c>
      <c r="AS108" s="693">
        <f t="shared" si="37"/>
        <v>0</v>
      </c>
      <c r="AT108" s="693">
        <f t="shared" si="38"/>
        <v>0</v>
      </c>
      <c r="AU108" s="693">
        <f t="shared" si="34"/>
        <v>0</v>
      </c>
      <c r="AV108" s="693">
        <f t="shared" si="35"/>
        <v>0</v>
      </c>
      <c r="AW108" s="742">
        <f t="shared" si="36"/>
        <v>0</v>
      </c>
      <c r="AX108" s="707"/>
      <c r="AY108" s="707"/>
    </row>
    <row r="109" spans="3:51" s="46" customFormat="1" ht="30.75" hidden="1" customHeight="1" outlineLevel="1">
      <c r="C109" s="743">
        <v>92</v>
      </c>
      <c r="D109" s="708"/>
      <c r="E109" s="744"/>
      <c r="F109" s="745"/>
      <c r="G109" s="1963"/>
      <c r="H109" s="1964"/>
      <c r="I109" s="700"/>
      <c r="J109" s="746"/>
      <c r="K109" s="701"/>
      <c r="L109" s="702"/>
      <c r="M109" s="702"/>
      <c r="N109" s="702"/>
      <c r="O109" s="702"/>
      <c r="P109" s="702"/>
      <c r="Q109" s="702"/>
      <c r="R109" s="1074"/>
      <c r="S109" s="703"/>
      <c r="T109" s="747"/>
      <c r="U109" s="748"/>
      <c r="V109" s="738"/>
      <c r="W109" s="749"/>
      <c r="X109" s="750"/>
      <c r="Z109" s="691">
        <f t="shared" si="21"/>
        <v>0</v>
      </c>
      <c r="AA109" s="691">
        <f t="shared" si="22"/>
        <v>0</v>
      </c>
      <c r="AB109" s="691">
        <f t="shared" si="23"/>
        <v>0</v>
      </c>
      <c r="AC109" s="691">
        <f>IF(Z109=0,,VLOOKUP(Z109,リスト!DC:DD,2,0))</f>
        <v>0</v>
      </c>
      <c r="AD109" s="691">
        <f t="shared" si="24"/>
        <v>0</v>
      </c>
      <c r="AE109" s="692">
        <f>IF(AD109=0,,VLOOKUP(AD109,リスト!DK:DL,2,0))</f>
        <v>0</v>
      </c>
      <c r="AF109" s="691">
        <f>IF(Z109=0,,
IF(OR(リスト!$C$21="小麦",リスト!$C$21="二条大麦",リスト!$C$21="六条大麦",リスト!$C$21="はだか麦",リスト!$C$21="なたね"),IF(K109&lt;9,調査年-J109,調査年-J109-1),
IF(リスト!$C$21="さとうきび",IF(K109&gt;=4,調査年-J109,調査年-J109+1),
調査年-J109)))</f>
        <v>0</v>
      </c>
      <c r="AG109" s="693">
        <f t="shared" si="25"/>
        <v>0</v>
      </c>
      <c r="AH109" s="693">
        <f t="shared" si="26"/>
        <v>0</v>
      </c>
      <c r="AI109" s="693">
        <f t="shared" si="27"/>
        <v>0</v>
      </c>
      <c r="AJ109" s="693">
        <f t="shared" si="28"/>
        <v>0</v>
      </c>
      <c r="AK109" s="417"/>
      <c r="AL109" s="69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3">
        <f t="shared" si="29"/>
        <v>0</v>
      </c>
      <c r="AN109" s="693">
        <f t="shared" si="30"/>
        <v>0</v>
      </c>
      <c r="AO109" s="693">
        <f t="shared" si="31"/>
        <v>0</v>
      </c>
      <c r="AP109" s="69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3">
        <f t="shared" si="32"/>
        <v>0</v>
      </c>
      <c r="AR109" s="693">
        <f t="shared" si="33"/>
        <v>0</v>
      </c>
      <c r="AS109" s="693">
        <f t="shared" si="37"/>
        <v>0</v>
      </c>
      <c r="AT109" s="693">
        <f t="shared" si="38"/>
        <v>0</v>
      </c>
      <c r="AU109" s="693">
        <f t="shared" si="34"/>
        <v>0</v>
      </c>
      <c r="AV109" s="693">
        <f t="shared" si="35"/>
        <v>0</v>
      </c>
      <c r="AW109" s="742">
        <f t="shared" si="36"/>
        <v>0</v>
      </c>
      <c r="AX109" s="707"/>
      <c r="AY109" s="707"/>
    </row>
    <row r="110" spans="3:51" s="46" customFormat="1" ht="30.75" hidden="1" customHeight="1" outlineLevel="1">
      <c r="C110" s="743">
        <v>93</v>
      </c>
      <c r="D110" s="708"/>
      <c r="E110" s="744"/>
      <c r="F110" s="745"/>
      <c r="G110" s="1963"/>
      <c r="H110" s="1964"/>
      <c r="I110" s="700"/>
      <c r="J110" s="746"/>
      <c r="K110" s="701"/>
      <c r="L110" s="702"/>
      <c r="M110" s="702"/>
      <c r="N110" s="702"/>
      <c r="O110" s="702"/>
      <c r="P110" s="702"/>
      <c r="Q110" s="702"/>
      <c r="R110" s="1074"/>
      <c r="S110" s="703"/>
      <c r="T110" s="747"/>
      <c r="U110" s="748"/>
      <c r="V110" s="738"/>
      <c r="W110" s="749"/>
      <c r="X110" s="750"/>
      <c r="Z110" s="691">
        <f t="shared" si="21"/>
        <v>0</v>
      </c>
      <c r="AA110" s="691">
        <f t="shared" si="22"/>
        <v>0</v>
      </c>
      <c r="AB110" s="691">
        <f t="shared" si="23"/>
        <v>0</v>
      </c>
      <c r="AC110" s="691">
        <f>IF(Z110=0,,VLOOKUP(Z110,リスト!DC:DD,2,0))</f>
        <v>0</v>
      </c>
      <c r="AD110" s="691">
        <f t="shared" si="24"/>
        <v>0</v>
      </c>
      <c r="AE110" s="692">
        <f>IF(AD110=0,,VLOOKUP(AD110,リスト!DK:DL,2,0))</f>
        <v>0</v>
      </c>
      <c r="AF110" s="691">
        <f>IF(Z110=0,,
IF(OR(リスト!$C$21="小麦",リスト!$C$21="二条大麦",リスト!$C$21="六条大麦",リスト!$C$21="はだか麦",リスト!$C$21="なたね"),IF(K110&lt;9,調査年-J110,調査年-J110-1),
IF(リスト!$C$21="さとうきび",IF(K110&gt;=4,調査年-J110,調査年-J110+1),
調査年-J110)))</f>
        <v>0</v>
      </c>
      <c r="AG110" s="693">
        <f t="shared" si="25"/>
        <v>0</v>
      </c>
      <c r="AH110" s="693">
        <f t="shared" si="26"/>
        <v>0</v>
      </c>
      <c r="AI110" s="693">
        <f t="shared" si="27"/>
        <v>0</v>
      </c>
      <c r="AJ110" s="693">
        <f t="shared" si="28"/>
        <v>0</v>
      </c>
      <c r="AK110" s="417"/>
      <c r="AL110" s="69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3">
        <f t="shared" si="29"/>
        <v>0</v>
      </c>
      <c r="AN110" s="693">
        <f t="shared" si="30"/>
        <v>0</v>
      </c>
      <c r="AO110" s="693">
        <f t="shared" si="31"/>
        <v>0</v>
      </c>
      <c r="AP110" s="69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3">
        <f t="shared" si="32"/>
        <v>0</v>
      </c>
      <c r="AR110" s="693">
        <f t="shared" si="33"/>
        <v>0</v>
      </c>
      <c r="AS110" s="693">
        <f t="shared" si="37"/>
        <v>0</v>
      </c>
      <c r="AT110" s="693">
        <f t="shared" si="38"/>
        <v>0</v>
      </c>
      <c r="AU110" s="693">
        <f t="shared" si="34"/>
        <v>0</v>
      </c>
      <c r="AV110" s="693">
        <f t="shared" si="35"/>
        <v>0</v>
      </c>
      <c r="AW110" s="742">
        <f t="shared" si="36"/>
        <v>0</v>
      </c>
      <c r="AX110" s="707"/>
      <c r="AY110" s="707"/>
    </row>
    <row r="111" spans="3:51" s="46" customFormat="1" ht="30.75" hidden="1" customHeight="1" outlineLevel="1">
      <c r="C111" s="743">
        <v>94</v>
      </c>
      <c r="D111" s="708"/>
      <c r="E111" s="744"/>
      <c r="F111" s="745"/>
      <c r="G111" s="1963"/>
      <c r="H111" s="1964"/>
      <c r="I111" s="700"/>
      <c r="J111" s="746"/>
      <c r="K111" s="701"/>
      <c r="L111" s="702"/>
      <c r="M111" s="702"/>
      <c r="N111" s="702"/>
      <c r="O111" s="702"/>
      <c r="P111" s="702"/>
      <c r="Q111" s="702"/>
      <c r="R111" s="1074"/>
      <c r="S111" s="703"/>
      <c r="T111" s="747"/>
      <c r="U111" s="748"/>
      <c r="V111" s="738"/>
      <c r="W111" s="749"/>
      <c r="X111" s="750"/>
      <c r="Z111" s="691">
        <f t="shared" si="21"/>
        <v>0</v>
      </c>
      <c r="AA111" s="691">
        <f t="shared" si="22"/>
        <v>0</v>
      </c>
      <c r="AB111" s="691">
        <f t="shared" si="23"/>
        <v>0</v>
      </c>
      <c r="AC111" s="691">
        <f>IF(Z111=0,,VLOOKUP(Z111,リスト!DC:DD,2,0))</f>
        <v>0</v>
      </c>
      <c r="AD111" s="691">
        <f t="shared" si="24"/>
        <v>0</v>
      </c>
      <c r="AE111" s="692">
        <f>IF(AD111=0,,VLOOKUP(AD111,リスト!DK:DL,2,0))</f>
        <v>0</v>
      </c>
      <c r="AF111" s="691">
        <f>IF(Z111=0,,
IF(OR(リスト!$C$21="小麦",リスト!$C$21="二条大麦",リスト!$C$21="六条大麦",リスト!$C$21="はだか麦",リスト!$C$21="なたね"),IF(K111&lt;9,調査年-J111,調査年-J111-1),
IF(リスト!$C$21="さとうきび",IF(K111&gt;=4,調査年-J111,調査年-J111+1),
調査年-J111)))</f>
        <v>0</v>
      </c>
      <c r="AG111" s="693">
        <f t="shared" si="25"/>
        <v>0</v>
      </c>
      <c r="AH111" s="693">
        <f t="shared" si="26"/>
        <v>0</v>
      </c>
      <c r="AI111" s="693">
        <f t="shared" si="27"/>
        <v>0</v>
      </c>
      <c r="AJ111" s="693">
        <f t="shared" si="28"/>
        <v>0</v>
      </c>
      <c r="AK111" s="417"/>
      <c r="AL111" s="69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3">
        <f t="shared" si="29"/>
        <v>0</v>
      </c>
      <c r="AN111" s="693">
        <f t="shared" si="30"/>
        <v>0</v>
      </c>
      <c r="AO111" s="693">
        <f t="shared" si="31"/>
        <v>0</v>
      </c>
      <c r="AP111" s="69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3">
        <f t="shared" si="32"/>
        <v>0</v>
      </c>
      <c r="AR111" s="693">
        <f t="shared" si="33"/>
        <v>0</v>
      </c>
      <c r="AS111" s="693">
        <f t="shared" si="37"/>
        <v>0</v>
      </c>
      <c r="AT111" s="693">
        <f t="shared" si="38"/>
        <v>0</v>
      </c>
      <c r="AU111" s="693">
        <f t="shared" si="34"/>
        <v>0</v>
      </c>
      <c r="AV111" s="693">
        <f t="shared" si="35"/>
        <v>0</v>
      </c>
      <c r="AW111" s="742">
        <f t="shared" si="36"/>
        <v>0</v>
      </c>
      <c r="AX111" s="707"/>
      <c r="AY111" s="707"/>
    </row>
    <row r="112" spans="3:51" s="46" customFormat="1" ht="30.75" hidden="1" customHeight="1" outlineLevel="1">
      <c r="C112" s="743">
        <v>95</v>
      </c>
      <c r="D112" s="708"/>
      <c r="E112" s="744"/>
      <c r="F112" s="745"/>
      <c r="G112" s="1963"/>
      <c r="H112" s="1964"/>
      <c r="I112" s="700"/>
      <c r="J112" s="746"/>
      <c r="K112" s="701"/>
      <c r="L112" s="702"/>
      <c r="M112" s="702"/>
      <c r="N112" s="702"/>
      <c r="O112" s="702"/>
      <c r="P112" s="702"/>
      <c r="Q112" s="702"/>
      <c r="R112" s="1074"/>
      <c r="S112" s="703"/>
      <c r="T112" s="747"/>
      <c r="U112" s="748"/>
      <c r="V112" s="738"/>
      <c r="W112" s="749"/>
      <c r="X112" s="750"/>
      <c r="Z112" s="691">
        <f t="shared" si="21"/>
        <v>0</v>
      </c>
      <c r="AA112" s="691">
        <f t="shared" si="22"/>
        <v>0</v>
      </c>
      <c r="AB112" s="691">
        <f t="shared" si="23"/>
        <v>0</v>
      </c>
      <c r="AC112" s="691">
        <f>IF(Z112=0,,VLOOKUP(Z112,リスト!DC:DD,2,0))</f>
        <v>0</v>
      </c>
      <c r="AD112" s="691">
        <f t="shared" si="24"/>
        <v>0</v>
      </c>
      <c r="AE112" s="692">
        <f>IF(AD112=0,,VLOOKUP(AD112,リスト!DK:DL,2,0))</f>
        <v>0</v>
      </c>
      <c r="AF112" s="691">
        <f>IF(Z112=0,,
IF(OR(リスト!$C$21="小麦",リスト!$C$21="二条大麦",リスト!$C$21="六条大麦",リスト!$C$21="はだか麦",リスト!$C$21="なたね"),IF(K112&lt;9,調査年-J112,調査年-J112-1),
IF(リスト!$C$21="さとうきび",IF(K112&gt;=4,調査年-J112,調査年-J112+1),
調査年-J112)))</f>
        <v>0</v>
      </c>
      <c r="AG112" s="693">
        <f t="shared" si="25"/>
        <v>0</v>
      </c>
      <c r="AH112" s="693">
        <f t="shared" si="26"/>
        <v>0</v>
      </c>
      <c r="AI112" s="693">
        <f t="shared" si="27"/>
        <v>0</v>
      </c>
      <c r="AJ112" s="693">
        <f t="shared" si="28"/>
        <v>0</v>
      </c>
      <c r="AK112" s="417"/>
      <c r="AL112" s="69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3">
        <f t="shared" si="29"/>
        <v>0</v>
      </c>
      <c r="AN112" s="693">
        <f t="shared" si="30"/>
        <v>0</v>
      </c>
      <c r="AO112" s="693">
        <f t="shared" si="31"/>
        <v>0</v>
      </c>
      <c r="AP112" s="69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3">
        <f t="shared" si="32"/>
        <v>0</v>
      </c>
      <c r="AR112" s="693">
        <f t="shared" si="33"/>
        <v>0</v>
      </c>
      <c r="AS112" s="693">
        <f t="shared" si="37"/>
        <v>0</v>
      </c>
      <c r="AT112" s="693">
        <f t="shared" si="38"/>
        <v>0</v>
      </c>
      <c r="AU112" s="693">
        <f t="shared" si="34"/>
        <v>0</v>
      </c>
      <c r="AV112" s="693">
        <f t="shared" si="35"/>
        <v>0</v>
      </c>
      <c r="AW112" s="742">
        <f t="shared" si="36"/>
        <v>0</v>
      </c>
      <c r="AX112" s="707"/>
      <c r="AY112" s="707"/>
    </row>
    <row r="113" spans="3:51" s="46" customFormat="1" ht="30.75" hidden="1" customHeight="1" outlineLevel="1">
      <c r="C113" s="743">
        <v>96</v>
      </c>
      <c r="D113" s="708"/>
      <c r="E113" s="744"/>
      <c r="F113" s="745"/>
      <c r="G113" s="1963"/>
      <c r="H113" s="1964"/>
      <c r="I113" s="700"/>
      <c r="J113" s="746"/>
      <c r="K113" s="701"/>
      <c r="L113" s="702"/>
      <c r="M113" s="702"/>
      <c r="N113" s="702"/>
      <c r="O113" s="702"/>
      <c r="P113" s="702"/>
      <c r="Q113" s="702"/>
      <c r="R113" s="1074"/>
      <c r="S113" s="703"/>
      <c r="T113" s="747"/>
      <c r="U113" s="748"/>
      <c r="V113" s="738"/>
      <c r="W113" s="749"/>
      <c r="X113" s="750"/>
      <c r="Z113" s="691">
        <f t="shared" si="21"/>
        <v>0</v>
      </c>
      <c r="AA113" s="691">
        <f t="shared" si="22"/>
        <v>0</v>
      </c>
      <c r="AB113" s="691">
        <f t="shared" si="23"/>
        <v>0</v>
      </c>
      <c r="AC113" s="691">
        <f>IF(Z113=0,,VLOOKUP(Z113,リスト!DC:DD,2,0))</f>
        <v>0</v>
      </c>
      <c r="AD113" s="691">
        <f t="shared" si="24"/>
        <v>0</v>
      </c>
      <c r="AE113" s="692">
        <f>IF(AD113=0,,VLOOKUP(AD113,リスト!DK:DL,2,0))</f>
        <v>0</v>
      </c>
      <c r="AF113" s="691">
        <f>IF(Z113=0,,
IF(OR(リスト!$C$21="小麦",リスト!$C$21="二条大麦",リスト!$C$21="六条大麦",リスト!$C$21="はだか麦",リスト!$C$21="なたね"),IF(K113&lt;9,調査年-J113,調査年-J113-1),
IF(リスト!$C$21="さとうきび",IF(K113&gt;=4,調査年-J113,調査年-J113+1),
調査年-J113)))</f>
        <v>0</v>
      </c>
      <c r="AG113" s="693">
        <f t="shared" si="25"/>
        <v>0</v>
      </c>
      <c r="AH113" s="693">
        <f t="shared" si="26"/>
        <v>0</v>
      </c>
      <c r="AI113" s="693">
        <f t="shared" si="27"/>
        <v>0</v>
      </c>
      <c r="AJ113" s="693">
        <f t="shared" si="28"/>
        <v>0</v>
      </c>
      <c r="AK113" s="417"/>
      <c r="AL113" s="69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3">
        <f t="shared" si="29"/>
        <v>0</v>
      </c>
      <c r="AN113" s="693">
        <f t="shared" si="30"/>
        <v>0</v>
      </c>
      <c r="AO113" s="693">
        <f t="shared" si="31"/>
        <v>0</v>
      </c>
      <c r="AP113" s="69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3">
        <f t="shared" si="32"/>
        <v>0</v>
      </c>
      <c r="AR113" s="693">
        <f t="shared" si="33"/>
        <v>0</v>
      </c>
      <c r="AS113" s="693">
        <f t="shared" si="37"/>
        <v>0</v>
      </c>
      <c r="AT113" s="693">
        <f t="shared" si="38"/>
        <v>0</v>
      </c>
      <c r="AU113" s="693">
        <f t="shared" si="34"/>
        <v>0</v>
      </c>
      <c r="AV113" s="693">
        <f t="shared" si="35"/>
        <v>0</v>
      </c>
      <c r="AW113" s="742">
        <f t="shared" si="36"/>
        <v>0</v>
      </c>
      <c r="AX113" s="707"/>
      <c r="AY113" s="707"/>
    </row>
    <row r="114" spans="3:51" s="46" customFormat="1" ht="30.75" hidden="1" customHeight="1" outlineLevel="1">
      <c r="C114" s="743">
        <v>97</v>
      </c>
      <c r="D114" s="708"/>
      <c r="E114" s="744"/>
      <c r="F114" s="745"/>
      <c r="G114" s="1963"/>
      <c r="H114" s="1964"/>
      <c r="I114" s="700"/>
      <c r="J114" s="746"/>
      <c r="K114" s="701"/>
      <c r="L114" s="702"/>
      <c r="M114" s="702"/>
      <c r="N114" s="702"/>
      <c r="O114" s="702"/>
      <c r="P114" s="702"/>
      <c r="Q114" s="702"/>
      <c r="R114" s="1074"/>
      <c r="S114" s="703"/>
      <c r="T114" s="747"/>
      <c r="U114" s="748"/>
      <c r="V114" s="738"/>
      <c r="W114" s="749"/>
      <c r="X114" s="750"/>
      <c r="Z114" s="691">
        <f t="shared" si="21"/>
        <v>0</v>
      </c>
      <c r="AA114" s="691">
        <f t="shared" si="22"/>
        <v>0</v>
      </c>
      <c r="AB114" s="691">
        <f t="shared" si="23"/>
        <v>0</v>
      </c>
      <c r="AC114" s="691">
        <f>IF(Z114=0,,VLOOKUP(Z114,リスト!DC:DD,2,0))</f>
        <v>0</v>
      </c>
      <c r="AD114" s="691">
        <f t="shared" si="24"/>
        <v>0</v>
      </c>
      <c r="AE114" s="692">
        <f>IF(AD114=0,,VLOOKUP(AD114,リスト!DK:DL,2,0))</f>
        <v>0</v>
      </c>
      <c r="AF114" s="691">
        <f>IF(Z114=0,,
IF(OR(リスト!$C$21="小麦",リスト!$C$21="二条大麦",リスト!$C$21="六条大麦",リスト!$C$21="はだか麦",リスト!$C$21="なたね"),IF(K114&lt;9,調査年-J114,調査年-J114-1),
IF(リスト!$C$21="さとうきび",IF(K114&gt;=4,調査年-J114,調査年-J114+1),
調査年-J114)))</f>
        <v>0</v>
      </c>
      <c r="AG114" s="693">
        <f t="shared" ref="AG114:AG117" si="39">IF(OR(Z114=0,AA114=1),,
IF(AND(AD114&gt;0,AF114&lt;AD114,AH114&lt;=ROUND((L114-1)*AE114,0)),ROUND(AH114,0),
IF(AND(AD114&gt;0,AF114&lt;AD114),ROUND((L114-1)*AE114,0),)))</f>
        <v>0</v>
      </c>
      <c r="AH114" s="693">
        <f t="shared" si="26"/>
        <v>0</v>
      </c>
      <c r="AI114" s="693">
        <f t="shared" si="27"/>
        <v>0</v>
      </c>
      <c r="AJ114" s="693">
        <f t="shared" si="28"/>
        <v>0</v>
      </c>
      <c r="AK114" s="417"/>
      <c r="AL114" s="69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3">
        <f t="shared" si="29"/>
        <v>0</v>
      </c>
      <c r="AN114" s="693">
        <f t="shared" si="30"/>
        <v>0</v>
      </c>
      <c r="AO114" s="693">
        <f t="shared" si="31"/>
        <v>0</v>
      </c>
      <c r="AP114" s="69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3">
        <f t="shared" si="32"/>
        <v>0</v>
      </c>
      <c r="AR114" s="693">
        <f t="shared" si="33"/>
        <v>0</v>
      </c>
      <c r="AS114" s="693">
        <f t="shared" si="37"/>
        <v>0</v>
      </c>
      <c r="AT114" s="693">
        <f t="shared" si="38"/>
        <v>0</v>
      </c>
      <c r="AU114" s="693">
        <f t="shared" si="34"/>
        <v>0</v>
      </c>
      <c r="AV114" s="693">
        <f t="shared" si="35"/>
        <v>0</v>
      </c>
      <c r="AW114" s="742">
        <f t="shared" si="36"/>
        <v>0</v>
      </c>
      <c r="AX114" s="707"/>
      <c r="AY114" s="707"/>
    </row>
    <row r="115" spans="3:51" s="46" customFormat="1" ht="30.75" hidden="1" customHeight="1" outlineLevel="1">
      <c r="C115" s="743">
        <v>98</v>
      </c>
      <c r="D115" s="708"/>
      <c r="E115" s="744"/>
      <c r="F115" s="745"/>
      <c r="G115" s="1963"/>
      <c r="H115" s="1964"/>
      <c r="I115" s="700"/>
      <c r="J115" s="746"/>
      <c r="K115" s="701"/>
      <c r="L115" s="702"/>
      <c r="M115" s="702"/>
      <c r="N115" s="702"/>
      <c r="O115" s="702"/>
      <c r="P115" s="702"/>
      <c r="Q115" s="702"/>
      <c r="R115" s="1074"/>
      <c r="S115" s="703"/>
      <c r="T115" s="747"/>
      <c r="U115" s="748"/>
      <c r="V115" s="738"/>
      <c r="W115" s="749"/>
      <c r="X115" s="750"/>
      <c r="Z115" s="691">
        <f t="shared" si="21"/>
        <v>0</v>
      </c>
      <c r="AA115" s="691">
        <f t="shared" si="22"/>
        <v>0</v>
      </c>
      <c r="AB115" s="691">
        <f t="shared" si="23"/>
        <v>0</v>
      </c>
      <c r="AC115" s="691">
        <f>IF(Z115=0,,VLOOKUP(Z115,リスト!DC:DD,2,0))</f>
        <v>0</v>
      </c>
      <c r="AD115" s="691">
        <f t="shared" si="24"/>
        <v>0</v>
      </c>
      <c r="AE115" s="692">
        <f>IF(AD115=0,,VLOOKUP(AD115,リスト!DK:DL,2,0))</f>
        <v>0</v>
      </c>
      <c r="AF115" s="691">
        <f>IF(Z115=0,,
IF(OR(リスト!$C$21="小麦",リスト!$C$21="二条大麦",リスト!$C$21="六条大麦",リスト!$C$21="はだか麦",リスト!$C$21="なたね"),IF(K115&lt;9,調査年-J115,調査年-J115-1),
IF(リスト!$C$21="さとうきび",IF(K115&gt;=4,調査年-J115,調査年-J115+1),
調査年-J115)))</f>
        <v>0</v>
      </c>
      <c r="AG115" s="693">
        <f t="shared" si="39"/>
        <v>0</v>
      </c>
      <c r="AH115" s="693">
        <f t="shared" si="26"/>
        <v>0</v>
      </c>
      <c r="AI115" s="693">
        <f t="shared" si="27"/>
        <v>0</v>
      </c>
      <c r="AJ115" s="693">
        <f t="shared" si="28"/>
        <v>0</v>
      </c>
      <c r="AK115" s="417"/>
      <c r="AL115" s="69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3">
        <f t="shared" si="29"/>
        <v>0</v>
      </c>
      <c r="AN115" s="693">
        <f t="shared" si="30"/>
        <v>0</v>
      </c>
      <c r="AO115" s="693">
        <f t="shared" si="31"/>
        <v>0</v>
      </c>
      <c r="AP115" s="69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3">
        <f t="shared" si="32"/>
        <v>0</v>
      </c>
      <c r="AR115" s="693">
        <f t="shared" si="33"/>
        <v>0</v>
      </c>
      <c r="AS115" s="693">
        <f t="shared" si="37"/>
        <v>0</v>
      </c>
      <c r="AT115" s="693">
        <f t="shared" si="38"/>
        <v>0</v>
      </c>
      <c r="AU115" s="693">
        <f t="shared" si="34"/>
        <v>0</v>
      </c>
      <c r="AV115" s="693">
        <f t="shared" si="35"/>
        <v>0</v>
      </c>
      <c r="AW115" s="742">
        <f t="shared" si="36"/>
        <v>0</v>
      </c>
      <c r="AX115" s="707"/>
      <c r="AY115" s="707"/>
    </row>
    <row r="116" spans="3:51" s="46" customFormat="1" ht="30.75" hidden="1" customHeight="1" outlineLevel="1">
      <c r="C116" s="743">
        <v>99</v>
      </c>
      <c r="D116" s="708"/>
      <c r="E116" s="744"/>
      <c r="F116" s="745"/>
      <c r="G116" s="1963"/>
      <c r="H116" s="1964"/>
      <c r="I116" s="700"/>
      <c r="J116" s="746"/>
      <c r="K116" s="701"/>
      <c r="L116" s="702"/>
      <c r="M116" s="702"/>
      <c r="N116" s="702"/>
      <c r="O116" s="702"/>
      <c r="P116" s="702"/>
      <c r="Q116" s="702"/>
      <c r="R116" s="1074"/>
      <c r="S116" s="703"/>
      <c r="T116" s="747"/>
      <c r="U116" s="748"/>
      <c r="V116" s="738"/>
      <c r="W116" s="749"/>
      <c r="X116" s="750"/>
      <c r="Z116" s="691">
        <f t="shared" si="21"/>
        <v>0</v>
      </c>
      <c r="AA116" s="691">
        <f t="shared" si="22"/>
        <v>0</v>
      </c>
      <c r="AB116" s="691">
        <f t="shared" si="23"/>
        <v>0</v>
      </c>
      <c r="AC116" s="691">
        <f>IF(Z116=0,,VLOOKUP(Z116,リスト!DC:DD,2,0))</f>
        <v>0</v>
      </c>
      <c r="AD116" s="691">
        <f t="shared" si="24"/>
        <v>0</v>
      </c>
      <c r="AE116" s="692">
        <f>IF(AD116=0,,VLOOKUP(AD116,リスト!DK:DL,2,0))</f>
        <v>0</v>
      </c>
      <c r="AF116" s="691">
        <f>IF(Z116=0,,
IF(OR(リスト!$C$21="小麦",リスト!$C$21="二条大麦",リスト!$C$21="六条大麦",リスト!$C$21="はだか麦",リスト!$C$21="なたね"),IF(K116&lt;9,調査年-J116,調査年-J116-1),
IF(リスト!$C$21="さとうきび",IF(K116&gt;=4,調査年-J116,調査年-J116+1),
調査年-J116)))</f>
        <v>0</v>
      </c>
      <c r="AG116" s="693">
        <f t="shared" si="39"/>
        <v>0</v>
      </c>
      <c r="AH116" s="693">
        <f t="shared" si="26"/>
        <v>0</v>
      </c>
      <c r="AI116" s="693">
        <f t="shared" si="27"/>
        <v>0</v>
      </c>
      <c r="AJ116" s="693">
        <f t="shared" si="28"/>
        <v>0</v>
      </c>
      <c r="AK116" s="417"/>
      <c r="AL116" s="69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3">
        <f t="shared" si="29"/>
        <v>0</v>
      </c>
      <c r="AN116" s="693">
        <f t="shared" si="30"/>
        <v>0</v>
      </c>
      <c r="AO116" s="693">
        <f t="shared" si="31"/>
        <v>0</v>
      </c>
      <c r="AP116" s="69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3">
        <f t="shared" si="32"/>
        <v>0</v>
      </c>
      <c r="AR116" s="693">
        <f t="shared" si="33"/>
        <v>0</v>
      </c>
      <c r="AS116" s="693">
        <f t="shared" si="37"/>
        <v>0</v>
      </c>
      <c r="AT116" s="693">
        <f t="shared" si="38"/>
        <v>0</v>
      </c>
      <c r="AU116" s="693">
        <f t="shared" si="34"/>
        <v>0</v>
      </c>
      <c r="AV116" s="693">
        <f t="shared" si="35"/>
        <v>0</v>
      </c>
      <c r="AW116" s="742">
        <f t="shared" si="36"/>
        <v>0</v>
      </c>
      <c r="AX116" s="707"/>
      <c r="AY116" s="707"/>
    </row>
    <row r="117" spans="3:51" s="46" customFormat="1" ht="30.75" hidden="1" customHeight="1" outlineLevel="1" thickBot="1">
      <c r="C117" s="761">
        <v>100</v>
      </c>
      <c r="D117" s="710"/>
      <c r="E117" s="762"/>
      <c r="F117" s="763"/>
      <c r="G117" s="1969"/>
      <c r="H117" s="1970"/>
      <c r="I117" s="714"/>
      <c r="J117" s="764"/>
      <c r="K117" s="715"/>
      <c r="L117" s="716"/>
      <c r="M117" s="716"/>
      <c r="N117" s="716"/>
      <c r="O117" s="716"/>
      <c r="P117" s="716"/>
      <c r="Q117" s="716"/>
      <c r="R117" s="1075"/>
      <c r="S117" s="717"/>
      <c r="T117" s="765"/>
      <c r="U117" s="766"/>
      <c r="V117" s="738"/>
      <c r="W117" s="767"/>
      <c r="X117" s="768"/>
      <c r="Z117" s="691">
        <f t="shared" si="21"/>
        <v>0</v>
      </c>
      <c r="AA117" s="691">
        <f t="shared" si="22"/>
        <v>0</v>
      </c>
      <c r="AB117" s="691">
        <f t="shared" si="23"/>
        <v>0</v>
      </c>
      <c r="AC117" s="691">
        <f>IF(Z117=0,,VLOOKUP(Z117,リスト!DC:DD,2,0))</f>
        <v>0</v>
      </c>
      <c r="AD117" s="691">
        <f t="shared" si="24"/>
        <v>0</v>
      </c>
      <c r="AE117" s="692">
        <f>IF(AD117=0,,VLOOKUP(AD117,リスト!DK:DL,2,0))</f>
        <v>0</v>
      </c>
      <c r="AF117" s="691">
        <f>IF(Z117=0,,
IF(OR(リスト!$C$21="小麦",リスト!$C$21="二条大麦",リスト!$C$21="六条大麦",リスト!$C$21="はだか麦",リスト!$C$21="なたね"),IF(K117&lt;9,調査年-J117,調査年-J117-1),
IF(リスト!$C$21="さとうきび",IF(K117&gt;=4,調査年-J117,調査年-J117+1),
調査年-J117)))</f>
        <v>0</v>
      </c>
      <c r="AG117" s="693">
        <f t="shared" si="39"/>
        <v>0</v>
      </c>
      <c r="AH117" s="693">
        <f t="shared" si="26"/>
        <v>0</v>
      </c>
      <c r="AI117" s="693">
        <f t="shared" si="27"/>
        <v>0</v>
      </c>
      <c r="AJ117" s="693">
        <f t="shared" si="28"/>
        <v>0</v>
      </c>
      <c r="AK117" s="417"/>
      <c r="AL117" s="69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3">
        <f t="shared" si="29"/>
        <v>0</v>
      </c>
      <c r="AN117" s="693">
        <f t="shared" si="30"/>
        <v>0</v>
      </c>
      <c r="AO117" s="693">
        <f t="shared" si="31"/>
        <v>0</v>
      </c>
      <c r="AP117" s="69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3">
        <f t="shared" si="32"/>
        <v>0</v>
      </c>
      <c r="AR117" s="693">
        <f t="shared" si="33"/>
        <v>0</v>
      </c>
      <c r="AS117" s="693">
        <f t="shared" si="37"/>
        <v>0</v>
      </c>
      <c r="AT117" s="693">
        <f t="shared" si="38"/>
        <v>0</v>
      </c>
      <c r="AU117" s="693">
        <f t="shared" si="34"/>
        <v>0</v>
      </c>
      <c r="AV117" s="693">
        <f t="shared" si="35"/>
        <v>0</v>
      </c>
      <c r="AW117" s="742">
        <f t="shared" si="36"/>
        <v>0</v>
      </c>
      <c r="AX117" s="707"/>
      <c r="AY117" s="707"/>
    </row>
    <row r="118" spans="3:51" ht="14.25" customHeight="1" thickTop="1">
      <c r="C118" s="404"/>
      <c r="D118" s="404"/>
      <c r="E118" s="405"/>
      <c r="F118" s="405"/>
      <c r="G118" s="405"/>
      <c r="H118" s="405"/>
      <c r="I118" s="405"/>
      <c r="J118" s="405"/>
      <c r="K118" s="405"/>
      <c r="L118" s="405"/>
      <c r="M118" s="405"/>
      <c r="N118" s="405"/>
      <c r="O118" s="405"/>
      <c r="P118" s="405"/>
      <c r="Q118" s="405"/>
      <c r="R118" s="405"/>
      <c r="S118" s="405"/>
      <c r="T118" s="405"/>
      <c r="U118" s="405"/>
      <c r="W118" s="720"/>
      <c r="X118" s="720"/>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9</xdr:col>
                <xdr:colOff>457200</xdr:colOff>
                <xdr:row>1</xdr:row>
                <xdr:rowOff>0</xdr:rowOff>
              </from>
              <to>
                <xdr:col>11</xdr:col>
                <xdr:colOff>152400</xdr:colOff>
                <xdr:row>2</xdr:row>
                <xdr:rowOff>28575</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9</xdr:col>
                <xdr:colOff>457200</xdr:colOff>
                <xdr:row>2</xdr:row>
                <xdr:rowOff>19050</xdr:rowOff>
              </from>
              <to>
                <xdr:col>11</xdr:col>
                <xdr:colOff>152400</xdr:colOff>
                <xdr:row>3</xdr:row>
                <xdr:rowOff>47625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285750</xdr:colOff>
                <xdr:row>1</xdr:row>
                <xdr:rowOff>0</xdr:rowOff>
              </from>
              <to>
                <xdr:col>11</xdr:col>
                <xdr:colOff>1552575</xdr:colOff>
                <xdr:row>3</xdr:row>
                <xdr:rowOff>57150</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7" customWidth="1" outlineLevel="1"/>
    <col min="52" max="52" width="2.625" style="2" outlineLevel="1"/>
    <col min="53" max="16384" width="2.625" style="2"/>
  </cols>
  <sheetData>
    <row r="1" spans="1:51" ht="14.25" customHeight="1">
      <c r="X1" s="2" t="s">
        <v>382</v>
      </c>
      <c r="AD1" s="46"/>
      <c r="AE1" s="46"/>
      <c r="AL1" s="46"/>
      <c r="AM1" s="46"/>
      <c r="AP1" s="46"/>
      <c r="AQ1" s="46"/>
      <c r="AR1" s="46"/>
      <c r="AY1" s="145"/>
    </row>
    <row r="2" spans="1:51" ht="14.25" customHeight="1">
      <c r="A2" s="107" t="s">
        <v>573</v>
      </c>
      <c r="X2" s="107" t="s">
        <v>573</v>
      </c>
    </row>
    <row r="3" spans="1:51" ht="14.25" customHeight="1">
      <c r="A3" s="107"/>
      <c r="B3" s="769"/>
      <c r="C3" s="626"/>
      <c r="D3" s="603"/>
      <c r="E3" s="603"/>
      <c r="F3" s="603"/>
      <c r="G3" s="603"/>
      <c r="H3" s="603"/>
      <c r="I3" s="603"/>
      <c r="J3" s="603"/>
      <c r="K3" s="603"/>
      <c r="L3" s="603"/>
    </row>
    <row r="4" spans="1:51" ht="14.25" customHeight="1">
      <c r="A4" s="770"/>
      <c r="B4" s="603"/>
      <c r="C4" s="626" t="s">
        <v>574</v>
      </c>
      <c r="D4" s="603"/>
      <c r="E4" s="603"/>
      <c r="F4" s="603"/>
      <c r="G4" s="603"/>
      <c r="H4" s="603"/>
      <c r="I4" s="603"/>
      <c r="J4" s="603"/>
      <c r="K4" s="603"/>
      <c r="L4" s="603"/>
    </row>
    <row r="5" spans="1:51" ht="14.25" customHeight="1">
      <c r="B5" s="603"/>
      <c r="C5" s="46" t="s">
        <v>575</v>
      </c>
      <c r="E5" s="603"/>
      <c r="F5" s="603"/>
      <c r="G5" s="603"/>
      <c r="H5" s="603"/>
      <c r="I5" s="603"/>
      <c r="J5" s="603"/>
      <c r="K5" s="603"/>
      <c r="L5" s="603"/>
    </row>
    <row r="6" spans="1:51" ht="14.25" customHeight="1">
      <c r="B6" s="603"/>
      <c r="D6" s="603"/>
      <c r="E6" s="603"/>
      <c r="F6" s="603"/>
      <c r="G6" s="603"/>
      <c r="H6" s="603"/>
      <c r="I6" s="603"/>
      <c r="J6" s="603"/>
      <c r="K6" s="603"/>
      <c r="L6" s="603"/>
      <c r="X6" s="39" t="s">
        <v>553</v>
      </c>
    </row>
    <row r="7" spans="1:51" ht="14.25" customHeight="1">
      <c r="A7" s="2" t="s">
        <v>576</v>
      </c>
      <c r="B7" s="603"/>
      <c r="C7" s="46"/>
      <c r="D7" s="603"/>
      <c r="E7" s="603"/>
      <c r="F7" s="603"/>
      <c r="G7" s="603"/>
      <c r="H7" s="603"/>
      <c r="I7" s="603"/>
      <c r="J7" s="603"/>
      <c r="K7" s="603"/>
      <c r="L7" s="603"/>
      <c r="X7" s="39" t="s">
        <v>554</v>
      </c>
      <c r="AY7" s="2"/>
    </row>
    <row r="8" spans="1:51" ht="14.25" customHeight="1">
      <c r="B8" s="603"/>
      <c r="C8" s="46"/>
      <c r="D8" s="603"/>
      <c r="E8" s="603"/>
      <c r="F8" s="603"/>
      <c r="G8" s="603"/>
      <c r="H8" s="603"/>
      <c r="I8" s="603"/>
      <c r="J8" s="603"/>
      <c r="K8" s="603"/>
      <c r="L8" s="603"/>
      <c r="X8" s="1887" t="s">
        <v>555</v>
      </c>
      <c r="Y8" s="1887" t="s">
        <v>577</v>
      </c>
      <c r="AA8" s="1399" t="s">
        <v>497</v>
      </c>
      <c r="AB8" s="1399"/>
      <c r="AC8" s="1399"/>
      <c r="AD8" s="1399"/>
      <c r="AE8" s="1399"/>
      <c r="AF8" s="1399"/>
      <c r="AG8" s="1399"/>
      <c r="AH8" s="1399"/>
      <c r="AI8" s="1393" t="s">
        <v>498</v>
      </c>
      <c r="AJ8" s="1394"/>
      <c r="AK8" s="1395"/>
      <c r="AL8" s="1890" t="s">
        <v>499</v>
      </c>
      <c r="AM8" s="1891"/>
      <c r="AN8" s="1894"/>
      <c r="AO8" s="1393" t="s">
        <v>501</v>
      </c>
      <c r="AP8" s="1394"/>
      <c r="AQ8" s="1394"/>
      <c r="AR8" s="1394"/>
      <c r="AS8" s="1394"/>
      <c r="AT8" s="1394"/>
      <c r="AU8" s="1394"/>
      <c r="AV8" s="1394"/>
      <c r="AW8" s="1394"/>
      <c r="AX8" s="1394"/>
      <c r="AY8" s="1395"/>
    </row>
    <row r="9" spans="1:51" ht="14.25" customHeight="1" thickBot="1">
      <c r="B9" s="603"/>
      <c r="C9" s="46"/>
      <c r="D9" s="603"/>
      <c r="E9" s="603"/>
      <c r="F9" s="603"/>
      <c r="G9" s="603"/>
      <c r="H9" s="603"/>
      <c r="I9" s="603"/>
      <c r="J9" s="603"/>
      <c r="K9" s="603"/>
      <c r="L9" s="603"/>
      <c r="X9" s="1888"/>
      <c r="Y9" s="1888"/>
      <c r="Z9" s="46"/>
      <c r="AA9" s="1400"/>
      <c r="AB9" s="1400"/>
      <c r="AC9" s="1400"/>
      <c r="AD9" s="1400"/>
      <c r="AE9" s="1400"/>
      <c r="AF9" s="1400"/>
      <c r="AG9" s="1400"/>
      <c r="AH9" s="1400"/>
      <c r="AI9" s="1396"/>
      <c r="AJ9" s="1397"/>
      <c r="AK9" s="1398"/>
      <c r="AL9" s="1892"/>
      <c r="AM9" s="1893"/>
      <c r="AN9" s="1895"/>
      <c r="AO9" s="1396"/>
      <c r="AP9" s="1397"/>
      <c r="AQ9" s="1397"/>
      <c r="AR9" s="1397"/>
      <c r="AS9" s="1397"/>
      <c r="AT9" s="1397"/>
      <c r="AU9" s="1397"/>
      <c r="AV9" s="1397"/>
      <c r="AW9" s="1397"/>
      <c r="AX9" s="1397"/>
      <c r="AY9" s="1398"/>
    </row>
    <row r="10" spans="1:51" s="46" customFormat="1" ht="14.25" customHeight="1">
      <c r="C10" s="1860" t="s">
        <v>502</v>
      </c>
      <c r="D10" s="1863" t="s">
        <v>503</v>
      </c>
      <c r="E10" s="1977" t="s">
        <v>578</v>
      </c>
      <c r="F10" s="1876" t="s">
        <v>579</v>
      </c>
      <c r="G10" s="1872" t="s">
        <v>506</v>
      </c>
      <c r="H10" s="1873"/>
      <c r="I10" s="1876" t="s">
        <v>507</v>
      </c>
      <c r="J10" s="1879" t="s">
        <v>508</v>
      </c>
      <c r="K10" s="1880"/>
      <c r="L10" s="1903" t="s">
        <v>509</v>
      </c>
      <c r="M10" s="1980" t="s">
        <v>510</v>
      </c>
      <c r="N10" s="1991" t="s">
        <v>511</v>
      </c>
      <c r="O10" s="1991" t="s">
        <v>512</v>
      </c>
      <c r="P10" s="1993" t="s">
        <v>440</v>
      </c>
      <c r="Q10" s="1982" t="s">
        <v>1322</v>
      </c>
      <c r="R10" s="1983"/>
      <c r="S10" s="1905" t="s">
        <v>562</v>
      </c>
      <c r="T10" s="1908" t="s">
        <v>514</v>
      </c>
      <c r="U10" s="1910" t="s">
        <v>515</v>
      </c>
      <c r="V10" s="1911"/>
      <c r="W10" s="707"/>
      <c r="X10" s="1888"/>
      <c r="Y10" s="1888"/>
      <c r="AA10" s="1897" t="s">
        <v>516</v>
      </c>
      <c r="AB10" s="1897" t="s">
        <v>517</v>
      </c>
      <c r="AC10" s="1897" t="s">
        <v>518</v>
      </c>
      <c r="AD10" s="1897" t="s">
        <v>519</v>
      </c>
      <c r="AE10" s="1897" t="s">
        <v>520</v>
      </c>
      <c r="AF10" s="1897" t="s">
        <v>521</v>
      </c>
      <c r="AG10" s="1897" t="s">
        <v>522</v>
      </c>
      <c r="AH10" s="1897" t="s">
        <v>523</v>
      </c>
      <c r="AI10" s="1897" t="s">
        <v>524</v>
      </c>
      <c r="AJ10" s="1900" t="s">
        <v>525</v>
      </c>
      <c r="AK10" s="662"/>
      <c r="AL10" s="1897" t="s">
        <v>526</v>
      </c>
      <c r="AM10" s="1897" t="s">
        <v>527</v>
      </c>
      <c r="AN10" s="1895"/>
      <c r="AO10" s="1916" t="s">
        <v>526</v>
      </c>
      <c r="AP10" s="1932" t="s">
        <v>530</v>
      </c>
      <c r="AQ10" s="663"/>
      <c r="AR10" s="1916" t="s">
        <v>531</v>
      </c>
      <c r="AS10" s="1916" t="s">
        <v>532</v>
      </c>
      <c r="AT10" s="1916" t="s">
        <v>512</v>
      </c>
      <c r="AU10" s="1916" t="s">
        <v>533</v>
      </c>
      <c r="AV10" s="1916" t="s">
        <v>580</v>
      </c>
      <c r="AW10" s="1916" t="s">
        <v>567</v>
      </c>
      <c r="AX10" s="1916" t="s">
        <v>1323</v>
      </c>
      <c r="AY10" s="1916" t="s">
        <v>568</v>
      </c>
    </row>
    <row r="11" spans="1:51" s="46" customFormat="1" ht="14.25" customHeight="1">
      <c r="C11" s="1861"/>
      <c r="D11" s="1975"/>
      <c r="E11" s="1978"/>
      <c r="F11" s="1979"/>
      <c r="G11" s="1874"/>
      <c r="H11" s="1875"/>
      <c r="I11" s="1877"/>
      <c r="J11" s="1881"/>
      <c r="K11" s="1882"/>
      <c r="L11" s="1904"/>
      <c r="M11" s="1981"/>
      <c r="N11" s="1992"/>
      <c r="O11" s="1992"/>
      <c r="P11" s="1994"/>
      <c r="Q11" s="1984"/>
      <c r="R11" s="1985"/>
      <c r="S11" s="1906"/>
      <c r="T11" s="1557"/>
      <c r="U11" s="1912"/>
      <c r="V11" s="1913"/>
      <c r="W11" s="707"/>
      <c r="X11" s="1888"/>
      <c r="Y11" s="1888"/>
      <c r="AA11" s="1898"/>
      <c r="AB11" s="1898"/>
      <c r="AC11" s="1898"/>
      <c r="AD11" s="1898"/>
      <c r="AE11" s="1898"/>
      <c r="AF11" s="1898"/>
      <c r="AG11" s="1898" t="s">
        <v>576</v>
      </c>
      <c r="AH11" s="1898"/>
      <c r="AI11" s="1898" t="s">
        <v>541</v>
      </c>
      <c r="AJ11" s="1898" t="s">
        <v>576</v>
      </c>
      <c r="AK11" s="1897" t="s">
        <v>544</v>
      </c>
      <c r="AL11" s="1898" t="s">
        <v>581</v>
      </c>
      <c r="AM11" s="1898" t="s">
        <v>576</v>
      </c>
      <c r="AN11" s="1895"/>
      <c r="AO11" s="1906"/>
      <c r="AP11" s="1906" t="s">
        <v>541</v>
      </c>
      <c r="AQ11" s="1916" t="s">
        <v>544</v>
      </c>
      <c r="AR11" s="1906" t="s">
        <v>541</v>
      </c>
      <c r="AS11" s="1906"/>
      <c r="AT11" s="1906"/>
      <c r="AU11" s="1906"/>
      <c r="AV11" s="1906"/>
      <c r="AW11" s="1906"/>
      <c r="AX11" s="1906"/>
      <c r="AY11" s="1906"/>
    </row>
    <row r="12" spans="1:51" s="46" customFormat="1" ht="14.25" customHeight="1">
      <c r="C12" s="1861"/>
      <c r="D12" s="1975"/>
      <c r="E12" s="1978"/>
      <c r="F12" s="1979"/>
      <c r="G12" s="1918" t="s">
        <v>569</v>
      </c>
      <c r="H12" s="1918" t="s">
        <v>535</v>
      </c>
      <c r="I12" s="1877"/>
      <c r="J12" s="1920" t="s">
        <v>536</v>
      </c>
      <c r="K12" s="1923" t="s">
        <v>537</v>
      </c>
      <c r="L12" s="721" t="s">
        <v>538</v>
      </c>
      <c r="M12" s="771" t="s">
        <v>538</v>
      </c>
      <c r="N12" s="723" t="s">
        <v>538</v>
      </c>
      <c r="O12" s="772" t="s">
        <v>538</v>
      </c>
      <c r="P12" s="773" t="s">
        <v>538</v>
      </c>
      <c r="Q12" s="1986"/>
      <c r="R12" s="1987"/>
      <c r="S12" s="1906"/>
      <c r="T12" s="1557"/>
      <c r="U12" s="1988" t="s">
        <v>539</v>
      </c>
      <c r="V12" s="1929" t="s">
        <v>570</v>
      </c>
      <c r="W12" s="707"/>
      <c r="X12" s="1888"/>
      <c r="Y12" s="1888"/>
      <c r="AA12" s="1898"/>
      <c r="AB12" s="1898"/>
      <c r="AC12" s="1898"/>
      <c r="AD12" s="1898"/>
      <c r="AE12" s="1898"/>
      <c r="AF12" s="1898"/>
      <c r="AG12" s="1898"/>
      <c r="AH12" s="1898"/>
      <c r="AI12" s="1898"/>
      <c r="AJ12" s="1898"/>
      <c r="AK12" s="1898"/>
      <c r="AL12" s="1898"/>
      <c r="AM12" s="1898"/>
      <c r="AN12" s="1895"/>
      <c r="AO12" s="1906"/>
      <c r="AP12" s="1906"/>
      <c r="AQ12" s="1906"/>
      <c r="AR12" s="1906"/>
      <c r="AS12" s="1906"/>
      <c r="AT12" s="1906"/>
      <c r="AU12" s="1906"/>
      <c r="AV12" s="1906"/>
      <c r="AW12" s="1906"/>
      <c r="AX12" s="1906"/>
      <c r="AY12" s="1906"/>
    </row>
    <row r="13" spans="1:51" s="46" customFormat="1" ht="14.25" customHeight="1">
      <c r="C13" s="1861"/>
      <c r="D13" s="1975"/>
      <c r="E13" s="1978"/>
      <c r="F13" s="1979"/>
      <c r="G13" s="1919"/>
      <c r="H13" s="1919"/>
      <c r="I13" s="1877"/>
      <c r="J13" s="1921"/>
      <c r="K13" s="1924"/>
      <c r="L13" s="724"/>
      <c r="M13" s="774"/>
      <c r="N13" s="668"/>
      <c r="O13" s="775"/>
      <c r="P13" s="725"/>
      <c r="Q13" s="1971" t="s">
        <v>571</v>
      </c>
      <c r="R13" s="1971" t="s">
        <v>453</v>
      </c>
      <c r="S13" s="1906"/>
      <c r="T13" s="1557"/>
      <c r="U13" s="1877"/>
      <c r="V13" s="1930"/>
      <c r="W13" s="707"/>
      <c r="X13" s="1888"/>
      <c r="Y13" s="1888"/>
      <c r="AA13" s="1898"/>
      <c r="AB13" s="1898"/>
      <c r="AC13" s="1898"/>
      <c r="AD13" s="1898"/>
      <c r="AE13" s="1898"/>
      <c r="AF13" s="1898"/>
      <c r="AG13" s="1898"/>
      <c r="AH13" s="1898"/>
      <c r="AI13" s="1898"/>
      <c r="AJ13" s="1898"/>
      <c r="AK13" s="1898"/>
      <c r="AL13" s="1898"/>
      <c r="AM13" s="1898"/>
      <c r="AN13" s="1896"/>
      <c r="AO13" s="1917"/>
      <c r="AP13" s="1917"/>
      <c r="AQ13" s="1917"/>
      <c r="AR13" s="1917"/>
      <c r="AS13" s="1917"/>
      <c r="AT13" s="1917"/>
      <c r="AU13" s="1917"/>
      <c r="AV13" s="1917"/>
      <c r="AW13" s="1917"/>
      <c r="AX13" s="1917"/>
      <c r="AY13" s="1917"/>
    </row>
    <row r="14" spans="1:51" s="46" customFormat="1" ht="30" customHeight="1">
      <c r="C14" s="1861"/>
      <c r="D14" s="1975"/>
      <c r="E14" s="1978"/>
      <c r="F14" s="1979"/>
      <c r="G14" s="1919"/>
      <c r="H14" s="1919"/>
      <c r="I14" s="1877"/>
      <c r="J14" s="1921"/>
      <c r="K14" s="1924"/>
      <c r="L14" s="724"/>
      <c r="M14" s="774"/>
      <c r="N14" s="668"/>
      <c r="O14" s="775"/>
      <c r="P14" s="725"/>
      <c r="Q14" s="1972"/>
      <c r="R14" s="1972"/>
      <c r="S14" s="1906"/>
      <c r="T14" s="1557"/>
      <c r="U14" s="1877"/>
      <c r="V14" s="727"/>
      <c r="W14" s="707"/>
      <c r="X14" s="1888"/>
      <c r="Y14" s="1888"/>
      <c r="AA14" s="1899"/>
      <c r="AB14" s="1899"/>
      <c r="AC14" s="1899"/>
      <c r="AD14" s="1899"/>
      <c r="AE14" s="1899"/>
      <c r="AF14" s="1899"/>
      <c r="AG14" s="1899"/>
      <c r="AH14" s="1899"/>
      <c r="AI14" s="1899"/>
      <c r="AJ14" s="1899"/>
      <c r="AK14" s="1899"/>
      <c r="AL14" s="1899"/>
      <c r="AM14" s="1899"/>
      <c r="AN14" s="612" t="s">
        <v>306</v>
      </c>
      <c r="AO14" s="233">
        <f t="shared" ref="AO14:AT14" si="0">SUM(AO15:AO16)</f>
        <v>0</v>
      </c>
      <c r="AP14" s="233">
        <f t="shared" si="0"/>
        <v>0</v>
      </c>
      <c r="AQ14" s="233">
        <f t="shared" si="0"/>
        <v>0</v>
      </c>
      <c r="AR14" s="233">
        <f>ROUND(SUM(AR15:AR16),)</f>
        <v>0</v>
      </c>
      <c r="AS14" s="233">
        <f t="shared" si="0"/>
        <v>0</v>
      </c>
      <c r="AT14" s="233">
        <f t="shared" si="0"/>
        <v>0</v>
      </c>
      <c r="AU14" s="233">
        <f>SUM(AS14:AT14)</f>
        <v>0</v>
      </c>
      <c r="AV14" s="408">
        <f>SUM(AV17:AV116)</f>
        <v>0</v>
      </c>
      <c r="AW14" s="408">
        <f>SUM(AW17:AW116)</f>
        <v>0</v>
      </c>
      <c r="AX14" s="408">
        <f t="shared" ref="AX14" si="1">SUM(AX17:AX116)</f>
        <v>0</v>
      </c>
      <c r="AY14" s="417"/>
    </row>
    <row r="15" spans="1:51" s="46" customFormat="1" ht="30" customHeight="1">
      <c r="C15" s="1861"/>
      <c r="D15" s="1975"/>
      <c r="E15" s="1978"/>
      <c r="F15" s="1979"/>
      <c r="G15" s="1919"/>
      <c r="H15" s="1919"/>
      <c r="I15" s="1877"/>
      <c r="J15" s="1922"/>
      <c r="K15" s="1924"/>
      <c r="L15" s="724"/>
      <c r="M15" s="774"/>
      <c r="N15" s="668"/>
      <c r="O15" s="775"/>
      <c r="P15" s="725"/>
      <c r="Q15" s="1973" t="s">
        <v>538</v>
      </c>
      <c r="R15" s="1973" t="s">
        <v>538</v>
      </c>
      <c r="S15" s="1906"/>
      <c r="T15" s="1557"/>
      <c r="U15" s="1989"/>
      <c r="V15" s="727"/>
      <c r="W15" s="707"/>
      <c r="X15" s="1888"/>
      <c r="Y15" s="1888"/>
      <c r="AA15" s="776"/>
      <c r="AB15" s="776"/>
      <c r="AC15" s="776"/>
      <c r="AD15" s="776"/>
      <c r="AE15" s="776"/>
      <c r="AF15" s="776"/>
      <c r="AG15" s="776"/>
      <c r="AH15" s="776"/>
      <c r="AI15" s="776"/>
      <c r="AJ15" s="776"/>
      <c r="AK15" s="776"/>
      <c r="AL15" s="776"/>
      <c r="AM15" s="776"/>
      <c r="AN15" s="777" t="s">
        <v>582</v>
      </c>
      <c r="AO15" s="408">
        <f t="shared" ref="AO15:AR15" si="2">SUM(SUMIFS(AO17:AO116,$E$17:$E$116,"&lt;&gt;",$E$17:$E$116,"&lt;&gt;[57]パソコン",$E$17:$E$116,"&lt;&gt;[58]その他の生産管理機器"))</f>
        <v>0</v>
      </c>
      <c r="AP15" s="408">
        <f t="shared" si="2"/>
        <v>0</v>
      </c>
      <c r="AQ15" s="408">
        <f t="shared" si="2"/>
        <v>0</v>
      </c>
      <c r="AR15" s="408">
        <f t="shared" si="2"/>
        <v>0</v>
      </c>
      <c r="AS15" s="408">
        <f>SUM(SUMIFS(AS17:AS116,$E$17:$E$116,"&lt;&gt;",$E$17:$E$116,"&lt;&gt;[57]パソコン",$E$17:$E$116,"&lt;&gt;[58]その他の生産管理機器"),【10】農具の購入費等!CC14)</f>
        <v>0</v>
      </c>
      <c r="AT15" s="408">
        <f>SUM(SUMIFS(AT17:AT116,$E$17:$E$116,"&lt;&gt;",$E$17:$E$116,"&lt;&gt;[57]パソコン",$E$17:$E$116,"&lt;&gt;[58]その他の生産管理機器"))</f>
        <v>0</v>
      </c>
      <c r="AU15" s="233">
        <f>ROUND(SUM(AS15:AT15),)</f>
        <v>0</v>
      </c>
      <c r="AV15" s="417"/>
      <c r="AW15" s="417"/>
      <c r="AX15" s="417"/>
      <c r="AY15" s="417"/>
    </row>
    <row r="16" spans="1:51" s="46" customFormat="1" ht="30" customHeight="1" thickBot="1">
      <c r="C16" s="1862"/>
      <c r="D16" s="1976"/>
      <c r="E16" s="1978"/>
      <c r="F16" s="1979"/>
      <c r="G16" s="1919"/>
      <c r="H16" s="1919"/>
      <c r="I16" s="1878"/>
      <c r="J16" s="1922"/>
      <c r="K16" s="1924"/>
      <c r="L16" s="728"/>
      <c r="M16" s="774"/>
      <c r="N16" s="668"/>
      <c r="O16" s="778"/>
      <c r="P16" s="725"/>
      <c r="Q16" s="1974"/>
      <c r="R16" s="1974"/>
      <c r="S16" s="1960"/>
      <c r="T16" s="1909"/>
      <c r="U16" s="1990"/>
      <c r="V16" s="730"/>
      <c r="W16" s="707"/>
      <c r="X16" s="1889"/>
      <c r="Y16" s="1889"/>
      <c r="AA16" s="673"/>
      <c r="AB16" s="673"/>
      <c r="AC16" s="673"/>
      <c r="AD16" s="673"/>
      <c r="AE16" s="673"/>
      <c r="AF16" s="673"/>
      <c r="AG16" s="673"/>
      <c r="AH16" s="673"/>
      <c r="AI16" s="673"/>
      <c r="AJ16" s="673"/>
      <c r="AK16" s="673"/>
      <c r="AL16" s="673"/>
      <c r="AM16" s="673"/>
      <c r="AN16" s="779" t="s">
        <v>583</v>
      </c>
      <c r="AO16" s="780">
        <f>SUM(SUMIFS(AO17:AO116,$E$17:$E$116,{"[57]パソコン","[58]その他の生産管理機器"}))</f>
        <v>0</v>
      </c>
      <c r="AP16" s="780">
        <f>SUM(SUMIFS(AP17:AP116,$E$17:$E$116,{"[57]パソコン","[58]その他の生産管理機器"}))</f>
        <v>0</v>
      </c>
      <c r="AQ16" s="780">
        <f>SUM(SUMIFS(AQ17:AQ116,$E$17:$E$116,{"[57]パソコン","[58]その他の生産管理機器"}))</f>
        <v>0</v>
      </c>
      <c r="AR16" s="780">
        <f>SUM(SUMIFS(AR17:AR116,$E$17:$E$116,{"[57]パソコン","[58]その他の生産管理機器"}))</f>
        <v>0</v>
      </c>
      <c r="AS16" s="780">
        <f>SUM(SUMIFS(AS17:AS116,$E$17:$E$116,{"[57]パソコン","[58]その他の生産管理機器"}),【10】農具の購入費等!CC15)</f>
        <v>0</v>
      </c>
      <c r="AT16" s="780">
        <f>SUM(SUMIFS(AT17:AT116,$E$17:$E$116,{"[57]パソコン","[58]その他の生産管理機器"}))</f>
        <v>0</v>
      </c>
      <c r="AU16" s="781">
        <f>ROUND(SUM(AS16:AT16),)</f>
        <v>0</v>
      </c>
      <c r="AV16" s="782"/>
      <c r="AW16" s="782"/>
      <c r="AX16" s="782"/>
      <c r="AY16" s="783"/>
    </row>
    <row r="17" spans="3:55" s="46" customFormat="1" ht="30.75" customHeight="1" thickTop="1">
      <c r="C17" s="784">
        <v>1</v>
      </c>
      <c r="D17" s="678"/>
      <c r="E17" s="785"/>
      <c r="F17" s="735"/>
      <c r="G17" s="1961"/>
      <c r="H17" s="1962"/>
      <c r="I17" s="682"/>
      <c r="J17" s="682"/>
      <c r="K17" s="683"/>
      <c r="L17" s="686"/>
      <c r="M17" s="686"/>
      <c r="N17" s="686"/>
      <c r="O17" s="686"/>
      <c r="P17" s="686"/>
      <c r="Q17" s="686"/>
      <c r="R17" s="686"/>
      <c r="S17" s="1076"/>
      <c r="T17" s="687"/>
      <c r="U17" s="736"/>
      <c r="V17" s="737"/>
      <c r="W17" s="738"/>
      <c r="X17" s="739"/>
      <c r="Y17" s="740"/>
      <c r="AA17" s="786">
        <f t="shared" ref="AA17:AA80" si="3">IF(AND(E17&gt;0,F17&gt;0),"["&amp;RIGHT(LEFT(E17,3),2)&amp;RIGHT(LEFT(F17,2),1)&amp;"]",)</f>
        <v>0</v>
      </c>
      <c r="AB17" s="786">
        <f>IF(AA17=0,,IF(L17+M17&lt;100000,1,0))</f>
        <v>0</v>
      </c>
      <c r="AC17" s="786">
        <f>IF(AA17=0,,IF(AND(AB17=0,L17+M17&lt;200000),1,))</f>
        <v>0</v>
      </c>
      <c r="AD17" s="786">
        <f>IF(AA17=0,,VLOOKUP(AA17,リスト!DH:DI,2,0))</f>
        <v>0</v>
      </c>
      <c r="AE17" s="786">
        <f t="shared" ref="AE17:AE80" si="4">IF(AC17=1,3,IF(G17="[2]中古",MIN(AD17,I17),AD17))</f>
        <v>0</v>
      </c>
      <c r="AF17" s="787">
        <f>IF(AE17=0,,VLOOKUP(AE17,リスト!DK:DL,2,0))</f>
        <v>0</v>
      </c>
      <c r="AG17" s="786">
        <f>IF(AA17=0,,
IF(OR(リスト!$C$21="小麦",リスト!$C$21="二条大麦",リスト!$C$21="六条大麦",リスト!$C$21="はだか麦",リスト!$C$21="なたね"),IF(K17&lt;9,調査年-J17,調査年-J17-1),
IF(リスト!$C$21="さとうきび",IF(K17&gt;=4,調査年-J17,調査年-J17+1),
調査年-J17)))</f>
        <v>0</v>
      </c>
      <c r="AH17" s="788">
        <f t="shared" ref="AH17:AH48" si="5">IF(OR(AA17=0,AB17=1),,
IF(AND(AE17&gt;0,AG17&lt;AE17,AI17&lt;=ROUND((L17-1)*AF17,0)),ROUND(AI17,0),
IF(AND(AE17&gt;0,AG17&lt;AE17),ROUND((L17-1)*AF17,0),)))</f>
        <v>0</v>
      </c>
      <c r="AI17" s="788">
        <f t="shared" ref="AI17:AI80" si="6">IF(OR(AA17=0,AB17=1),,
IF(AND(AE17&gt;0,AG17&lt;AE17),L17-ROUND((L17-1)*AF17*AG17,0),1
))</f>
        <v>0</v>
      </c>
      <c r="AJ17" s="788">
        <f t="shared" ref="AJ17:AJ80" si="7">IF(OR(AA17=0,AB17=1),,
IF(U17=0,AH17,
IF(U17="[2]廃棄等",SUM(AI17,V17),
IF(U17="[1]売却",AI17-V17,))))</f>
        <v>0</v>
      </c>
      <c r="AK17" s="788">
        <f t="shared" ref="AK17:AK80" si="8">IF(AND(AJ17=0,AH17=0),,
IF(OR(U17="[1]売却",U17="[2]廃棄等"),SUM(AJ17)-SUM(AH17),))</f>
        <v>0</v>
      </c>
      <c r="AL17" s="788">
        <f t="shared" ref="AL17:AL80" si="9">IF(OR(AB17=1,M17=0),,
IF(AND(AE17&gt;0,M17&gt;0,AG17&lt;AE17),M17-ROUND(M17*AF17*AG17,0),))</f>
        <v>0</v>
      </c>
      <c r="AM17" s="788">
        <f>IF(OR(AA17=0,AB17=1),IF(AND(AB17=1,AG17=0),M17,),
IF(AND(AE17&gt;0,AG17&lt;AE17,SUM(AL17)&gt;0,AL17&lt;=ROUND(M17*AF17,0)),AL17,
IF(AND(AE17&gt;0,AG17&lt;AE17,SUM(M17)&gt;0),ROUND(M17*AF17,0),)))</f>
        <v>0</v>
      </c>
      <c r="AN17" s="741"/>
      <c r="AO17" s="78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9">
        <f t="shared" ref="AP17:AP80" si="10">IF(S17=0,,IF(AJ17=0,,ROUND(AJ17*S17%,0)))</f>
        <v>0</v>
      </c>
      <c r="AQ17" s="789">
        <f t="shared" ref="AQ17:AQ80" si="11">IF(S17=0,,IF(AK17=0,,ROUND(AK17*S17%,0)))</f>
        <v>0</v>
      </c>
      <c r="AR17" s="789">
        <f t="shared" ref="AR17:AR80" si="12">IF(S17=0,,IF(AI17=0,,ROUND(AI17*S17%,0)))</f>
        <v>0</v>
      </c>
      <c r="AS17" s="78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9">
        <f t="shared" ref="AT17:AT80" si="13">IF(O17&gt;0,ROUND(O17*$S17%,),)</f>
        <v>0</v>
      </c>
      <c r="AU17" s="789">
        <f t="shared" ref="AU17:AU80" si="14">IF(OR(AS17&gt;0,AT17&gt;0),SUM(AS17:AT17),)</f>
        <v>0</v>
      </c>
      <c r="AV17" s="788">
        <f t="shared" ref="AV17:AX80" si="15">IF(P17&gt;0,ROUND(P17*$S17%,),)</f>
        <v>0</v>
      </c>
      <c r="AW17" s="788">
        <f>IF(Q17&gt;0,ROUND(Q17*$S17%,),)</f>
        <v>0</v>
      </c>
      <c r="AX17" s="788">
        <f>IF(R17&gt;0,ROUND(R17*$S17%,),)</f>
        <v>0</v>
      </c>
      <c r="AY17" s="742">
        <f t="shared" ref="AY17:AY80" si="16">IF(Y17="○",,IF(AND(X17&gt;0,S17&gt;0),ROUND(1/X17,1),IF(S17&gt;0,ROUND(1,1),)))</f>
        <v>0</v>
      </c>
      <c r="AZ17" s="707"/>
      <c r="BA17" s="707"/>
      <c r="BB17" s="707"/>
      <c r="BC17" s="707"/>
    </row>
    <row r="18" spans="3:55" s="46" customFormat="1" ht="30.75" customHeight="1">
      <c r="C18" s="761">
        <v>2</v>
      </c>
      <c r="D18" s="696"/>
      <c r="E18" s="790"/>
      <c r="F18" s="791"/>
      <c r="G18" s="1963"/>
      <c r="H18" s="1964"/>
      <c r="I18" s="700"/>
      <c r="J18" s="746"/>
      <c r="K18" s="701"/>
      <c r="L18" s="702"/>
      <c r="M18" s="702"/>
      <c r="N18" s="702"/>
      <c r="O18" s="702"/>
      <c r="P18" s="702"/>
      <c r="Q18" s="876"/>
      <c r="R18" s="1039"/>
      <c r="S18" s="1074"/>
      <c r="T18" s="703"/>
      <c r="U18" s="747"/>
      <c r="V18" s="748"/>
      <c r="W18" s="738"/>
      <c r="X18" s="749"/>
      <c r="Y18" s="750"/>
      <c r="Z18" s="658"/>
      <c r="AA18" s="705">
        <f t="shared" si="3"/>
        <v>0</v>
      </c>
      <c r="AB18" s="705">
        <f>IF(AA18=0,,IF(L18+M18&lt;100000,1,0))</f>
        <v>0</v>
      </c>
      <c r="AC18" s="705">
        <f>IF(AA18=0,,IF(AND(AB18=0,L18+M18&lt;200000),1,))</f>
        <v>0</v>
      </c>
      <c r="AD18" s="705">
        <f>IF(AA18=0,,VLOOKUP(AA18,リスト!DH:DI,2,0))</f>
        <v>0</v>
      </c>
      <c r="AE18" s="705">
        <f t="shared" si="4"/>
        <v>0</v>
      </c>
      <c r="AF18" s="706">
        <f>IF(AE18=0,,VLOOKUP(AE18,リスト!DK:DL,2,0))</f>
        <v>0</v>
      </c>
      <c r="AG18" s="705">
        <f>IF(AA18=0,,
IF(OR(リスト!$C$21="小麦",リスト!$C$21="二条大麦",リスト!$C$21="六条大麦",リスト!$C$21="はだか麦",リスト!$C$21="なたね"),IF(K18&lt;9,調査年-J18,調査年-J18-1),
IF(リスト!$C$21="さとうきび",IF(K18&gt;=4,調査年-J18,調査年-J18+1),
調査年-J18)))</f>
        <v>0</v>
      </c>
      <c r="AH18" s="408">
        <f t="shared" si="5"/>
        <v>0</v>
      </c>
      <c r="AI18" s="408">
        <f t="shared" si="6"/>
        <v>0</v>
      </c>
      <c r="AJ18" s="408">
        <f t="shared" si="7"/>
        <v>0</v>
      </c>
      <c r="AK18" s="408">
        <f t="shared" si="8"/>
        <v>0</v>
      </c>
      <c r="AL18" s="408">
        <f t="shared" si="9"/>
        <v>0</v>
      </c>
      <c r="AM18" s="408">
        <f t="shared" ref="AM18:AM81" si="17">IF(OR(AA18=0,AB18=1),IF(AND(AB18=1,AG18=0),M18,),
IF(AND(AE18&gt;0,AG18&lt;AE18,SUM(AL18)&gt;0,AL18&lt;=ROUND(M18*AF18,0)),AL18,
IF(AND(AE18&gt;0,AG18&lt;AE18,SUM(M18)&gt;0),ROUND(M18*AF18,0),)))</f>
        <v>0</v>
      </c>
      <c r="AN18" s="417"/>
      <c r="AO18" s="408">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408">
        <f t="shared" si="10"/>
        <v>0</v>
      </c>
      <c r="AQ18" s="408">
        <f t="shared" si="11"/>
        <v>0</v>
      </c>
      <c r="AR18" s="408">
        <f t="shared" si="12"/>
        <v>0</v>
      </c>
      <c r="AS18" s="408">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408">
        <f t="shared" si="13"/>
        <v>0</v>
      </c>
      <c r="AU18" s="408">
        <f t="shared" si="14"/>
        <v>0</v>
      </c>
      <c r="AV18" s="408">
        <f t="shared" si="15"/>
        <v>0</v>
      </c>
      <c r="AW18" s="408">
        <f>IF(Q18&gt;0,ROUND(Q18*$S18%,),)</f>
        <v>0</v>
      </c>
      <c r="AX18" s="408">
        <f>IF(R18&gt;0,ROUND(R18*$S18%,),)</f>
        <v>0</v>
      </c>
      <c r="AY18" s="742">
        <f t="shared" si="16"/>
        <v>0</v>
      </c>
      <c r="AZ18" s="707"/>
      <c r="BA18" s="707"/>
      <c r="BB18" s="707"/>
      <c r="BC18" s="707"/>
    </row>
    <row r="19" spans="3:55" s="46" customFormat="1" ht="30.75" customHeight="1">
      <c r="C19" s="761">
        <v>3</v>
      </c>
      <c r="D19" s="708"/>
      <c r="E19" s="792"/>
      <c r="F19" s="793"/>
      <c r="G19" s="1963"/>
      <c r="H19" s="1964"/>
      <c r="I19" s="700"/>
      <c r="J19" s="746"/>
      <c r="K19" s="701"/>
      <c r="L19" s="702"/>
      <c r="M19" s="702"/>
      <c r="N19" s="702"/>
      <c r="O19" s="702"/>
      <c r="P19" s="702"/>
      <c r="Q19" s="876"/>
      <c r="R19" s="1039"/>
      <c r="S19" s="1074"/>
      <c r="T19" s="703"/>
      <c r="U19" s="747"/>
      <c r="V19" s="748"/>
      <c r="W19" s="738"/>
      <c r="X19" s="749"/>
      <c r="Y19" s="750"/>
      <c r="Z19" s="794"/>
      <c r="AA19" s="705">
        <f t="shared" si="3"/>
        <v>0</v>
      </c>
      <c r="AB19" s="705">
        <f t="shared" ref="AB19:AB82" si="18">IF(AA19=0,,IF(L19+M19&lt;100000,1,0))</f>
        <v>0</v>
      </c>
      <c r="AC19" s="705">
        <f t="shared" ref="AC19:AC82" si="19">IF(AA19=0,,IF(AND(AB19=0,L19+M19&lt;200000),1,))</f>
        <v>0</v>
      </c>
      <c r="AD19" s="705">
        <f>IF(AA19=0,,VLOOKUP(AA19,リスト!DH:DI,2,0))</f>
        <v>0</v>
      </c>
      <c r="AE19" s="705">
        <f t="shared" si="4"/>
        <v>0</v>
      </c>
      <c r="AF19" s="706">
        <f>IF(AE19=0,,VLOOKUP(AE19,リスト!DK:DL,2,0))</f>
        <v>0</v>
      </c>
      <c r="AG19" s="705">
        <f>IF(AA19=0,,
IF(OR(リスト!$C$21="小麦",リスト!$C$21="二条大麦",リスト!$C$21="六条大麦",リスト!$C$21="はだか麦",リスト!$C$21="なたね"),IF(K19&lt;9,調査年-J19,調査年-J19-1),
IF(リスト!$C$21="さとうきび",IF(K19&gt;=4,調査年-J19,調査年-J19+1),
調査年-J19)))</f>
        <v>0</v>
      </c>
      <c r="AH19" s="408">
        <f t="shared" si="5"/>
        <v>0</v>
      </c>
      <c r="AI19" s="408">
        <f t="shared" si="6"/>
        <v>0</v>
      </c>
      <c r="AJ19" s="408">
        <f t="shared" si="7"/>
        <v>0</v>
      </c>
      <c r="AK19" s="408">
        <f t="shared" si="8"/>
        <v>0</v>
      </c>
      <c r="AL19" s="408">
        <f t="shared" si="9"/>
        <v>0</v>
      </c>
      <c r="AM19" s="408">
        <f t="shared" si="17"/>
        <v>0</v>
      </c>
      <c r="AN19" s="417"/>
      <c r="AO19" s="408">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408">
        <f t="shared" si="10"/>
        <v>0</v>
      </c>
      <c r="AQ19" s="408">
        <f t="shared" si="11"/>
        <v>0</v>
      </c>
      <c r="AR19" s="408">
        <f t="shared" si="12"/>
        <v>0</v>
      </c>
      <c r="AS19" s="408">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408">
        <f t="shared" si="13"/>
        <v>0</v>
      </c>
      <c r="AU19" s="408">
        <f t="shared" si="14"/>
        <v>0</v>
      </c>
      <c r="AV19" s="408">
        <f t="shared" si="15"/>
        <v>0</v>
      </c>
      <c r="AW19" s="408">
        <f t="shared" si="15"/>
        <v>0</v>
      </c>
      <c r="AX19" s="408">
        <f t="shared" si="15"/>
        <v>0</v>
      </c>
      <c r="AY19" s="742">
        <f t="shared" si="16"/>
        <v>0</v>
      </c>
      <c r="AZ19" s="707"/>
      <c r="BA19" s="707"/>
      <c r="BB19" s="707"/>
      <c r="BC19" s="707"/>
    </row>
    <row r="20" spans="3:55" s="46" customFormat="1" ht="30.75" customHeight="1">
      <c r="C20" s="761">
        <v>4</v>
      </c>
      <c r="D20" s="708"/>
      <c r="E20" s="795"/>
      <c r="F20" s="791"/>
      <c r="G20" s="1963"/>
      <c r="H20" s="1964"/>
      <c r="I20" s="700"/>
      <c r="J20" s="746"/>
      <c r="K20" s="701"/>
      <c r="L20" s="702"/>
      <c r="M20" s="702"/>
      <c r="N20" s="702"/>
      <c r="O20" s="702"/>
      <c r="P20" s="702"/>
      <c r="Q20" s="876"/>
      <c r="R20" s="1039"/>
      <c r="S20" s="1074"/>
      <c r="T20" s="703"/>
      <c r="U20" s="747"/>
      <c r="V20" s="748"/>
      <c r="W20" s="738"/>
      <c r="X20" s="749"/>
      <c r="Y20" s="750"/>
      <c r="Z20" s="794"/>
      <c r="AA20" s="705">
        <f t="shared" si="3"/>
        <v>0</v>
      </c>
      <c r="AB20" s="705">
        <f t="shared" si="18"/>
        <v>0</v>
      </c>
      <c r="AC20" s="705">
        <f t="shared" si="19"/>
        <v>0</v>
      </c>
      <c r="AD20" s="705">
        <f>IF(AA20=0,,VLOOKUP(AA20,リスト!DH:DI,2,0))</f>
        <v>0</v>
      </c>
      <c r="AE20" s="705">
        <f t="shared" si="4"/>
        <v>0</v>
      </c>
      <c r="AF20" s="706">
        <f>IF(AE20=0,,VLOOKUP(AE20,リスト!DK:DL,2,0))</f>
        <v>0</v>
      </c>
      <c r="AG20" s="705">
        <f>IF(AA20=0,,
IF(OR(リスト!$C$21="小麦",リスト!$C$21="二条大麦",リスト!$C$21="六条大麦",リスト!$C$21="はだか麦",リスト!$C$21="なたね"),IF(K20&lt;9,調査年-J20,調査年-J20-1),
IF(リスト!$C$21="さとうきび",IF(K20&gt;=4,調査年-J20,調査年-J20+1),
調査年-J20)))</f>
        <v>0</v>
      </c>
      <c r="AH20" s="408">
        <f t="shared" si="5"/>
        <v>0</v>
      </c>
      <c r="AI20" s="408">
        <f t="shared" si="6"/>
        <v>0</v>
      </c>
      <c r="AJ20" s="408">
        <f t="shared" si="7"/>
        <v>0</v>
      </c>
      <c r="AK20" s="408">
        <f t="shared" si="8"/>
        <v>0</v>
      </c>
      <c r="AL20" s="408">
        <f t="shared" si="9"/>
        <v>0</v>
      </c>
      <c r="AM20" s="408">
        <f t="shared" si="17"/>
        <v>0</v>
      </c>
      <c r="AN20" s="417"/>
      <c r="AO20" s="408">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408">
        <f t="shared" si="10"/>
        <v>0</v>
      </c>
      <c r="AQ20" s="408">
        <f t="shared" si="11"/>
        <v>0</v>
      </c>
      <c r="AR20" s="408">
        <f t="shared" si="12"/>
        <v>0</v>
      </c>
      <c r="AS20" s="408">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408">
        <f t="shared" si="13"/>
        <v>0</v>
      </c>
      <c r="AU20" s="408">
        <f t="shared" si="14"/>
        <v>0</v>
      </c>
      <c r="AV20" s="408">
        <f t="shared" si="15"/>
        <v>0</v>
      </c>
      <c r="AW20" s="408">
        <f t="shared" si="15"/>
        <v>0</v>
      </c>
      <c r="AX20" s="408">
        <f t="shared" si="15"/>
        <v>0</v>
      </c>
      <c r="AY20" s="742">
        <f t="shared" si="16"/>
        <v>0</v>
      </c>
      <c r="AZ20" s="707"/>
      <c r="BA20" s="707"/>
      <c r="BB20" s="707"/>
      <c r="BC20" s="707"/>
    </row>
    <row r="21" spans="3:55" s="46" customFormat="1" ht="30.75" customHeight="1">
      <c r="C21" s="761">
        <v>5</v>
      </c>
      <c r="D21" s="708"/>
      <c r="E21" s="795"/>
      <c r="F21" s="791"/>
      <c r="G21" s="1963"/>
      <c r="H21" s="1964"/>
      <c r="I21" s="700"/>
      <c r="J21" s="746"/>
      <c r="K21" s="701"/>
      <c r="L21" s="702"/>
      <c r="M21" s="702"/>
      <c r="N21" s="702"/>
      <c r="O21" s="702"/>
      <c r="P21" s="702"/>
      <c r="Q21" s="876"/>
      <c r="R21" s="1039"/>
      <c r="S21" s="1074"/>
      <c r="T21" s="703"/>
      <c r="U21" s="747"/>
      <c r="V21" s="748"/>
      <c r="W21" s="738"/>
      <c r="X21" s="749"/>
      <c r="Y21" s="750"/>
      <c r="Z21" s="794"/>
      <c r="AA21" s="705">
        <f t="shared" si="3"/>
        <v>0</v>
      </c>
      <c r="AB21" s="705">
        <f t="shared" si="18"/>
        <v>0</v>
      </c>
      <c r="AC21" s="705">
        <f t="shared" si="19"/>
        <v>0</v>
      </c>
      <c r="AD21" s="705">
        <f>IF(AA21=0,,VLOOKUP(AA21,リスト!DH:DI,2,0))</f>
        <v>0</v>
      </c>
      <c r="AE21" s="705">
        <f t="shared" si="4"/>
        <v>0</v>
      </c>
      <c r="AF21" s="706">
        <f>IF(AE21=0,,VLOOKUP(AE21,リスト!DK:DL,2,0))</f>
        <v>0</v>
      </c>
      <c r="AG21" s="705">
        <f>IF(AA21=0,,
IF(OR(リスト!$C$21="小麦",リスト!$C$21="二条大麦",リスト!$C$21="六条大麦",リスト!$C$21="はだか麦",リスト!$C$21="なたね"),IF(K21&lt;9,調査年-J21,調査年-J21-1),
IF(リスト!$C$21="さとうきび",IF(K21&gt;=4,調査年-J21,調査年-J21+1),
調査年-J21)))</f>
        <v>0</v>
      </c>
      <c r="AH21" s="408">
        <f t="shared" si="5"/>
        <v>0</v>
      </c>
      <c r="AI21" s="408">
        <f t="shared" si="6"/>
        <v>0</v>
      </c>
      <c r="AJ21" s="408">
        <f t="shared" si="7"/>
        <v>0</v>
      </c>
      <c r="AK21" s="408">
        <f t="shared" si="8"/>
        <v>0</v>
      </c>
      <c r="AL21" s="408">
        <f t="shared" si="9"/>
        <v>0</v>
      </c>
      <c r="AM21" s="408">
        <f t="shared" si="17"/>
        <v>0</v>
      </c>
      <c r="AN21" s="417"/>
      <c r="AO21" s="408">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408">
        <f t="shared" si="10"/>
        <v>0</v>
      </c>
      <c r="AQ21" s="408">
        <f t="shared" si="11"/>
        <v>0</v>
      </c>
      <c r="AR21" s="408">
        <f t="shared" si="12"/>
        <v>0</v>
      </c>
      <c r="AS21" s="408">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408">
        <f t="shared" si="13"/>
        <v>0</v>
      </c>
      <c r="AU21" s="408">
        <f t="shared" si="14"/>
        <v>0</v>
      </c>
      <c r="AV21" s="408">
        <f t="shared" si="15"/>
        <v>0</v>
      </c>
      <c r="AW21" s="408">
        <f t="shared" si="15"/>
        <v>0</v>
      </c>
      <c r="AX21" s="408">
        <f t="shared" si="15"/>
        <v>0</v>
      </c>
      <c r="AY21" s="742">
        <f t="shared" si="16"/>
        <v>0</v>
      </c>
      <c r="AZ21" s="707"/>
      <c r="BA21" s="707"/>
      <c r="BB21" s="707"/>
      <c r="BC21" s="707"/>
    </row>
    <row r="22" spans="3:55" s="46" customFormat="1" ht="30.75" customHeight="1">
      <c r="C22" s="761">
        <v>6</v>
      </c>
      <c r="D22" s="708"/>
      <c r="E22" s="795"/>
      <c r="F22" s="791"/>
      <c r="G22" s="1963"/>
      <c r="H22" s="1964"/>
      <c r="I22" s="700"/>
      <c r="J22" s="746"/>
      <c r="K22" s="701"/>
      <c r="L22" s="702"/>
      <c r="M22" s="702"/>
      <c r="N22" s="702"/>
      <c r="O22" s="702"/>
      <c r="P22" s="702"/>
      <c r="Q22" s="876"/>
      <c r="R22" s="1039"/>
      <c r="S22" s="1074"/>
      <c r="T22" s="703"/>
      <c r="U22" s="747"/>
      <c r="V22" s="748"/>
      <c r="W22" s="738"/>
      <c r="X22" s="749"/>
      <c r="Y22" s="750"/>
      <c r="Z22" s="794"/>
      <c r="AA22" s="705">
        <f t="shared" si="3"/>
        <v>0</v>
      </c>
      <c r="AB22" s="705">
        <f t="shared" si="18"/>
        <v>0</v>
      </c>
      <c r="AC22" s="705">
        <f t="shared" si="19"/>
        <v>0</v>
      </c>
      <c r="AD22" s="705">
        <f>IF(AA22=0,,VLOOKUP(AA22,リスト!DH:DI,2,0))</f>
        <v>0</v>
      </c>
      <c r="AE22" s="705">
        <f t="shared" si="4"/>
        <v>0</v>
      </c>
      <c r="AF22" s="706">
        <f>IF(AE22=0,,VLOOKUP(AE22,リスト!DK:DL,2,0))</f>
        <v>0</v>
      </c>
      <c r="AG22" s="705">
        <f>IF(AA22=0,,
IF(OR(リスト!$C$21="小麦",リスト!$C$21="二条大麦",リスト!$C$21="六条大麦",リスト!$C$21="はだか麦",リスト!$C$21="なたね"),IF(K22&lt;9,調査年-J22,調査年-J22-1),
IF(リスト!$C$21="さとうきび",IF(K22&gt;=4,調査年-J22,調査年-J22+1),
調査年-J22)))</f>
        <v>0</v>
      </c>
      <c r="AH22" s="408">
        <f t="shared" si="5"/>
        <v>0</v>
      </c>
      <c r="AI22" s="408">
        <f t="shared" si="6"/>
        <v>0</v>
      </c>
      <c r="AJ22" s="408">
        <f t="shared" si="7"/>
        <v>0</v>
      </c>
      <c r="AK22" s="408">
        <f t="shared" si="8"/>
        <v>0</v>
      </c>
      <c r="AL22" s="408">
        <f t="shared" si="9"/>
        <v>0</v>
      </c>
      <c r="AM22" s="408">
        <f t="shared" si="17"/>
        <v>0</v>
      </c>
      <c r="AN22" s="417"/>
      <c r="AO22" s="408">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408">
        <f t="shared" si="10"/>
        <v>0</v>
      </c>
      <c r="AQ22" s="408">
        <f t="shared" si="11"/>
        <v>0</v>
      </c>
      <c r="AR22" s="408">
        <f t="shared" si="12"/>
        <v>0</v>
      </c>
      <c r="AS22" s="408">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408">
        <f t="shared" si="13"/>
        <v>0</v>
      </c>
      <c r="AU22" s="408">
        <f t="shared" si="14"/>
        <v>0</v>
      </c>
      <c r="AV22" s="408">
        <f t="shared" si="15"/>
        <v>0</v>
      </c>
      <c r="AW22" s="408">
        <f t="shared" si="15"/>
        <v>0</v>
      </c>
      <c r="AX22" s="408">
        <f t="shared" si="15"/>
        <v>0</v>
      </c>
      <c r="AY22" s="742">
        <f t="shared" si="16"/>
        <v>0</v>
      </c>
      <c r="AZ22" s="707"/>
      <c r="BA22" s="707"/>
      <c r="BB22" s="707"/>
      <c r="BC22" s="707"/>
    </row>
    <row r="23" spans="3:55" s="46" customFormat="1" ht="30.75" customHeight="1">
      <c r="C23" s="761">
        <v>7</v>
      </c>
      <c r="D23" s="708"/>
      <c r="E23" s="795"/>
      <c r="F23" s="791"/>
      <c r="G23" s="1963"/>
      <c r="H23" s="1964"/>
      <c r="I23" s="700"/>
      <c r="J23" s="746"/>
      <c r="K23" s="701"/>
      <c r="L23" s="702"/>
      <c r="M23" s="702"/>
      <c r="N23" s="702"/>
      <c r="O23" s="702"/>
      <c r="P23" s="702"/>
      <c r="Q23" s="876"/>
      <c r="R23" s="1039"/>
      <c r="S23" s="1074"/>
      <c r="T23" s="703"/>
      <c r="U23" s="747"/>
      <c r="V23" s="748"/>
      <c r="W23" s="738"/>
      <c r="X23" s="749"/>
      <c r="Y23" s="750"/>
      <c r="Z23" s="794"/>
      <c r="AA23" s="705">
        <f t="shared" si="3"/>
        <v>0</v>
      </c>
      <c r="AB23" s="705">
        <f t="shared" si="18"/>
        <v>0</v>
      </c>
      <c r="AC23" s="705">
        <f t="shared" si="19"/>
        <v>0</v>
      </c>
      <c r="AD23" s="705">
        <f>IF(AA23=0,,VLOOKUP(AA23,リスト!DH:DI,2,0))</f>
        <v>0</v>
      </c>
      <c r="AE23" s="705">
        <f t="shared" si="4"/>
        <v>0</v>
      </c>
      <c r="AF23" s="706">
        <f>IF(AE23=0,,VLOOKUP(AE23,リスト!DK:DL,2,0))</f>
        <v>0</v>
      </c>
      <c r="AG23" s="705">
        <f>IF(AA23=0,,
IF(OR(リスト!$C$21="小麦",リスト!$C$21="二条大麦",リスト!$C$21="六条大麦",リスト!$C$21="はだか麦",リスト!$C$21="なたね"),IF(K23&lt;9,調査年-J23,調査年-J23-1),
IF(リスト!$C$21="さとうきび",IF(K23&gt;=4,調査年-J23,調査年-J23+1),
調査年-J23)))</f>
        <v>0</v>
      </c>
      <c r="AH23" s="408">
        <f t="shared" si="5"/>
        <v>0</v>
      </c>
      <c r="AI23" s="408">
        <f t="shared" si="6"/>
        <v>0</v>
      </c>
      <c r="AJ23" s="408">
        <f t="shared" si="7"/>
        <v>0</v>
      </c>
      <c r="AK23" s="408">
        <f t="shared" si="8"/>
        <v>0</v>
      </c>
      <c r="AL23" s="408">
        <f t="shared" si="9"/>
        <v>0</v>
      </c>
      <c r="AM23" s="408">
        <f t="shared" si="17"/>
        <v>0</v>
      </c>
      <c r="AN23" s="417"/>
      <c r="AO23" s="408">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408">
        <f t="shared" si="10"/>
        <v>0</v>
      </c>
      <c r="AQ23" s="408">
        <f t="shared" si="11"/>
        <v>0</v>
      </c>
      <c r="AR23" s="408">
        <f t="shared" si="12"/>
        <v>0</v>
      </c>
      <c r="AS23" s="408">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408">
        <f t="shared" si="13"/>
        <v>0</v>
      </c>
      <c r="AU23" s="408">
        <f t="shared" si="14"/>
        <v>0</v>
      </c>
      <c r="AV23" s="408">
        <f t="shared" si="15"/>
        <v>0</v>
      </c>
      <c r="AW23" s="408">
        <f t="shared" si="15"/>
        <v>0</v>
      </c>
      <c r="AX23" s="408">
        <f t="shared" si="15"/>
        <v>0</v>
      </c>
      <c r="AY23" s="742">
        <f t="shared" si="16"/>
        <v>0</v>
      </c>
      <c r="AZ23" s="707"/>
      <c r="BA23" s="707"/>
      <c r="BB23" s="707"/>
      <c r="BC23" s="707"/>
    </row>
    <row r="24" spans="3:55" s="46" customFormat="1" ht="30.75" customHeight="1">
      <c r="C24" s="761">
        <v>8</v>
      </c>
      <c r="D24" s="708"/>
      <c r="E24" s="795"/>
      <c r="F24" s="791"/>
      <c r="G24" s="1963"/>
      <c r="H24" s="1964"/>
      <c r="I24" s="700"/>
      <c r="J24" s="746"/>
      <c r="K24" s="701"/>
      <c r="L24" s="702"/>
      <c r="M24" s="702"/>
      <c r="N24" s="702"/>
      <c r="O24" s="702"/>
      <c r="P24" s="702"/>
      <c r="Q24" s="876"/>
      <c r="R24" s="1039"/>
      <c r="S24" s="1074"/>
      <c r="T24" s="703"/>
      <c r="U24" s="747"/>
      <c r="V24" s="748"/>
      <c r="W24" s="738"/>
      <c r="X24" s="749"/>
      <c r="Y24" s="750"/>
      <c r="Z24" s="794"/>
      <c r="AA24" s="705">
        <f t="shared" si="3"/>
        <v>0</v>
      </c>
      <c r="AB24" s="705">
        <f t="shared" si="18"/>
        <v>0</v>
      </c>
      <c r="AC24" s="705">
        <f t="shared" si="19"/>
        <v>0</v>
      </c>
      <c r="AD24" s="705">
        <f>IF(AA24=0,,VLOOKUP(AA24,リスト!DH:DI,2,0))</f>
        <v>0</v>
      </c>
      <c r="AE24" s="705">
        <f t="shared" si="4"/>
        <v>0</v>
      </c>
      <c r="AF24" s="706">
        <f>IF(AE24=0,,VLOOKUP(AE24,リスト!DK:DL,2,0))</f>
        <v>0</v>
      </c>
      <c r="AG24" s="705">
        <f>IF(AA24=0,,
IF(OR(リスト!$C$21="小麦",リスト!$C$21="二条大麦",リスト!$C$21="六条大麦",リスト!$C$21="はだか麦",リスト!$C$21="なたね"),IF(K24&lt;9,調査年-J24,調査年-J24-1),
IF(リスト!$C$21="さとうきび",IF(K24&gt;=4,調査年-J24,調査年-J24+1),
調査年-J24)))</f>
        <v>0</v>
      </c>
      <c r="AH24" s="408">
        <f t="shared" si="5"/>
        <v>0</v>
      </c>
      <c r="AI24" s="408">
        <f t="shared" si="6"/>
        <v>0</v>
      </c>
      <c r="AJ24" s="408">
        <f t="shared" si="7"/>
        <v>0</v>
      </c>
      <c r="AK24" s="408">
        <f t="shared" si="8"/>
        <v>0</v>
      </c>
      <c r="AL24" s="408">
        <f t="shared" si="9"/>
        <v>0</v>
      </c>
      <c r="AM24" s="408">
        <f t="shared" si="17"/>
        <v>0</v>
      </c>
      <c r="AN24" s="417"/>
      <c r="AO24" s="408">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408">
        <f t="shared" si="10"/>
        <v>0</v>
      </c>
      <c r="AQ24" s="408">
        <f t="shared" si="11"/>
        <v>0</v>
      </c>
      <c r="AR24" s="408">
        <f t="shared" si="12"/>
        <v>0</v>
      </c>
      <c r="AS24" s="408">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408">
        <f t="shared" si="13"/>
        <v>0</v>
      </c>
      <c r="AU24" s="408">
        <f t="shared" si="14"/>
        <v>0</v>
      </c>
      <c r="AV24" s="408">
        <f t="shared" si="15"/>
        <v>0</v>
      </c>
      <c r="AW24" s="408">
        <f t="shared" si="15"/>
        <v>0</v>
      </c>
      <c r="AX24" s="408">
        <f t="shared" si="15"/>
        <v>0</v>
      </c>
      <c r="AY24" s="742">
        <f t="shared" si="16"/>
        <v>0</v>
      </c>
      <c r="AZ24" s="707"/>
      <c r="BA24" s="707"/>
      <c r="BB24" s="707"/>
      <c r="BC24" s="707"/>
    </row>
    <row r="25" spans="3:55" s="46" customFormat="1" ht="30.75" customHeight="1">
      <c r="C25" s="761">
        <v>9</v>
      </c>
      <c r="D25" s="708"/>
      <c r="E25" s="795"/>
      <c r="F25" s="791"/>
      <c r="G25" s="1963"/>
      <c r="H25" s="1964"/>
      <c r="I25" s="700"/>
      <c r="J25" s="746"/>
      <c r="K25" s="701"/>
      <c r="L25" s="702"/>
      <c r="M25" s="702"/>
      <c r="N25" s="702"/>
      <c r="O25" s="702"/>
      <c r="P25" s="702"/>
      <c r="Q25" s="876"/>
      <c r="R25" s="1039"/>
      <c r="S25" s="1074"/>
      <c r="T25" s="703"/>
      <c r="U25" s="747"/>
      <c r="V25" s="748"/>
      <c r="W25" s="738"/>
      <c r="X25" s="749"/>
      <c r="Y25" s="750"/>
      <c r="Z25" s="794"/>
      <c r="AA25" s="705">
        <f t="shared" si="3"/>
        <v>0</v>
      </c>
      <c r="AB25" s="705">
        <f t="shared" si="18"/>
        <v>0</v>
      </c>
      <c r="AC25" s="705">
        <f t="shared" si="19"/>
        <v>0</v>
      </c>
      <c r="AD25" s="705">
        <f>IF(AA25=0,,VLOOKUP(AA25,リスト!DH:DI,2,0))</f>
        <v>0</v>
      </c>
      <c r="AE25" s="705">
        <f t="shared" si="4"/>
        <v>0</v>
      </c>
      <c r="AF25" s="706">
        <f>IF(AE25=0,,VLOOKUP(AE25,リスト!DK:DL,2,0))</f>
        <v>0</v>
      </c>
      <c r="AG25" s="705">
        <f>IF(AA25=0,,
IF(OR(リスト!$C$21="小麦",リスト!$C$21="二条大麦",リスト!$C$21="六条大麦",リスト!$C$21="はだか麦",リスト!$C$21="なたね"),IF(K25&lt;9,調査年-J25,調査年-J25-1),
IF(リスト!$C$21="さとうきび",IF(K25&gt;=4,調査年-J25,調査年-J25+1),
調査年-J25)))</f>
        <v>0</v>
      </c>
      <c r="AH25" s="408">
        <f t="shared" si="5"/>
        <v>0</v>
      </c>
      <c r="AI25" s="408">
        <f t="shared" si="6"/>
        <v>0</v>
      </c>
      <c r="AJ25" s="408">
        <f t="shared" si="7"/>
        <v>0</v>
      </c>
      <c r="AK25" s="408">
        <f t="shared" si="8"/>
        <v>0</v>
      </c>
      <c r="AL25" s="408">
        <f t="shared" si="9"/>
        <v>0</v>
      </c>
      <c r="AM25" s="408">
        <f t="shared" si="17"/>
        <v>0</v>
      </c>
      <c r="AN25" s="417"/>
      <c r="AO25" s="408">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408">
        <f t="shared" si="10"/>
        <v>0</v>
      </c>
      <c r="AQ25" s="408">
        <f t="shared" si="11"/>
        <v>0</v>
      </c>
      <c r="AR25" s="408">
        <f t="shared" si="12"/>
        <v>0</v>
      </c>
      <c r="AS25" s="408">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408">
        <f t="shared" si="13"/>
        <v>0</v>
      </c>
      <c r="AU25" s="408">
        <f t="shared" si="14"/>
        <v>0</v>
      </c>
      <c r="AV25" s="408">
        <f t="shared" si="15"/>
        <v>0</v>
      </c>
      <c r="AW25" s="408">
        <f t="shared" si="15"/>
        <v>0</v>
      </c>
      <c r="AX25" s="408">
        <f t="shared" si="15"/>
        <v>0</v>
      </c>
      <c r="AY25" s="742">
        <f t="shared" si="16"/>
        <v>0</v>
      </c>
      <c r="AZ25" s="707"/>
      <c r="BA25" s="707"/>
      <c r="BB25" s="707"/>
      <c r="BC25" s="707"/>
    </row>
    <row r="26" spans="3:55" s="46" customFormat="1" ht="30.75" customHeight="1">
      <c r="C26" s="761">
        <v>10</v>
      </c>
      <c r="D26" s="708"/>
      <c r="E26" s="795"/>
      <c r="F26" s="791"/>
      <c r="G26" s="1963"/>
      <c r="H26" s="1964"/>
      <c r="I26" s="700"/>
      <c r="J26" s="746"/>
      <c r="K26" s="701"/>
      <c r="L26" s="702"/>
      <c r="M26" s="702"/>
      <c r="N26" s="702"/>
      <c r="O26" s="702"/>
      <c r="P26" s="702"/>
      <c r="Q26" s="876"/>
      <c r="R26" s="1039"/>
      <c r="S26" s="1074"/>
      <c r="T26" s="703"/>
      <c r="U26" s="747"/>
      <c r="V26" s="748"/>
      <c r="W26" s="738"/>
      <c r="X26" s="749"/>
      <c r="Y26" s="750"/>
      <c r="Z26" s="794"/>
      <c r="AA26" s="705">
        <f t="shared" si="3"/>
        <v>0</v>
      </c>
      <c r="AB26" s="705">
        <f t="shared" si="18"/>
        <v>0</v>
      </c>
      <c r="AC26" s="705">
        <f t="shared" si="19"/>
        <v>0</v>
      </c>
      <c r="AD26" s="705">
        <f>IF(AA26=0,,VLOOKUP(AA26,リスト!DH:DI,2,0))</f>
        <v>0</v>
      </c>
      <c r="AE26" s="705">
        <f t="shared" si="4"/>
        <v>0</v>
      </c>
      <c r="AF26" s="706">
        <f>IF(AE26=0,,VLOOKUP(AE26,リスト!DK:DL,2,0))</f>
        <v>0</v>
      </c>
      <c r="AG26" s="705">
        <f>IF(AA26=0,,
IF(OR(リスト!$C$21="小麦",リスト!$C$21="二条大麦",リスト!$C$21="六条大麦",リスト!$C$21="はだか麦",リスト!$C$21="なたね"),IF(K26&lt;9,調査年-J26,調査年-J26-1),
IF(リスト!$C$21="さとうきび",IF(K26&gt;=4,調査年-J26,調査年-J26+1),
調査年-J26)))</f>
        <v>0</v>
      </c>
      <c r="AH26" s="408">
        <f t="shared" si="5"/>
        <v>0</v>
      </c>
      <c r="AI26" s="408">
        <f t="shared" si="6"/>
        <v>0</v>
      </c>
      <c r="AJ26" s="408">
        <f t="shared" si="7"/>
        <v>0</v>
      </c>
      <c r="AK26" s="408">
        <f t="shared" si="8"/>
        <v>0</v>
      </c>
      <c r="AL26" s="408">
        <f t="shared" si="9"/>
        <v>0</v>
      </c>
      <c r="AM26" s="408">
        <f t="shared" si="17"/>
        <v>0</v>
      </c>
      <c r="AN26" s="417"/>
      <c r="AO26" s="408">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408">
        <f t="shared" si="10"/>
        <v>0</v>
      </c>
      <c r="AQ26" s="408">
        <f t="shared" si="11"/>
        <v>0</v>
      </c>
      <c r="AR26" s="408">
        <f t="shared" si="12"/>
        <v>0</v>
      </c>
      <c r="AS26" s="408">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408">
        <f t="shared" si="13"/>
        <v>0</v>
      </c>
      <c r="AU26" s="408">
        <f t="shared" si="14"/>
        <v>0</v>
      </c>
      <c r="AV26" s="408">
        <f t="shared" si="15"/>
        <v>0</v>
      </c>
      <c r="AW26" s="408">
        <f t="shared" si="15"/>
        <v>0</v>
      </c>
      <c r="AX26" s="408">
        <f t="shared" si="15"/>
        <v>0</v>
      </c>
      <c r="AY26" s="742">
        <f t="shared" si="16"/>
        <v>0</v>
      </c>
      <c r="AZ26" s="707"/>
      <c r="BA26" s="707"/>
      <c r="BB26" s="707"/>
      <c r="BC26" s="707"/>
    </row>
    <row r="27" spans="3:55" s="46" customFormat="1" ht="30.75" customHeight="1">
      <c r="C27" s="761">
        <v>11</v>
      </c>
      <c r="D27" s="708"/>
      <c r="E27" s="795"/>
      <c r="F27" s="791"/>
      <c r="G27" s="1963"/>
      <c r="H27" s="1964"/>
      <c r="I27" s="700"/>
      <c r="J27" s="746"/>
      <c r="K27" s="701"/>
      <c r="L27" s="702"/>
      <c r="M27" s="702"/>
      <c r="N27" s="702"/>
      <c r="O27" s="702"/>
      <c r="P27" s="702"/>
      <c r="Q27" s="876"/>
      <c r="R27" s="1039"/>
      <c r="S27" s="1074"/>
      <c r="T27" s="703"/>
      <c r="U27" s="747"/>
      <c r="V27" s="748"/>
      <c r="W27" s="738"/>
      <c r="X27" s="749"/>
      <c r="Y27" s="750"/>
      <c r="Z27" s="794"/>
      <c r="AA27" s="705">
        <f t="shared" si="3"/>
        <v>0</v>
      </c>
      <c r="AB27" s="705">
        <f t="shared" si="18"/>
        <v>0</v>
      </c>
      <c r="AC27" s="705">
        <f t="shared" si="19"/>
        <v>0</v>
      </c>
      <c r="AD27" s="705">
        <f>IF(AA27=0,,VLOOKUP(AA27,リスト!DH:DI,2,0))</f>
        <v>0</v>
      </c>
      <c r="AE27" s="705">
        <f t="shared" si="4"/>
        <v>0</v>
      </c>
      <c r="AF27" s="706">
        <f>IF(AE27=0,,VLOOKUP(AE27,リスト!DK:DL,2,0))</f>
        <v>0</v>
      </c>
      <c r="AG27" s="705">
        <f>IF(AA27=0,,
IF(OR(リスト!$C$21="小麦",リスト!$C$21="二条大麦",リスト!$C$21="六条大麦",リスト!$C$21="はだか麦",リスト!$C$21="なたね"),IF(K27&lt;9,調査年-J27,調査年-J27-1),
IF(リスト!$C$21="さとうきび",IF(K27&gt;=4,調査年-J27,調査年-J27+1),
調査年-J27)))</f>
        <v>0</v>
      </c>
      <c r="AH27" s="408">
        <f t="shared" si="5"/>
        <v>0</v>
      </c>
      <c r="AI27" s="408">
        <f t="shared" si="6"/>
        <v>0</v>
      </c>
      <c r="AJ27" s="408">
        <f t="shared" si="7"/>
        <v>0</v>
      </c>
      <c r="AK27" s="408">
        <f t="shared" si="8"/>
        <v>0</v>
      </c>
      <c r="AL27" s="408">
        <f t="shared" si="9"/>
        <v>0</v>
      </c>
      <c r="AM27" s="408">
        <f t="shared" si="17"/>
        <v>0</v>
      </c>
      <c r="AN27" s="417"/>
      <c r="AO27" s="408">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408">
        <f t="shared" si="10"/>
        <v>0</v>
      </c>
      <c r="AQ27" s="408">
        <f t="shared" si="11"/>
        <v>0</v>
      </c>
      <c r="AR27" s="408">
        <f t="shared" si="12"/>
        <v>0</v>
      </c>
      <c r="AS27" s="408">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408">
        <f t="shared" si="13"/>
        <v>0</v>
      </c>
      <c r="AU27" s="408">
        <f t="shared" si="14"/>
        <v>0</v>
      </c>
      <c r="AV27" s="408">
        <f t="shared" si="15"/>
        <v>0</v>
      </c>
      <c r="AW27" s="408">
        <f t="shared" si="15"/>
        <v>0</v>
      </c>
      <c r="AX27" s="408">
        <f t="shared" si="15"/>
        <v>0</v>
      </c>
      <c r="AY27" s="742">
        <f t="shared" si="16"/>
        <v>0</v>
      </c>
      <c r="AZ27" s="707"/>
      <c r="BA27" s="707"/>
      <c r="BB27" s="707"/>
      <c r="BC27" s="707"/>
    </row>
    <row r="28" spans="3:55" s="46" customFormat="1" ht="30.75" customHeight="1">
      <c r="C28" s="761">
        <v>12</v>
      </c>
      <c r="D28" s="708"/>
      <c r="E28" s="795"/>
      <c r="F28" s="791"/>
      <c r="G28" s="1963"/>
      <c r="H28" s="1964"/>
      <c r="I28" s="700"/>
      <c r="J28" s="746"/>
      <c r="K28" s="701"/>
      <c r="L28" s="702"/>
      <c r="M28" s="702"/>
      <c r="N28" s="702"/>
      <c r="O28" s="702"/>
      <c r="P28" s="702"/>
      <c r="Q28" s="876"/>
      <c r="R28" s="1039"/>
      <c r="S28" s="1074"/>
      <c r="T28" s="703"/>
      <c r="U28" s="747"/>
      <c r="V28" s="748"/>
      <c r="W28" s="738"/>
      <c r="X28" s="749"/>
      <c r="Y28" s="750"/>
      <c r="Z28" s="794"/>
      <c r="AA28" s="705">
        <f t="shared" si="3"/>
        <v>0</v>
      </c>
      <c r="AB28" s="705">
        <f t="shared" si="18"/>
        <v>0</v>
      </c>
      <c r="AC28" s="705">
        <f t="shared" si="19"/>
        <v>0</v>
      </c>
      <c r="AD28" s="705">
        <f>IF(AA28=0,,VLOOKUP(AA28,リスト!DH:DI,2,0))</f>
        <v>0</v>
      </c>
      <c r="AE28" s="705">
        <f t="shared" si="4"/>
        <v>0</v>
      </c>
      <c r="AF28" s="706">
        <f>IF(AE28=0,,VLOOKUP(AE28,リスト!DK:DL,2,0))</f>
        <v>0</v>
      </c>
      <c r="AG28" s="705">
        <f>IF(AA28=0,,
IF(OR(リスト!$C$21="小麦",リスト!$C$21="二条大麦",リスト!$C$21="六条大麦",リスト!$C$21="はだか麦",リスト!$C$21="なたね"),IF(K28&lt;9,調査年-J28,調査年-J28-1),
IF(リスト!$C$21="さとうきび",IF(K28&gt;=4,調査年-J28,調査年-J28+1),
調査年-J28)))</f>
        <v>0</v>
      </c>
      <c r="AH28" s="408">
        <f t="shared" si="5"/>
        <v>0</v>
      </c>
      <c r="AI28" s="408">
        <f t="shared" si="6"/>
        <v>0</v>
      </c>
      <c r="AJ28" s="408">
        <f t="shared" si="7"/>
        <v>0</v>
      </c>
      <c r="AK28" s="408">
        <f t="shared" si="8"/>
        <v>0</v>
      </c>
      <c r="AL28" s="408">
        <f t="shared" si="9"/>
        <v>0</v>
      </c>
      <c r="AM28" s="408">
        <f t="shared" si="17"/>
        <v>0</v>
      </c>
      <c r="AN28" s="417"/>
      <c r="AO28" s="408">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408">
        <f t="shared" si="10"/>
        <v>0</v>
      </c>
      <c r="AQ28" s="408">
        <f t="shared" si="11"/>
        <v>0</v>
      </c>
      <c r="AR28" s="408">
        <f t="shared" si="12"/>
        <v>0</v>
      </c>
      <c r="AS28" s="408">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408">
        <f t="shared" si="13"/>
        <v>0</v>
      </c>
      <c r="AU28" s="408">
        <f t="shared" si="14"/>
        <v>0</v>
      </c>
      <c r="AV28" s="408">
        <f t="shared" si="15"/>
        <v>0</v>
      </c>
      <c r="AW28" s="408">
        <f t="shared" si="15"/>
        <v>0</v>
      </c>
      <c r="AX28" s="408">
        <f t="shared" si="15"/>
        <v>0</v>
      </c>
      <c r="AY28" s="742">
        <f t="shared" si="16"/>
        <v>0</v>
      </c>
      <c r="AZ28" s="707"/>
      <c r="BA28" s="707"/>
      <c r="BB28" s="707"/>
      <c r="BC28" s="707"/>
    </row>
    <row r="29" spans="3:55" s="46" customFormat="1" ht="30.75" customHeight="1">
      <c r="C29" s="761">
        <v>13</v>
      </c>
      <c r="D29" s="708"/>
      <c r="E29" s="795"/>
      <c r="F29" s="791"/>
      <c r="G29" s="1963"/>
      <c r="H29" s="1964"/>
      <c r="I29" s="700"/>
      <c r="J29" s="746"/>
      <c r="K29" s="701"/>
      <c r="L29" s="702"/>
      <c r="M29" s="702"/>
      <c r="N29" s="702"/>
      <c r="O29" s="702"/>
      <c r="P29" s="702"/>
      <c r="Q29" s="876"/>
      <c r="R29" s="1039"/>
      <c r="S29" s="1074"/>
      <c r="T29" s="703"/>
      <c r="U29" s="747"/>
      <c r="V29" s="748"/>
      <c r="W29" s="738"/>
      <c r="X29" s="749"/>
      <c r="Y29" s="750"/>
      <c r="Z29" s="794"/>
      <c r="AA29" s="705">
        <f t="shared" si="3"/>
        <v>0</v>
      </c>
      <c r="AB29" s="705">
        <f t="shared" si="18"/>
        <v>0</v>
      </c>
      <c r="AC29" s="705">
        <f t="shared" si="19"/>
        <v>0</v>
      </c>
      <c r="AD29" s="705">
        <f>IF(AA29=0,,VLOOKUP(AA29,リスト!DH:DI,2,0))</f>
        <v>0</v>
      </c>
      <c r="AE29" s="705">
        <f t="shared" si="4"/>
        <v>0</v>
      </c>
      <c r="AF29" s="706">
        <f>IF(AE29=0,,VLOOKUP(AE29,リスト!DK:DL,2,0))</f>
        <v>0</v>
      </c>
      <c r="AG29" s="705">
        <f>IF(AA29=0,,
IF(OR(リスト!$C$21="小麦",リスト!$C$21="二条大麦",リスト!$C$21="六条大麦",リスト!$C$21="はだか麦",リスト!$C$21="なたね"),IF(K29&lt;9,調査年-J29,調査年-J29-1),
IF(リスト!$C$21="さとうきび",IF(K29&gt;=4,調査年-J29,調査年-J29+1),
調査年-J29)))</f>
        <v>0</v>
      </c>
      <c r="AH29" s="408">
        <f t="shared" si="5"/>
        <v>0</v>
      </c>
      <c r="AI29" s="408">
        <f t="shared" si="6"/>
        <v>0</v>
      </c>
      <c r="AJ29" s="408">
        <f t="shared" si="7"/>
        <v>0</v>
      </c>
      <c r="AK29" s="408">
        <f t="shared" si="8"/>
        <v>0</v>
      </c>
      <c r="AL29" s="408">
        <f t="shared" si="9"/>
        <v>0</v>
      </c>
      <c r="AM29" s="408">
        <f t="shared" si="17"/>
        <v>0</v>
      </c>
      <c r="AN29" s="417"/>
      <c r="AO29" s="408">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408">
        <f t="shared" si="10"/>
        <v>0</v>
      </c>
      <c r="AQ29" s="408">
        <f t="shared" si="11"/>
        <v>0</v>
      </c>
      <c r="AR29" s="408">
        <f t="shared" si="12"/>
        <v>0</v>
      </c>
      <c r="AS29" s="408">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408">
        <f t="shared" si="13"/>
        <v>0</v>
      </c>
      <c r="AU29" s="408">
        <f t="shared" si="14"/>
        <v>0</v>
      </c>
      <c r="AV29" s="408">
        <f t="shared" si="15"/>
        <v>0</v>
      </c>
      <c r="AW29" s="408">
        <f t="shared" si="15"/>
        <v>0</v>
      </c>
      <c r="AX29" s="408">
        <f t="shared" si="15"/>
        <v>0</v>
      </c>
      <c r="AY29" s="742">
        <f t="shared" si="16"/>
        <v>0</v>
      </c>
      <c r="AZ29" s="707"/>
      <c r="BA29" s="707"/>
      <c r="BB29" s="707"/>
      <c r="BC29" s="707"/>
    </row>
    <row r="30" spans="3:55" s="46" customFormat="1" ht="30.75" customHeight="1">
      <c r="C30" s="761">
        <v>14</v>
      </c>
      <c r="D30" s="708"/>
      <c r="E30" s="795"/>
      <c r="F30" s="791"/>
      <c r="G30" s="1963"/>
      <c r="H30" s="1964"/>
      <c r="I30" s="700"/>
      <c r="J30" s="746"/>
      <c r="K30" s="701"/>
      <c r="L30" s="702"/>
      <c r="M30" s="702"/>
      <c r="N30" s="702"/>
      <c r="O30" s="702"/>
      <c r="P30" s="702"/>
      <c r="Q30" s="876"/>
      <c r="R30" s="1039"/>
      <c r="S30" s="1074"/>
      <c r="T30" s="703"/>
      <c r="U30" s="747"/>
      <c r="V30" s="748"/>
      <c r="W30" s="738"/>
      <c r="X30" s="749"/>
      <c r="Y30" s="750"/>
      <c r="Z30" s="794"/>
      <c r="AA30" s="705">
        <f t="shared" si="3"/>
        <v>0</v>
      </c>
      <c r="AB30" s="705">
        <f t="shared" si="18"/>
        <v>0</v>
      </c>
      <c r="AC30" s="705">
        <f t="shared" si="19"/>
        <v>0</v>
      </c>
      <c r="AD30" s="705">
        <f>IF(AA30=0,,VLOOKUP(AA30,リスト!DH:DI,2,0))</f>
        <v>0</v>
      </c>
      <c r="AE30" s="705">
        <f t="shared" si="4"/>
        <v>0</v>
      </c>
      <c r="AF30" s="706">
        <f>IF(AE30=0,,VLOOKUP(AE30,リスト!DK:DL,2,0))</f>
        <v>0</v>
      </c>
      <c r="AG30" s="705">
        <f>IF(AA30=0,,
IF(OR(リスト!$C$21="小麦",リスト!$C$21="二条大麦",リスト!$C$21="六条大麦",リスト!$C$21="はだか麦",リスト!$C$21="なたね"),IF(K30&lt;9,調査年-J30,調査年-J30-1),
IF(リスト!$C$21="さとうきび",IF(K30&gt;=4,調査年-J30,調査年-J30+1),
調査年-J30)))</f>
        <v>0</v>
      </c>
      <c r="AH30" s="408">
        <f t="shared" si="5"/>
        <v>0</v>
      </c>
      <c r="AI30" s="408">
        <f t="shared" si="6"/>
        <v>0</v>
      </c>
      <c r="AJ30" s="408">
        <f t="shared" si="7"/>
        <v>0</v>
      </c>
      <c r="AK30" s="408">
        <f t="shared" si="8"/>
        <v>0</v>
      </c>
      <c r="AL30" s="408">
        <f t="shared" si="9"/>
        <v>0</v>
      </c>
      <c r="AM30" s="408">
        <f t="shared" si="17"/>
        <v>0</v>
      </c>
      <c r="AN30" s="417"/>
      <c r="AO30" s="408">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408">
        <f t="shared" si="10"/>
        <v>0</v>
      </c>
      <c r="AQ30" s="408">
        <f t="shared" si="11"/>
        <v>0</v>
      </c>
      <c r="AR30" s="408">
        <f t="shared" si="12"/>
        <v>0</v>
      </c>
      <c r="AS30" s="408">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408">
        <f t="shared" si="13"/>
        <v>0</v>
      </c>
      <c r="AU30" s="408">
        <f t="shared" si="14"/>
        <v>0</v>
      </c>
      <c r="AV30" s="408">
        <f t="shared" si="15"/>
        <v>0</v>
      </c>
      <c r="AW30" s="408">
        <f t="shared" si="15"/>
        <v>0</v>
      </c>
      <c r="AX30" s="408">
        <f t="shared" si="15"/>
        <v>0</v>
      </c>
      <c r="AY30" s="742">
        <f t="shared" si="16"/>
        <v>0</v>
      </c>
      <c r="AZ30" s="707"/>
      <c r="BA30" s="707"/>
      <c r="BB30" s="707"/>
      <c r="BC30" s="707"/>
    </row>
    <row r="31" spans="3:55" s="46" customFormat="1" ht="30.75" customHeight="1" collapsed="1" thickBot="1">
      <c r="C31" s="796">
        <v>15</v>
      </c>
      <c r="D31" s="708"/>
      <c r="E31" s="795"/>
      <c r="F31" s="791"/>
      <c r="G31" s="1963"/>
      <c r="H31" s="1964"/>
      <c r="I31" s="700"/>
      <c r="J31" s="746"/>
      <c r="K31" s="701"/>
      <c r="L31" s="702"/>
      <c r="M31" s="702"/>
      <c r="N31" s="702"/>
      <c r="O31" s="702"/>
      <c r="P31" s="702"/>
      <c r="Q31" s="876"/>
      <c r="R31" s="1039"/>
      <c r="S31" s="1074"/>
      <c r="T31" s="703"/>
      <c r="U31" s="747"/>
      <c r="V31" s="748"/>
      <c r="W31" s="738"/>
      <c r="X31" s="797"/>
      <c r="Y31" s="798"/>
      <c r="Z31" s="794"/>
      <c r="AA31" s="705">
        <f t="shared" si="3"/>
        <v>0</v>
      </c>
      <c r="AB31" s="705">
        <f t="shared" si="18"/>
        <v>0</v>
      </c>
      <c r="AC31" s="705">
        <f t="shared" si="19"/>
        <v>0</v>
      </c>
      <c r="AD31" s="705">
        <f>IF(AA31=0,,VLOOKUP(AA31,リスト!DH:DI,2,0))</f>
        <v>0</v>
      </c>
      <c r="AE31" s="705">
        <f t="shared" si="4"/>
        <v>0</v>
      </c>
      <c r="AF31" s="706">
        <f>IF(AE31=0,,VLOOKUP(AE31,リスト!DK:DL,2,0))</f>
        <v>0</v>
      </c>
      <c r="AG31" s="705">
        <f>IF(AA31=0,,
IF(OR(リスト!$C$21="小麦",リスト!$C$21="二条大麦",リスト!$C$21="六条大麦",リスト!$C$21="はだか麦",リスト!$C$21="なたね"),IF(K31&lt;9,調査年-J31,調査年-J31-1),
IF(リスト!$C$21="さとうきび",IF(K31&gt;=4,調査年-J31,調査年-J31+1),
調査年-J31)))</f>
        <v>0</v>
      </c>
      <c r="AH31" s="408">
        <f t="shared" si="5"/>
        <v>0</v>
      </c>
      <c r="AI31" s="408">
        <f t="shared" si="6"/>
        <v>0</v>
      </c>
      <c r="AJ31" s="408">
        <f t="shared" si="7"/>
        <v>0</v>
      </c>
      <c r="AK31" s="408">
        <f t="shared" si="8"/>
        <v>0</v>
      </c>
      <c r="AL31" s="408">
        <f t="shared" si="9"/>
        <v>0</v>
      </c>
      <c r="AM31" s="408">
        <f t="shared" si="17"/>
        <v>0</v>
      </c>
      <c r="AN31" s="417"/>
      <c r="AO31" s="408">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408">
        <f t="shared" si="10"/>
        <v>0</v>
      </c>
      <c r="AQ31" s="408">
        <f t="shared" si="11"/>
        <v>0</v>
      </c>
      <c r="AR31" s="408">
        <f t="shared" si="12"/>
        <v>0</v>
      </c>
      <c r="AS31" s="408">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408">
        <f t="shared" si="13"/>
        <v>0</v>
      </c>
      <c r="AU31" s="408">
        <f t="shared" si="14"/>
        <v>0</v>
      </c>
      <c r="AV31" s="408">
        <f t="shared" si="15"/>
        <v>0</v>
      </c>
      <c r="AW31" s="408">
        <f t="shared" si="15"/>
        <v>0</v>
      </c>
      <c r="AX31" s="408">
        <f t="shared" si="15"/>
        <v>0</v>
      </c>
      <c r="AY31" s="742">
        <f t="shared" si="16"/>
        <v>0</v>
      </c>
      <c r="AZ31" s="707"/>
      <c r="BA31" s="707"/>
      <c r="BB31" s="707"/>
      <c r="BC31" s="707"/>
    </row>
    <row r="32" spans="3:55" s="46" customFormat="1" ht="30.75" hidden="1" customHeight="1" outlineLevel="1">
      <c r="C32" s="796">
        <v>16</v>
      </c>
      <c r="D32" s="708"/>
      <c r="E32" s="795"/>
      <c r="F32" s="791"/>
      <c r="G32" s="1963"/>
      <c r="H32" s="1964"/>
      <c r="I32" s="700"/>
      <c r="J32" s="746"/>
      <c r="K32" s="701"/>
      <c r="L32" s="702"/>
      <c r="M32" s="702"/>
      <c r="N32" s="702"/>
      <c r="O32" s="702"/>
      <c r="P32" s="702"/>
      <c r="Q32" s="876"/>
      <c r="R32" s="1039"/>
      <c r="S32" s="1074"/>
      <c r="T32" s="703"/>
      <c r="U32" s="747"/>
      <c r="V32" s="748"/>
      <c r="W32" s="738"/>
      <c r="X32" s="797"/>
      <c r="Y32" s="798"/>
      <c r="Z32" s="794"/>
      <c r="AA32" s="705">
        <f t="shared" si="3"/>
        <v>0</v>
      </c>
      <c r="AB32" s="705">
        <f t="shared" si="18"/>
        <v>0</v>
      </c>
      <c r="AC32" s="705">
        <f t="shared" si="19"/>
        <v>0</v>
      </c>
      <c r="AD32" s="705">
        <f>IF(AA32=0,,VLOOKUP(AA32,リスト!DH:DI,2,0))</f>
        <v>0</v>
      </c>
      <c r="AE32" s="705">
        <f t="shared" si="4"/>
        <v>0</v>
      </c>
      <c r="AF32" s="706">
        <f>IF(AE32=0,,VLOOKUP(AE32,リスト!DK:DL,2,0))</f>
        <v>0</v>
      </c>
      <c r="AG32" s="705">
        <f>IF(AA32=0,,
IF(OR(リスト!$C$21="小麦",リスト!$C$21="二条大麦",リスト!$C$21="六条大麦",リスト!$C$21="はだか麦",リスト!$C$21="なたね"),IF(K32&lt;9,調査年-J32,調査年-J32-1),
IF(リスト!$C$21="さとうきび",IF(K32&gt;=4,調査年-J32,調査年-J32+1),
調査年-J32)))</f>
        <v>0</v>
      </c>
      <c r="AH32" s="408">
        <f t="shared" si="5"/>
        <v>0</v>
      </c>
      <c r="AI32" s="408">
        <f t="shared" si="6"/>
        <v>0</v>
      </c>
      <c r="AJ32" s="408">
        <f t="shared" si="7"/>
        <v>0</v>
      </c>
      <c r="AK32" s="408">
        <f t="shared" si="8"/>
        <v>0</v>
      </c>
      <c r="AL32" s="408">
        <f t="shared" si="9"/>
        <v>0</v>
      </c>
      <c r="AM32" s="408">
        <f t="shared" si="17"/>
        <v>0</v>
      </c>
      <c r="AN32" s="417"/>
      <c r="AO32" s="408">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408">
        <f t="shared" si="10"/>
        <v>0</v>
      </c>
      <c r="AQ32" s="408">
        <f t="shared" si="11"/>
        <v>0</v>
      </c>
      <c r="AR32" s="408">
        <f t="shared" si="12"/>
        <v>0</v>
      </c>
      <c r="AS32" s="408">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408">
        <f t="shared" si="13"/>
        <v>0</v>
      </c>
      <c r="AU32" s="408">
        <f t="shared" si="14"/>
        <v>0</v>
      </c>
      <c r="AV32" s="408">
        <f t="shared" si="15"/>
        <v>0</v>
      </c>
      <c r="AW32" s="408">
        <f t="shared" si="15"/>
        <v>0</v>
      </c>
      <c r="AX32" s="408">
        <f t="shared" si="15"/>
        <v>0</v>
      </c>
      <c r="AY32" s="742">
        <f t="shared" si="16"/>
        <v>0</v>
      </c>
      <c r="AZ32" s="707"/>
      <c r="BA32" s="707"/>
      <c r="BB32" s="707"/>
      <c r="BC32" s="707"/>
    </row>
    <row r="33" spans="3:55" s="46" customFormat="1" ht="30.75" hidden="1" customHeight="1" outlineLevel="1">
      <c r="C33" s="761">
        <v>17</v>
      </c>
      <c r="D33" s="708"/>
      <c r="E33" s="795"/>
      <c r="F33" s="791"/>
      <c r="G33" s="1963"/>
      <c r="H33" s="1964"/>
      <c r="I33" s="700"/>
      <c r="J33" s="746"/>
      <c r="K33" s="701"/>
      <c r="L33" s="702"/>
      <c r="M33" s="702"/>
      <c r="N33" s="702"/>
      <c r="O33" s="702"/>
      <c r="P33" s="702"/>
      <c r="Q33" s="876"/>
      <c r="R33" s="1039"/>
      <c r="S33" s="1074"/>
      <c r="T33" s="703"/>
      <c r="U33" s="747"/>
      <c r="V33" s="748"/>
      <c r="W33" s="738"/>
      <c r="X33" s="797"/>
      <c r="Y33" s="798"/>
      <c r="Z33" s="794"/>
      <c r="AA33" s="705">
        <f t="shared" si="3"/>
        <v>0</v>
      </c>
      <c r="AB33" s="705">
        <f t="shared" si="18"/>
        <v>0</v>
      </c>
      <c r="AC33" s="705">
        <f t="shared" si="19"/>
        <v>0</v>
      </c>
      <c r="AD33" s="705">
        <f>IF(AA33=0,,VLOOKUP(AA33,リスト!DH:DI,2,0))</f>
        <v>0</v>
      </c>
      <c r="AE33" s="705">
        <f t="shared" si="4"/>
        <v>0</v>
      </c>
      <c r="AF33" s="706">
        <f>IF(AE33=0,,VLOOKUP(AE33,リスト!DK:DL,2,0))</f>
        <v>0</v>
      </c>
      <c r="AG33" s="705">
        <f>IF(AA33=0,,
IF(OR(リスト!$C$21="小麦",リスト!$C$21="二条大麦",リスト!$C$21="六条大麦",リスト!$C$21="はだか麦",リスト!$C$21="なたね"),IF(K33&lt;9,調査年-J33,調査年-J33-1),
IF(リスト!$C$21="さとうきび",IF(K33&gt;=4,調査年-J33,調査年-J33+1),
調査年-J33)))</f>
        <v>0</v>
      </c>
      <c r="AH33" s="408">
        <f t="shared" si="5"/>
        <v>0</v>
      </c>
      <c r="AI33" s="408">
        <f t="shared" si="6"/>
        <v>0</v>
      </c>
      <c r="AJ33" s="408">
        <f t="shared" si="7"/>
        <v>0</v>
      </c>
      <c r="AK33" s="408">
        <f t="shared" si="8"/>
        <v>0</v>
      </c>
      <c r="AL33" s="408">
        <f t="shared" si="9"/>
        <v>0</v>
      </c>
      <c r="AM33" s="408">
        <f t="shared" si="17"/>
        <v>0</v>
      </c>
      <c r="AN33" s="417"/>
      <c r="AO33" s="408">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408">
        <f t="shared" si="10"/>
        <v>0</v>
      </c>
      <c r="AQ33" s="408">
        <f t="shared" si="11"/>
        <v>0</v>
      </c>
      <c r="AR33" s="408">
        <f t="shared" si="12"/>
        <v>0</v>
      </c>
      <c r="AS33" s="408">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408">
        <f t="shared" si="13"/>
        <v>0</v>
      </c>
      <c r="AU33" s="408">
        <f t="shared" si="14"/>
        <v>0</v>
      </c>
      <c r="AV33" s="408">
        <f t="shared" si="15"/>
        <v>0</v>
      </c>
      <c r="AW33" s="408">
        <f t="shared" si="15"/>
        <v>0</v>
      </c>
      <c r="AX33" s="408">
        <f t="shared" si="15"/>
        <v>0</v>
      </c>
      <c r="AY33" s="742">
        <f t="shared" si="16"/>
        <v>0</v>
      </c>
      <c r="AZ33" s="707"/>
      <c r="BA33" s="707"/>
      <c r="BB33" s="707"/>
      <c r="BC33" s="707"/>
    </row>
    <row r="34" spans="3:55" s="46" customFormat="1" ht="30.75" hidden="1" customHeight="1" outlineLevel="1">
      <c r="C34" s="761">
        <v>18</v>
      </c>
      <c r="D34" s="708"/>
      <c r="E34" s="795"/>
      <c r="F34" s="791"/>
      <c r="G34" s="1963"/>
      <c r="H34" s="1964"/>
      <c r="I34" s="700"/>
      <c r="J34" s="746"/>
      <c r="K34" s="701"/>
      <c r="L34" s="702"/>
      <c r="M34" s="702"/>
      <c r="N34" s="702"/>
      <c r="O34" s="702"/>
      <c r="P34" s="702"/>
      <c r="Q34" s="876"/>
      <c r="R34" s="1039"/>
      <c r="S34" s="1074"/>
      <c r="T34" s="703"/>
      <c r="U34" s="747"/>
      <c r="V34" s="748"/>
      <c r="W34" s="738"/>
      <c r="X34" s="797"/>
      <c r="Y34" s="798"/>
      <c r="Z34" s="794"/>
      <c r="AA34" s="705">
        <f t="shared" si="3"/>
        <v>0</v>
      </c>
      <c r="AB34" s="705">
        <f t="shared" si="18"/>
        <v>0</v>
      </c>
      <c r="AC34" s="705">
        <f t="shared" si="19"/>
        <v>0</v>
      </c>
      <c r="AD34" s="705">
        <f>IF(AA34=0,,VLOOKUP(AA34,リスト!DH:DI,2,0))</f>
        <v>0</v>
      </c>
      <c r="AE34" s="705">
        <f t="shared" si="4"/>
        <v>0</v>
      </c>
      <c r="AF34" s="706">
        <f>IF(AE34=0,,VLOOKUP(AE34,リスト!DK:DL,2,0))</f>
        <v>0</v>
      </c>
      <c r="AG34" s="705">
        <f>IF(AA34=0,,
IF(OR(リスト!$C$21="小麦",リスト!$C$21="二条大麦",リスト!$C$21="六条大麦",リスト!$C$21="はだか麦",リスト!$C$21="なたね"),IF(K34&lt;9,調査年-J34,調査年-J34-1),
IF(リスト!$C$21="さとうきび",IF(K34&gt;=4,調査年-J34,調査年-J34+1),
調査年-J34)))</f>
        <v>0</v>
      </c>
      <c r="AH34" s="408">
        <f t="shared" si="5"/>
        <v>0</v>
      </c>
      <c r="AI34" s="408">
        <f t="shared" si="6"/>
        <v>0</v>
      </c>
      <c r="AJ34" s="408">
        <f t="shared" si="7"/>
        <v>0</v>
      </c>
      <c r="AK34" s="408">
        <f t="shared" si="8"/>
        <v>0</v>
      </c>
      <c r="AL34" s="408">
        <f t="shared" si="9"/>
        <v>0</v>
      </c>
      <c r="AM34" s="408">
        <f t="shared" si="17"/>
        <v>0</v>
      </c>
      <c r="AN34" s="417"/>
      <c r="AO34" s="408">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408">
        <f t="shared" si="10"/>
        <v>0</v>
      </c>
      <c r="AQ34" s="408">
        <f t="shared" si="11"/>
        <v>0</v>
      </c>
      <c r="AR34" s="408">
        <f t="shared" si="12"/>
        <v>0</v>
      </c>
      <c r="AS34" s="408">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408">
        <f t="shared" si="13"/>
        <v>0</v>
      </c>
      <c r="AU34" s="408">
        <f t="shared" si="14"/>
        <v>0</v>
      </c>
      <c r="AV34" s="408">
        <f t="shared" si="15"/>
        <v>0</v>
      </c>
      <c r="AW34" s="408">
        <f t="shared" si="15"/>
        <v>0</v>
      </c>
      <c r="AX34" s="408">
        <f t="shared" si="15"/>
        <v>0</v>
      </c>
      <c r="AY34" s="742">
        <f t="shared" si="16"/>
        <v>0</v>
      </c>
      <c r="AZ34" s="707"/>
      <c r="BA34" s="707"/>
      <c r="BB34" s="707"/>
      <c r="BC34" s="707"/>
    </row>
    <row r="35" spans="3:55" s="46" customFormat="1" ht="30.75" hidden="1" customHeight="1" outlineLevel="1">
      <c r="C35" s="761">
        <v>19</v>
      </c>
      <c r="D35" s="708"/>
      <c r="E35" s="795"/>
      <c r="F35" s="791"/>
      <c r="G35" s="1963"/>
      <c r="H35" s="1964"/>
      <c r="I35" s="700"/>
      <c r="J35" s="746"/>
      <c r="K35" s="701"/>
      <c r="L35" s="702"/>
      <c r="M35" s="702"/>
      <c r="N35" s="702"/>
      <c r="O35" s="702"/>
      <c r="P35" s="702"/>
      <c r="Q35" s="876"/>
      <c r="R35" s="1039"/>
      <c r="S35" s="1074"/>
      <c r="T35" s="703"/>
      <c r="U35" s="747"/>
      <c r="V35" s="748"/>
      <c r="W35" s="738"/>
      <c r="X35" s="797"/>
      <c r="Y35" s="798"/>
      <c r="Z35" s="794"/>
      <c r="AA35" s="705">
        <f t="shared" si="3"/>
        <v>0</v>
      </c>
      <c r="AB35" s="705">
        <f t="shared" si="18"/>
        <v>0</v>
      </c>
      <c r="AC35" s="705">
        <f t="shared" si="19"/>
        <v>0</v>
      </c>
      <c r="AD35" s="705">
        <f>IF(AA35=0,,VLOOKUP(AA35,リスト!DH:DI,2,0))</f>
        <v>0</v>
      </c>
      <c r="AE35" s="705">
        <f t="shared" si="4"/>
        <v>0</v>
      </c>
      <c r="AF35" s="706">
        <f>IF(AE35=0,,VLOOKUP(AE35,リスト!DK:DL,2,0))</f>
        <v>0</v>
      </c>
      <c r="AG35" s="705">
        <f>IF(AA35=0,,
IF(OR(リスト!$C$21="小麦",リスト!$C$21="二条大麦",リスト!$C$21="六条大麦",リスト!$C$21="はだか麦",リスト!$C$21="なたね"),IF(K35&lt;9,調査年-J35,調査年-J35-1),
IF(リスト!$C$21="さとうきび",IF(K35&gt;=4,調査年-J35,調査年-J35+1),
調査年-J35)))</f>
        <v>0</v>
      </c>
      <c r="AH35" s="408">
        <f t="shared" si="5"/>
        <v>0</v>
      </c>
      <c r="AI35" s="408">
        <f t="shared" si="6"/>
        <v>0</v>
      </c>
      <c r="AJ35" s="408">
        <f t="shared" si="7"/>
        <v>0</v>
      </c>
      <c r="AK35" s="408">
        <f t="shared" si="8"/>
        <v>0</v>
      </c>
      <c r="AL35" s="408">
        <f t="shared" si="9"/>
        <v>0</v>
      </c>
      <c r="AM35" s="408">
        <f t="shared" si="17"/>
        <v>0</v>
      </c>
      <c r="AN35" s="417"/>
      <c r="AO35" s="408">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408">
        <f t="shared" si="10"/>
        <v>0</v>
      </c>
      <c r="AQ35" s="408">
        <f t="shared" si="11"/>
        <v>0</v>
      </c>
      <c r="AR35" s="408">
        <f t="shared" si="12"/>
        <v>0</v>
      </c>
      <c r="AS35" s="408">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408">
        <f t="shared" si="13"/>
        <v>0</v>
      </c>
      <c r="AU35" s="408">
        <f t="shared" si="14"/>
        <v>0</v>
      </c>
      <c r="AV35" s="408">
        <f t="shared" si="15"/>
        <v>0</v>
      </c>
      <c r="AW35" s="408">
        <f t="shared" si="15"/>
        <v>0</v>
      </c>
      <c r="AX35" s="408">
        <f t="shared" si="15"/>
        <v>0</v>
      </c>
      <c r="AY35" s="742">
        <f t="shared" si="16"/>
        <v>0</v>
      </c>
      <c r="AZ35" s="707"/>
      <c r="BA35" s="707"/>
      <c r="BB35" s="707"/>
      <c r="BC35" s="707"/>
    </row>
    <row r="36" spans="3:55" s="46" customFormat="1" ht="30.75" hidden="1" customHeight="1" outlineLevel="1">
      <c r="C36" s="761">
        <v>20</v>
      </c>
      <c r="D36" s="708"/>
      <c r="E36" s="795"/>
      <c r="F36" s="791"/>
      <c r="G36" s="1963"/>
      <c r="H36" s="1964"/>
      <c r="I36" s="700"/>
      <c r="J36" s="746"/>
      <c r="K36" s="701"/>
      <c r="L36" s="702"/>
      <c r="M36" s="702"/>
      <c r="N36" s="702"/>
      <c r="O36" s="702"/>
      <c r="P36" s="702"/>
      <c r="Q36" s="876"/>
      <c r="R36" s="1039"/>
      <c r="S36" s="1074"/>
      <c r="T36" s="703"/>
      <c r="U36" s="747"/>
      <c r="V36" s="748"/>
      <c r="W36" s="738"/>
      <c r="X36" s="797"/>
      <c r="Y36" s="798"/>
      <c r="Z36" s="794"/>
      <c r="AA36" s="705">
        <f t="shared" si="3"/>
        <v>0</v>
      </c>
      <c r="AB36" s="705">
        <f t="shared" si="18"/>
        <v>0</v>
      </c>
      <c r="AC36" s="705">
        <f t="shared" si="19"/>
        <v>0</v>
      </c>
      <c r="AD36" s="705">
        <f>IF(AA36=0,,VLOOKUP(AA36,リスト!DH:DI,2,0))</f>
        <v>0</v>
      </c>
      <c r="AE36" s="705">
        <f t="shared" si="4"/>
        <v>0</v>
      </c>
      <c r="AF36" s="706">
        <f>IF(AE36=0,,VLOOKUP(AE36,リスト!DK:DL,2,0))</f>
        <v>0</v>
      </c>
      <c r="AG36" s="705">
        <f>IF(AA36=0,,
IF(OR(リスト!$C$21="小麦",リスト!$C$21="二条大麦",リスト!$C$21="六条大麦",リスト!$C$21="はだか麦",リスト!$C$21="なたね"),IF(K36&lt;9,調査年-J36,調査年-J36-1),
IF(リスト!$C$21="さとうきび",IF(K36&gt;=4,調査年-J36,調査年-J36+1),
調査年-J36)))</f>
        <v>0</v>
      </c>
      <c r="AH36" s="408">
        <f t="shared" si="5"/>
        <v>0</v>
      </c>
      <c r="AI36" s="408">
        <f t="shared" si="6"/>
        <v>0</v>
      </c>
      <c r="AJ36" s="408">
        <f t="shared" si="7"/>
        <v>0</v>
      </c>
      <c r="AK36" s="408">
        <f t="shared" si="8"/>
        <v>0</v>
      </c>
      <c r="AL36" s="408">
        <f t="shared" si="9"/>
        <v>0</v>
      </c>
      <c r="AM36" s="408">
        <f t="shared" si="17"/>
        <v>0</v>
      </c>
      <c r="AN36" s="417"/>
      <c r="AO36" s="408">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408">
        <f t="shared" si="10"/>
        <v>0</v>
      </c>
      <c r="AQ36" s="408">
        <f t="shared" si="11"/>
        <v>0</v>
      </c>
      <c r="AR36" s="408">
        <f t="shared" si="12"/>
        <v>0</v>
      </c>
      <c r="AS36" s="408">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408">
        <f t="shared" si="13"/>
        <v>0</v>
      </c>
      <c r="AU36" s="408">
        <f t="shared" si="14"/>
        <v>0</v>
      </c>
      <c r="AV36" s="408">
        <f t="shared" si="15"/>
        <v>0</v>
      </c>
      <c r="AW36" s="408">
        <f t="shared" si="15"/>
        <v>0</v>
      </c>
      <c r="AX36" s="408">
        <f t="shared" si="15"/>
        <v>0</v>
      </c>
      <c r="AY36" s="742">
        <f t="shared" si="16"/>
        <v>0</v>
      </c>
      <c r="AZ36" s="707"/>
      <c r="BA36" s="707"/>
      <c r="BB36" s="707"/>
      <c r="BC36" s="707"/>
    </row>
    <row r="37" spans="3:55" s="46" customFormat="1" ht="30.75" hidden="1" customHeight="1" outlineLevel="1">
      <c r="C37" s="761">
        <v>21</v>
      </c>
      <c r="D37" s="708"/>
      <c r="E37" s="795"/>
      <c r="F37" s="791"/>
      <c r="G37" s="1963"/>
      <c r="H37" s="1964"/>
      <c r="I37" s="700"/>
      <c r="J37" s="746"/>
      <c r="K37" s="701"/>
      <c r="L37" s="702"/>
      <c r="M37" s="702"/>
      <c r="N37" s="702"/>
      <c r="O37" s="702"/>
      <c r="P37" s="702"/>
      <c r="Q37" s="876"/>
      <c r="R37" s="1039"/>
      <c r="S37" s="1074"/>
      <c r="T37" s="703"/>
      <c r="U37" s="747"/>
      <c r="V37" s="748"/>
      <c r="W37" s="738"/>
      <c r="X37" s="797"/>
      <c r="Y37" s="798"/>
      <c r="Z37" s="794"/>
      <c r="AA37" s="705">
        <f t="shared" si="3"/>
        <v>0</v>
      </c>
      <c r="AB37" s="705">
        <f t="shared" si="18"/>
        <v>0</v>
      </c>
      <c r="AC37" s="705">
        <f t="shared" si="19"/>
        <v>0</v>
      </c>
      <c r="AD37" s="705">
        <f>IF(AA37=0,,VLOOKUP(AA37,リスト!DH:DI,2,0))</f>
        <v>0</v>
      </c>
      <c r="AE37" s="705">
        <f t="shared" si="4"/>
        <v>0</v>
      </c>
      <c r="AF37" s="706">
        <f>IF(AE37=0,,VLOOKUP(AE37,リスト!DK:DL,2,0))</f>
        <v>0</v>
      </c>
      <c r="AG37" s="705">
        <f>IF(AA37=0,,
IF(OR(リスト!$C$21="小麦",リスト!$C$21="二条大麦",リスト!$C$21="六条大麦",リスト!$C$21="はだか麦",リスト!$C$21="なたね"),IF(K37&lt;9,調査年-J37,調査年-J37-1),
IF(リスト!$C$21="さとうきび",IF(K37&gt;=4,調査年-J37,調査年-J37+1),
調査年-J37)))</f>
        <v>0</v>
      </c>
      <c r="AH37" s="408">
        <f t="shared" si="5"/>
        <v>0</v>
      </c>
      <c r="AI37" s="408">
        <f t="shared" si="6"/>
        <v>0</v>
      </c>
      <c r="AJ37" s="408">
        <f t="shared" si="7"/>
        <v>0</v>
      </c>
      <c r="AK37" s="408">
        <f t="shared" si="8"/>
        <v>0</v>
      </c>
      <c r="AL37" s="408">
        <f t="shared" si="9"/>
        <v>0</v>
      </c>
      <c r="AM37" s="408">
        <f t="shared" si="17"/>
        <v>0</v>
      </c>
      <c r="AN37" s="417"/>
      <c r="AO37" s="408">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408">
        <f t="shared" si="10"/>
        <v>0</v>
      </c>
      <c r="AQ37" s="408">
        <f t="shared" si="11"/>
        <v>0</v>
      </c>
      <c r="AR37" s="408">
        <f t="shared" si="12"/>
        <v>0</v>
      </c>
      <c r="AS37" s="408">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408">
        <f t="shared" si="13"/>
        <v>0</v>
      </c>
      <c r="AU37" s="408">
        <f t="shared" si="14"/>
        <v>0</v>
      </c>
      <c r="AV37" s="408">
        <f t="shared" si="15"/>
        <v>0</v>
      </c>
      <c r="AW37" s="408">
        <f t="shared" si="15"/>
        <v>0</v>
      </c>
      <c r="AX37" s="408">
        <f t="shared" si="15"/>
        <v>0</v>
      </c>
      <c r="AY37" s="742">
        <f t="shared" si="16"/>
        <v>0</v>
      </c>
      <c r="AZ37" s="707"/>
      <c r="BA37" s="707"/>
      <c r="BB37" s="707"/>
      <c r="BC37" s="707"/>
    </row>
    <row r="38" spans="3:55" s="46" customFormat="1" ht="30.75" hidden="1" customHeight="1" outlineLevel="1">
      <c r="C38" s="761">
        <v>22</v>
      </c>
      <c r="D38" s="708"/>
      <c r="E38" s="795"/>
      <c r="F38" s="791"/>
      <c r="G38" s="1963"/>
      <c r="H38" s="1964"/>
      <c r="I38" s="700"/>
      <c r="J38" s="746"/>
      <c r="K38" s="701"/>
      <c r="L38" s="702"/>
      <c r="M38" s="702"/>
      <c r="N38" s="702"/>
      <c r="O38" s="702"/>
      <c r="P38" s="702"/>
      <c r="Q38" s="876"/>
      <c r="R38" s="1039"/>
      <c r="S38" s="1074"/>
      <c r="T38" s="703"/>
      <c r="U38" s="747"/>
      <c r="V38" s="748"/>
      <c r="W38" s="738"/>
      <c r="X38" s="797"/>
      <c r="Y38" s="798"/>
      <c r="Z38" s="794"/>
      <c r="AA38" s="705">
        <f t="shared" si="3"/>
        <v>0</v>
      </c>
      <c r="AB38" s="705">
        <f t="shared" si="18"/>
        <v>0</v>
      </c>
      <c r="AC38" s="705">
        <f t="shared" si="19"/>
        <v>0</v>
      </c>
      <c r="AD38" s="705">
        <f>IF(AA38=0,,VLOOKUP(AA38,リスト!DH:DI,2,0))</f>
        <v>0</v>
      </c>
      <c r="AE38" s="705">
        <f t="shared" si="4"/>
        <v>0</v>
      </c>
      <c r="AF38" s="706">
        <f>IF(AE38=0,,VLOOKUP(AE38,リスト!DK:DL,2,0))</f>
        <v>0</v>
      </c>
      <c r="AG38" s="705">
        <f>IF(AA38=0,,
IF(OR(リスト!$C$21="小麦",リスト!$C$21="二条大麦",リスト!$C$21="六条大麦",リスト!$C$21="はだか麦",リスト!$C$21="なたね"),IF(K38&lt;9,調査年-J38,調査年-J38-1),
IF(リスト!$C$21="さとうきび",IF(K38&gt;=4,調査年-J38,調査年-J38+1),
調査年-J38)))</f>
        <v>0</v>
      </c>
      <c r="AH38" s="408">
        <f t="shared" si="5"/>
        <v>0</v>
      </c>
      <c r="AI38" s="408">
        <f t="shared" si="6"/>
        <v>0</v>
      </c>
      <c r="AJ38" s="408">
        <f t="shared" si="7"/>
        <v>0</v>
      </c>
      <c r="AK38" s="408">
        <f t="shared" si="8"/>
        <v>0</v>
      </c>
      <c r="AL38" s="408">
        <f t="shared" si="9"/>
        <v>0</v>
      </c>
      <c r="AM38" s="408">
        <f t="shared" si="17"/>
        <v>0</v>
      </c>
      <c r="AN38" s="417"/>
      <c r="AO38" s="408">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408">
        <f t="shared" si="10"/>
        <v>0</v>
      </c>
      <c r="AQ38" s="408">
        <f t="shared" si="11"/>
        <v>0</v>
      </c>
      <c r="AR38" s="408">
        <f t="shared" si="12"/>
        <v>0</v>
      </c>
      <c r="AS38" s="408">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408">
        <f t="shared" si="13"/>
        <v>0</v>
      </c>
      <c r="AU38" s="408">
        <f t="shared" si="14"/>
        <v>0</v>
      </c>
      <c r="AV38" s="408">
        <f t="shared" si="15"/>
        <v>0</v>
      </c>
      <c r="AW38" s="408">
        <f t="shared" si="15"/>
        <v>0</v>
      </c>
      <c r="AX38" s="408">
        <f t="shared" si="15"/>
        <v>0</v>
      </c>
      <c r="AY38" s="742">
        <f t="shared" si="16"/>
        <v>0</v>
      </c>
      <c r="AZ38" s="707"/>
      <c r="BA38" s="707"/>
      <c r="BB38" s="707"/>
      <c r="BC38" s="707"/>
    </row>
    <row r="39" spans="3:55" s="46" customFormat="1" ht="30.75" hidden="1" customHeight="1" outlineLevel="1">
      <c r="C39" s="761">
        <v>23</v>
      </c>
      <c r="D39" s="708"/>
      <c r="E39" s="795"/>
      <c r="F39" s="791"/>
      <c r="G39" s="1963"/>
      <c r="H39" s="1964"/>
      <c r="I39" s="700"/>
      <c r="J39" s="746"/>
      <c r="K39" s="701"/>
      <c r="L39" s="702"/>
      <c r="M39" s="702"/>
      <c r="N39" s="702"/>
      <c r="O39" s="702"/>
      <c r="P39" s="702"/>
      <c r="Q39" s="876"/>
      <c r="R39" s="1039"/>
      <c r="S39" s="1074"/>
      <c r="T39" s="703"/>
      <c r="U39" s="747"/>
      <c r="V39" s="748"/>
      <c r="W39" s="738"/>
      <c r="X39" s="797"/>
      <c r="Y39" s="798"/>
      <c r="Z39" s="794"/>
      <c r="AA39" s="705">
        <f t="shared" si="3"/>
        <v>0</v>
      </c>
      <c r="AB39" s="705">
        <f t="shared" si="18"/>
        <v>0</v>
      </c>
      <c r="AC39" s="705">
        <f t="shared" si="19"/>
        <v>0</v>
      </c>
      <c r="AD39" s="705">
        <f>IF(AA39=0,,VLOOKUP(AA39,リスト!DH:DI,2,0))</f>
        <v>0</v>
      </c>
      <c r="AE39" s="705">
        <f t="shared" si="4"/>
        <v>0</v>
      </c>
      <c r="AF39" s="706">
        <f>IF(AE39=0,,VLOOKUP(AE39,リスト!DK:DL,2,0))</f>
        <v>0</v>
      </c>
      <c r="AG39" s="705">
        <f>IF(AA39=0,,
IF(OR(リスト!$C$21="小麦",リスト!$C$21="二条大麦",リスト!$C$21="六条大麦",リスト!$C$21="はだか麦",リスト!$C$21="なたね"),IF(K39&lt;9,調査年-J39,調査年-J39-1),
IF(リスト!$C$21="さとうきび",IF(K39&gt;=4,調査年-J39,調査年-J39+1),
調査年-J39)))</f>
        <v>0</v>
      </c>
      <c r="AH39" s="408">
        <f t="shared" si="5"/>
        <v>0</v>
      </c>
      <c r="AI39" s="408">
        <f t="shared" si="6"/>
        <v>0</v>
      </c>
      <c r="AJ39" s="408">
        <f t="shared" si="7"/>
        <v>0</v>
      </c>
      <c r="AK39" s="408">
        <f t="shared" si="8"/>
        <v>0</v>
      </c>
      <c r="AL39" s="408">
        <f t="shared" si="9"/>
        <v>0</v>
      </c>
      <c r="AM39" s="408">
        <f t="shared" si="17"/>
        <v>0</v>
      </c>
      <c r="AN39" s="417"/>
      <c r="AO39" s="408">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408">
        <f t="shared" si="10"/>
        <v>0</v>
      </c>
      <c r="AQ39" s="408">
        <f t="shared" si="11"/>
        <v>0</v>
      </c>
      <c r="AR39" s="408">
        <f t="shared" si="12"/>
        <v>0</v>
      </c>
      <c r="AS39" s="408">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408">
        <f t="shared" si="13"/>
        <v>0</v>
      </c>
      <c r="AU39" s="408">
        <f t="shared" si="14"/>
        <v>0</v>
      </c>
      <c r="AV39" s="408">
        <f t="shared" si="15"/>
        <v>0</v>
      </c>
      <c r="AW39" s="408">
        <f t="shared" si="15"/>
        <v>0</v>
      </c>
      <c r="AX39" s="408">
        <f t="shared" si="15"/>
        <v>0</v>
      </c>
      <c r="AY39" s="742">
        <f t="shared" si="16"/>
        <v>0</v>
      </c>
      <c r="AZ39" s="707"/>
      <c r="BA39" s="707"/>
      <c r="BB39" s="707"/>
      <c r="BC39" s="707"/>
    </row>
    <row r="40" spans="3:55" s="46" customFormat="1" ht="30.75" hidden="1" customHeight="1" outlineLevel="1">
      <c r="C40" s="761">
        <v>24</v>
      </c>
      <c r="D40" s="708"/>
      <c r="E40" s="795"/>
      <c r="F40" s="791"/>
      <c r="G40" s="1963"/>
      <c r="H40" s="1964"/>
      <c r="I40" s="700"/>
      <c r="J40" s="746"/>
      <c r="K40" s="701"/>
      <c r="L40" s="702"/>
      <c r="M40" s="702"/>
      <c r="N40" s="702"/>
      <c r="O40" s="702"/>
      <c r="P40" s="702"/>
      <c r="Q40" s="876"/>
      <c r="R40" s="1039"/>
      <c r="S40" s="1074"/>
      <c r="T40" s="703"/>
      <c r="U40" s="747"/>
      <c r="V40" s="748"/>
      <c r="W40" s="738"/>
      <c r="X40" s="797"/>
      <c r="Y40" s="798"/>
      <c r="Z40" s="794"/>
      <c r="AA40" s="705">
        <f t="shared" si="3"/>
        <v>0</v>
      </c>
      <c r="AB40" s="705">
        <f t="shared" si="18"/>
        <v>0</v>
      </c>
      <c r="AC40" s="705">
        <f t="shared" si="19"/>
        <v>0</v>
      </c>
      <c r="AD40" s="705">
        <f>IF(AA40=0,,VLOOKUP(AA40,リスト!DH:DI,2,0))</f>
        <v>0</v>
      </c>
      <c r="AE40" s="705">
        <f t="shared" si="4"/>
        <v>0</v>
      </c>
      <c r="AF40" s="706">
        <f>IF(AE40=0,,VLOOKUP(AE40,リスト!DK:DL,2,0))</f>
        <v>0</v>
      </c>
      <c r="AG40" s="705">
        <f>IF(AA40=0,,
IF(OR(リスト!$C$21="小麦",リスト!$C$21="二条大麦",リスト!$C$21="六条大麦",リスト!$C$21="はだか麦",リスト!$C$21="なたね"),IF(K40&lt;9,調査年-J40,調査年-J40-1),
IF(リスト!$C$21="さとうきび",IF(K40&gt;=4,調査年-J40,調査年-J40+1),
調査年-J40)))</f>
        <v>0</v>
      </c>
      <c r="AH40" s="408">
        <f t="shared" si="5"/>
        <v>0</v>
      </c>
      <c r="AI40" s="408">
        <f t="shared" si="6"/>
        <v>0</v>
      </c>
      <c r="AJ40" s="408">
        <f t="shared" si="7"/>
        <v>0</v>
      </c>
      <c r="AK40" s="408">
        <f t="shared" si="8"/>
        <v>0</v>
      </c>
      <c r="AL40" s="408">
        <f t="shared" si="9"/>
        <v>0</v>
      </c>
      <c r="AM40" s="408">
        <f t="shared" si="17"/>
        <v>0</v>
      </c>
      <c r="AN40" s="417"/>
      <c r="AO40" s="408">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408">
        <f t="shared" si="10"/>
        <v>0</v>
      </c>
      <c r="AQ40" s="408">
        <f t="shared" si="11"/>
        <v>0</v>
      </c>
      <c r="AR40" s="408">
        <f t="shared" si="12"/>
        <v>0</v>
      </c>
      <c r="AS40" s="408">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408">
        <f t="shared" si="13"/>
        <v>0</v>
      </c>
      <c r="AU40" s="408">
        <f t="shared" si="14"/>
        <v>0</v>
      </c>
      <c r="AV40" s="408">
        <f t="shared" si="15"/>
        <v>0</v>
      </c>
      <c r="AW40" s="408">
        <f t="shared" si="15"/>
        <v>0</v>
      </c>
      <c r="AX40" s="408">
        <f t="shared" si="15"/>
        <v>0</v>
      </c>
      <c r="AY40" s="742">
        <f t="shared" si="16"/>
        <v>0</v>
      </c>
      <c r="AZ40" s="707"/>
      <c r="BA40" s="707"/>
      <c r="BB40" s="707"/>
      <c r="BC40" s="707"/>
    </row>
    <row r="41" spans="3:55" s="46" customFormat="1" ht="30.75" hidden="1" customHeight="1" outlineLevel="1">
      <c r="C41" s="761">
        <v>25</v>
      </c>
      <c r="D41" s="708"/>
      <c r="E41" s="795"/>
      <c r="F41" s="791"/>
      <c r="G41" s="1963"/>
      <c r="H41" s="1964"/>
      <c r="I41" s="700"/>
      <c r="J41" s="746"/>
      <c r="K41" s="701"/>
      <c r="L41" s="702"/>
      <c r="M41" s="702"/>
      <c r="N41" s="702"/>
      <c r="O41" s="702"/>
      <c r="P41" s="702"/>
      <c r="Q41" s="876"/>
      <c r="R41" s="1039"/>
      <c r="S41" s="1074"/>
      <c r="T41" s="703"/>
      <c r="U41" s="747"/>
      <c r="V41" s="748"/>
      <c r="W41" s="738"/>
      <c r="X41" s="797"/>
      <c r="Y41" s="798"/>
      <c r="Z41" s="794"/>
      <c r="AA41" s="705">
        <f t="shared" si="3"/>
        <v>0</v>
      </c>
      <c r="AB41" s="705">
        <f t="shared" si="18"/>
        <v>0</v>
      </c>
      <c r="AC41" s="705">
        <f t="shared" si="19"/>
        <v>0</v>
      </c>
      <c r="AD41" s="705">
        <f>IF(AA41=0,,VLOOKUP(AA41,リスト!DH:DI,2,0))</f>
        <v>0</v>
      </c>
      <c r="AE41" s="705">
        <f t="shared" si="4"/>
        <v>0</v>
      </c>
      <c r="AF41" s="706">
        <f>IF(AE41=0,,VLOOKUP(AE41,リスト!DK:DL,2,0))</f>
        <v>0</v>
      </c>
      <c r="AG41" s="705">
        <f>IF(AA41=0,,
IF(OR(リスト!$C$21="小麦",リスト!$C$21="二条大麦",リスト!$C$21="六条大麦",リスト!$C$21="はだか麦",リスト!$C$21="なたね"),IF(K41&lt;9,調査年-J41,調査年-J41-1),
IF(リスト!$C$21="さとうきび",IF(K41&gt;=4,調査年-J41,調査年-J41+1),
調査年-J41)))</f>
        <v>0</v>
      </c>
      <c r="AH41" s="408">
        <f t="shared" si="5"/>
        <v>0</v>
      </c>
      <c r="AI41" s="408">
        <f t="shared" si="6"/>
        <v>0</v>
      </c>
      <c r="AJ41" s="408">
        <f t="shared" si="7"/>
        <v>0</v>
      </c>
      <c r="AK41" s="408">
        <f t="shared" si="8"/>
        <v>0</v>
      </c>
      <c r="AL41" s="408">
        <f t="shared" si="9"/>
        <v>0</v>
      </c>
      <c r="AM41" s="408">
        <f t="shared" si="17"/>
        <v>0</v>
      </c>
      <c r="AN41" s="417"/>
      <c r="AO41" s="408">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408">
        <f t="shared" si="10"/>
        <v>0</v>
      </c>
      <c r="AQ41" s="408">
        <f t="shared" si="11"/>
        <v>0</v>
      </c>
      <c r="AR41" s="408">
        <f t="shared" si="12"/>
        <v>0</v>
      </c>
      <c r="AS41" s="408">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408">
        <f t="shared" si="13"/>
        <v>0</v>
      </c>
      <c r="AU41" s="408">
        <f t="shared" si="14"/>
        <v>0</v>
      </c>
      <c r="AV41" s="408">
        <f t="shared" si="15"/>
        <v>0</v>
      </c>
      <c r="AW41" s="408">
        <f t="shared" si="15"/>
        <v>0</v>
      </c>
      <c r="AX41" s="408">
        <f t="shared" si="15"/>
        <v>0</v>
      </c>
      <c r="AY41" s="742">
        <f t="shared" si="16"/>
        <v>0</v>
      </c>
      <c r="AZ41" s="707"/>
      <c r="BA41" s="707"/>
      <c r="BB41" s="707"/>
      <c r="BC41" s="707"/>
    </row>
    <row r="42" spans="3:55" s="46" customFormat="1" ht="30.75" hidden="1" customHeight="1" outlineLevel="1">
      <c r="C42" s="761">
        <v>26</v>
      </c>
      <c r="D42" s="708"/>
      <c r="E42" s="795"/>
      <c r="F42" s="791"/>
      <c r="G42" s="1963"/>
      <c r="H42" s="1964"/>
      <c r="I42" s="700"/>
      <c r="J42" s="746"/>
      <c r="K42" s="701"/>
      <c r="L42" s="702"/>
      <c r="M42" s="702"/>
      <c r="N42" s="702"/>
      <c r="O42" s="702"/>
      <c r="P42" s="702"/>
      <c r="Q42" s="876"/>
      <c r="R42" s="1039"/>
      <c r="S42" s="1074"/>
      <c r="T42" s="703"/>
      <c r="U42" s="747"/>
      <c r="V42" s="748"/>
      <c r="W42" s="738"/>
      <c r="X42" s="797"/>
      <c r="Y42" s="798"/>
      <c r="Z42" s="794"/>
      <c r="AA42" s="705">
        <f t="shared" si="3"/>
        <v>0</v>
      </c>
      <c r="AB42" s="705">
        <f t="shared" si="18"/>
        <v>0</v>
      </c>
      <c r="AC42" s="705">
        <f t="shared" si="19"/>
        <v>0</v>
      </c>
      <c r="AD42" s="705">
        <f>IF(AA42=0,,VLOOKUP(AA42,リスト!DH:DI,2,0))</f>
        <v>0</v>
      </c>
      <c r="AE42" s="705">
        <f t="shared" si="4"/>
        <v>0</v>
      </c>
      <c r="AF42" s="706">
        <f>IF(AE42=0,,VLOOKUP(AE42,リスト!DK:DL,2,0))</f>
        <v>0</v>
      </c>
      <c r="AG42" s="705">
        <f>IF(AA42=0,,
IF(OR(リスト!$C$21="小麦",リスト!$C$21="二条大麦",リスト!$C$21="六条大麦",リスト!$C$21="はだか麦",リスト!$C$21="なたね"),IF(K42&lt;9,調査年-J42,調査年-J42-1),
IF(リスト!$C$21="さとうきび",IF(K42&gt;=4,調査年-J42,調査年-J42+1),
調査年-J42)))</f>
        <v>0</v>
      </c>
      <c r="AH42" s="408">
        <f t="shared" si="5"/>
        <v>0</v>
      </c>
      <c r="AI42" s="408">
        <f t="shared" si="6"/>
        <v>0</v>
      </c>
      <c r="AJ42" s="408">
        <f t="shared" si="7"/>
        <v>0</v>
      </c>
      <c r="AK42" s="408">
        <f t="shared" si="8"/>
        <v>0</v>
      </c>
      <c r="AL42" s="408">
        <f t="shared" si="9"/>
        <v>0</v>
      </c>
      <c r="AM42" s="408">
        <f t="shared" si="17"/>
        <v>0</v>
      </c>
      <c r="AN42" s="417"/>
      <c r="AO42" s="408">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408">
        <f t="shared" si="10"/>
        <v>0</v>
      </c>
      <c r="AQ42" s="408">
        <f t="shared" si="11"/>
        <v>0</v>
      </c>
      <c r="AR42" s="408">
        <f t="shared" si="12"/>
        <v>0</v>
      </c>
      <c r="AS42" s="408">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408">
        <f t="shared" si="13"/>
        <v>0</v>
      </c>
      <c r="AU42" s="408">
        <f t="shared" si="14"/>
        <v>0</v>
      </c>
      <c r="AV42" s="408">
        <f t="shared" si="15"/>
        <v>0</v>
      </c>
      <c r="AW42" s="408">
        <f t="shared" si="15"/>
        <v>0</v>
      </c>
      <c r="AX42" s="408">
        <f t="shared" si="15"/>
        <v>0</v>
      </c>
      <c r="AY42" s="742">
        <f t="shared" si="16"/>
        <v>0</v>
      </c>
      <c r="AZ42" s="707"/>
      <c r="BA42" s="707"/>
      <c r="BB42" s="707"/>
      <c r="BC42" s="707"/>
    </row>
    <row r="43" spans="3:55" s="46" customFormat="1" ht="30.75" hidden="1" customHeight="1" outlineLevel="1">
      <c r="C43" s="761">
        <v>27</v>
      </c>
      <c r="D43" s="708"/>
      <c r="E43" s="795"/>
      <c r="F43" s="791"/>
      <c r="G43" s="1963"/>
      <c r="H43" s="1964"/>
      <c r="I43" s="700"/>
      <c r="J43" s="746"/>
      <c r="K43" s="701"/>
      <c r="L43" s="702"/>
      <c r="M43" s="702"/>
      <c r="N43" s="702"/>
      <c r="O43" s="702"/>
      <c r="P43" s="702"/>
      <c r="Q43" s="876"/>
      <c r="R43" s="1039"/>
      <c r="S43" s="1074"/>
      <c r="T43" s="703"/>
      <c r="U43" s="747"/>
      <c r="V43" s="748"/>
      <c r="W43" s="738"/>
      <c r="X43" s="797"/>
      <c r="Y43" s="798"/>
      <c r="Z43" s="794"/>
      <c r="AA43" s="705">
        <f t="shared" si="3"/>
        <v>0</v>
      </c>
      <c r="AB43" s="705">
        <f t="shared" si="18"/>
        <v>0</v>
      </c>
      <c r="AC43" s="705">
        <f t="shared" si="19"/>
        <v>0</v>
      </c>
      <c r="AD43" s="705">
        <f>IF(AA43=0,,VLOOKUP(AA43,リスト!DH:DI,2,0))</f>
        <v>0</v>
      </c>
      <c r="AE43" s="705">
        <f t="shared" si="4"/>
        <v>0</v>
      </c>
      <c r="AF43" s="706">
        <f>IF(AE43=0,,VLOOKUP(AE43,リスト!DK:DL,2,0))</f>
        <v>0</v>
      </c>
      <c r="AG43" s="705">
        <f>IF(AA43=0,,
IF(OR(リスト!$C$21="小麦",リスト!$C$21="二条大麦",リスト!$C$21="六条大麦",リスト!$C$21="はだか麦",リスト!$C$21="なたね"),IF(K43&lt;9,調査年-J43,調査年-J43-1),
IF(リスト!$C$21="さとうきび",IF(K43&gt;=4,調査年-J43,調査年-J43+1),
調査年-J43)))</f>
        <v>0</v>
      </c>
      <c r="AH43" s="408">
        <f t="shared" si="5"/>
        <v>0</v>
      </c>
      <c r="AI43" s="408">
        <f t="shared" si="6"/>
        <v>0</v>
      </c>
      <c r="AJ43" s="408">
        <f t="shared" si="7"/>
        <v>0</v>
      </c>
      <c r="AK43" s="408">
        <f t="shared" si="8"/>
        <v>0</v>
      </c>
      <c r="AL43" s="408">
        <f t="shared" si="9"/>
        <v>0</v>
      </c>
      <c r="AM43" s="408">
        <f t="shared" si="17"/>
        <v>0</v>
      </c>
      <c r="AN43" s="417"/>
      <c r="AO43" s="408">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408">
        <f t="shared" si="10"/>
        <v>0</v>
      </c>
      <c r="AQ43" s="408">
        <f t="shared" si="11"/>
        <v>0</v>
      </c>
      <c r="AR43" s="408">
        <f t="shared" si="12"/>
        <v>0</v>
      </c>
      <c r="AS43" s="408">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408">
        <f t="shared" si="13"/>
        <v>0</v>
      </c>
      <c r="AU43" s="408">
        <f t="shared" si="14"/>
        <v>0</v>
      </c>
      <c r="AV43" s="408">
        <f t="shared" si="15"/>
        <v>0</v>
      </c>
      <c r="AW43" s="408">
        <f t="shared" si="15"/>
        <v>0</v>
      </c>
      <c r="AX43" s="408">
        <f t="shared" si="15"/>
        <v>0</v>
      </c>
      <c r="AY43" s="742">
        <f t="shared" si="16"/>
        <v>0</v>
      </c>
      <c r="AZ43" s="707"/>
      <c r="BA43" s="707"/>
      <c r="BB43" s="707"/>
      <c r="BC43" s="707"/>
    </row>
    <row r="44" spans="3:55" s="46" customFormat="1" ht="30.75" hidden="1" customHeight="1" outlineLevel="1">
      <c r="C44" s="761">
        <v>28</v>
      </c>
      <c r="D44" s="708"/>
      <c r="E44" s="795"/>
      <c r="F44" s="791"/>
      <c r="G44" s="1963"/>
      <c r="H44" s="1964"/>
      <c r="I44" s="700"/>
      <c r="J44" s="746"/>
      <c r="K44" s="701"/>
      <c r="L44" s="702"/>
      <c r="M44" s="702"/>
      <c r="N44" s="702"/>
      <c r="O44" s="702"/>
      <c r="P44" s="702"/>
      <c r="Q44" s="876"/>
      <c r="R44" s="1039"/>
      <c r="S44" s="1074"/>
      <c r="T44" s="703"/>
      <c r="U44" s="747"/>
      <c r="V44" s="748"/>
      <c r="W44" s="738"/>
      <c r="X44" s="797"/>
      <c r="Y44" s="798"/>
      <c r="Z44" s="794"/>
      <c r="AA44" s="705">
        <f t="shared" si="3"/>
        <v>0</v>
      </c>
      <c r="AB44" s="705">
        <f t="shared" si="18"/>
        <v>0</v>
      </c>
      <c r="AC44" s="705">
        <f t="shared" si="19"/>
        <v>0</v>
      </c>
      <c r="AD44" s="705">
        <f>IF(AA44=0,,VLOOKUP(AA44,リスト!DH:DI,2,0))</f>
        <v>0</v>
      </c>
      <c r="AE44" s="705">
        <f t="shared" si="4"/>
        <v>0</v>
      </c>
      <c r="AF44" s="706">
        <f>IF(AE44=0,,VLOOKUP(AE44,リスト!DK:DL,2,0))</f>
        <v>0</v>
      </c>
      <c r="AG44" s="705">
        <f>IF(AA44=0,,
IF(OR(リスト!$C$21="小麦",リスト!$C$21="二条大麦",リスト!$C$21="六条大麦",リスト!$C$21="はだか麦",リスト!$C$21="なたね"),IF(K44&lt;9,調査年-J44,調査年-J44-1),
IF(リスト!$C$21="さとうきび",IF(K44&gt;=4,調査年-J44,調査年-J44+1),
調査年-J44)))</f>
        <v>0</v>
      </c>
      <c r="AH44" s="408">
        <f t="shared" si="5"/>
        <v>0</v>
      </c>
      <c r="AI44" s="408">
        <f t="shared" si="6"/>
        <v>0</v>
      </c>
      <c r="AJ44" s="408">
        <f t="shared" si="7"/>
        <v>0</v>
      </c>
      <c r="AK44" s="408">
        <f t="shared" si="8"/>
        <v>0</v>
      </c>
      <c r="AL44" s="408">
        <f t="shared" si="9"/>
        <v>0</v>
      </c>
      <c r="AM44" s="408">
        <f t="shared" si="17"/>
        <v>0</v>
      </c>
      <c r="AN44" s="417"/>
      <c r="AO44" s="408">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408">
        <f t="shared" si="10"/>
        <v>0</v>
      </c>
      <c r="AQ44" s="408">
        <f t="shared" si="11"/>
        <v>0</v>
      </c>
      <c r="AR44" s="408">
        <f t="shared" si="12"/>
        <v>0</v>
      </c>
      <c r="AS44" s="408">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408">
        <f t="shared" si="13"/>
        <v>0</v>
      </c>
      <c r="AU44" s="408">
        <f t="shared" si="14"/>
        <v>0</v>
      </c>
      <c r="AV44" s="408">
        <f t="shared" si="15"/>
        <v>0</v>
      </c>
      <c r="AW44" s="408">
        <f t="shared" si="15"/>
        <v>0</v>
      </c>
      <c r="AX44" s="408">
        <f t="shared" si="15"/>
        <v>0</v>
      </c>
      <c r="AY44" s="742">
        <f t="shared" si="16"/>
        <v>0</v>
      </c>
      <c r="AZ44" s="707"/>
      <c r="BA44" s="707"/>
      <c r="BB44" s="707"/>
      <c r="BC44" s="707"/>
    </row>
    <row r="45" spans="3:55" s="46" customFormat="1" ht="30.75" hidden="1" customHeight="1" outlineLevel="1">
      <c r="C45" s="761">
        <v>29</v>
      </c>
      <c r="D45" s="708"/>
      <c r="E45" s="795"/>
      <c r="F45" s="791"/>
      <c r="G45" s="1963"/>
      <c r="H45" s="1964"/>
      <c r="I45" s="700"/>
      <c r="J45" s="746"/>
      <c r="K45" s="701"/>
      <c r="L45" s="702"/>
      <c r="M45" s="702"/>
      <c r="N45" s="702"/>
      <c r="O45" s="702"/>
      <c r="P45" s="702"/>
      <c r="Q45" s="876"/>
      <c r="R45" s="1039"/>
      <c r="S45" s="1074"/>
      <c r="T45" s="703"/>
      <c r="U45" s="747"/>
      <c r="V45" s="748"/>
      <c r="W45" s="738"/>
      <c r="X45" s="797"/>
      <c r="Y45" s="798"/>
      <c r="Z45" s="794"/>
      <c r="AA45" s="705">
        <f t="shared" si="3"/>
        <v>0</v>
      </c>
      <c r="AB45" s="705">
        <f t="shared" si="18"/>
        <v>0</v>
      </c>
      <c r="AC45" s="705">
        <f t="shared" si="19"/>
        <v>0</v>
      </c>
      <c r="AD45" s="705">
        <f>IF(AA45=0,,VLOOKUP(AA45,リスト!DH:DI,2,0))</f>
        <v>0</v>
      </c>
      <c r="AE45" s="705">
        <f t="shared" si="4"/>
        <v>0</v>
      </c>
      <c r="AF45" s="706">
        <f>IF(AE45=0,,VLOOKUP(AE45,リスト!DK:DL,2,0))</f>
        <v>0</v>
      </c>
      <c r="AG45" s="705">
        <f>IF(AA45=0,,
IF(OR(リスト!$C$21="小麦",リスト!$C$21="二条大麦",リスト!$C$21="六条大麦",リスト!$C$21="はだか麦",リスト!$C$21="なたね"),IF(K45&lt;9,調査年-J45,調査年-J45-1),
IF(リスト!$C$21="さとうきび",IF(K45&gt;=4,調査年-J45,調査年-J45+1),
調査年-J45)))</f>
        <v>0</v>
      </c>
      <c r="AH45" s="408">
        <f t="shared" si="5"/>
        <v>0</v>
      </c>
      <c r="AI45" s="408">
        <f t="shared" si="6"/>
        <v>0</v>
      </c>
      <c r="AJ45" s="408">
        <f t="shared" si="7"/>
        <v>0</v>
      </c>
      <c r="AK45" s="408">
        <f t="shared" si="8"/>
        <v>0</v>
      </c>
      <c r="AL45" s="408">
        <f t="shared" si="9"/>
        <v>0</v>
      </c>
      <c r="AM45" s="408">
        <f t="shared" si="17"/>
        <v>0</v>
      </c>
      <c r="AN45" s="417"/>
      <c r="AO45" s="408">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408">
        <f t="shared" si="10"/>
        <v>0</v>
      </c>
      <c r="AQ45" s="408">
        <f t="shared" si="11"/>
        <v>0</v>
      </c>
      <c r="AR45" s="408">
        <f t="shared" si="12"/>
        <v>0</v>
      </c>
      <c r="AS45" s="408">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408">
        <f t="shared" si="13"/>
        <v>0</v>
      </c>
      <c r="AU45" s="408">
        <f t="shared" si="14"/>
        <v>0</v>
      </c>
      <c r="AV45" s="408">
        <f t="shared" si="15"/>
        <v>0</v>
      </c>
      <c r="AW45" s="408">
        <f t="shared" si="15"/>
        <v>0</v>
      </c>
      <c r="AX45" s="408">
        <f t="shared" si="15"/>
        <v>0</v>
      </c>
      <c r="AY45" s="742">
        <f t="shared" si="16"/>
        <v>0</v>
      </c>
      <c r="AZ45" s="707"/>
      <c r="BA45" s="707"/>
      <c r="BB45" s="707"/>
      <c r="BC45" s="707"/>
    </row>
    <row r="46" spans="3:55" s="46" customFormat="1" ht="30.75" hidden="1" customHeight="1" outlineLevel="1">
      <c r="C46" s="761">
        <v>30</v>
      </c>
      <c r="D46" s="708"/>
      <c r="E46" s="795"/>
      <c r="F46" s="791"/>
      <c r="G46" s="1963"/>
      <c r="H46" s="1964"/>
      <c r="I46" s="700"/>
      <c r="J46" s="746"/>
      <c r="K46" s="701"/>
      <c r="L46" s="702"/>
      <c r="M46" s="702"/>
      <c r="N46" s="702"/>
      <c r="O46" s="702"/>
      <c r="P46" s="702"/>
      <c r="Q46" s="876"/>
      <c r="R46" s="1039"/>
      <c r="S46" s="1074"/>
      <c r="T46" s="703"/>
      <c r="U46" s="747"/>
      <c r="V46" s="748"/>
      <c r="W46" s="738"/>
      <c r="X46" s="797"/>
      <c r="Y46" s="798"/>
      <c r="Z46" s="794"/>
      <c r="AA46" s="705">
        <f t="shared" si="3"/>
        <v>0</v>
      </c>
      <c r="AB46" s="705">
        <f t="shared" si="18"/>
        <v>0</v>
      </c>
      <c r="AC46" s="705">
        <f t="shared" si="19"/>
        <v>0</v>
      </c>
      <c r="AD46" s="705">
        <f>IF(AA46=0,,VLOOKUP(AA46,リスト!DH:DI,2,0))</f>
        <v>0</v>
      </c>
      <c r="AE46" s="705">
        <f t="shared" si="4"/>
        <v>0</v>
      </c>
      <c r="AF46" s="706">
        <f>IF(AE46=0,,VLOOKUP(AE46,リスト!DK:DL,2,0))</f>
        <v>0</v>
      </c>
      <c r="AG46" s="705">
        <f>IF(AA46=0,,
IF(OR(リスト!$C$21="小麦",リスト!$C$21="二条大麦",リスト!$C$21="六条大麦",リスト!$C$21="はだか麦",リスト!$C$21="なたね"),IF(K46&lt;9,調査年-J46,調査年-J46-1),
IF(リスト!$C$21="さとうきび",IF(K46&gt;=4,調査年-J46,調査年-J46+1),
調査年-J46)))</f>
        <v>0</v>
      </c>
      <c r="AH46" s="408">
        <f t="shared" si="5"/>
        <v>0</v>
      </c>
      <c r="AI46" s="408">
        <f t="shared" si="6"/>
        <v>0</v>
      </c>
      <c r="AJ46" s="408">
        <f t="shared" si="7"/>
        <v>0</v>
      </c>
      <c r="AK46" s="408">
        <f t="shared" si="8"/>
        <v>0</v>
      </c>
      <c r="AL46" s="408">
        <f t="shared" si="9"/>
        <v>0</v>
      </c>
      <c r="AM46" s="408">
        <f t="shared" si="17"/>
        <v>0</v>
      </c>
      <c r="AN46" s="417"/>
      <c r="AO46" s="408">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408">
        <f t="shared" si="10"/>
        <v>0</v>
      </c>
      <c r="AQ46" s="408">
        <f t="shared" si="11"/>
        <v>0</v>
      </c>
      <c r="AR46" s="408">
        <f t="shared" si="12"/>
        <v>0</v>
      </c>
      <c r="AS46" s="408">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408">
        <f t="shared" si="13"/>
        <v>0</v>
      </c>
      <c r="AU46" s="408">
        <f t="shared" si="14"/>
        <v>0</v>
      </c>
      <c r="AV46" s="408">
        <f t="shared" si="15"/>
        <v>0</v>
      </c>
      <c r="AW46" s="408">
        <f t="shared" si="15"/>
        <v>0</v>
      </c>
      <c r="AX46" s="408">
        <f t="shared" si="15"/>
        <v>0</v>
      </c>
      <c r="AY46" s="742">
        <f t="shared" si="16"/>
        <v>0</v>
      </c>
      <c r="AZ46" s="707"/>
      <c r="BA46" s="707"/>
      <c r="BB46" s="707"/>
      <c r="BC46" s="707"/>
    </row>
    <row r="47" spans="3:55" s="46" customFormat="1" ht="30.75" hidden="1" customHeight="1" outlineLevel="1">
      <c r="C47" s="761">
        <v>31</v>
      </c>
      <c r="D47" s="708"/>
      <c r="E47" s="795"/>
      <c r="F47" s="791"/>
      <c r="G47" s="1963"/>
      <c r="H47" s="1964"/>
      <c r="I47" s="700"/>
      <c r="J47" s="746"/>
      <c r="K47" s="701"/>
      <c r="L47" s="702"/>
      <c r="M47" s="702"/>
      <c r="N47" s="702"/>
      <c r="O47" s="702"/>
      <c r="P47" s="702"/>
      <c r="Q47" s="876"/>
      <c r="R47" s="1039"/>
      <c r="S47" s="1074"/>
      <c r="T47" s="703"/>
      <c r="U47" s="747"/>
      <c r="V47" s="748"/>
      <c r="W47" s="738"/>
      <c r="X47" s="797"/>
      <c r="Y47" s="798"/>
      <c r="Z47" s="794"/>
      <c r="AA47" s="705">
        <f t="shared" si="3"/>
        <v>0</v>
      </c>
      <c r="AB47" s="705">
        <f t="shared" si="18"/>
        <v>0</v>
      </c>
      <c r="AC47" s="705">
        <f t="shared" si="19"/>
        <v>0</v>
      </c>
      <c r="AD47" s="705">
        <f>IF(AA47=0,,VLOOKUP(AA47,リスト!DH:DI,2,0))</f>
        <v>0</v>
      </c>
      <c r="AE47" s="705">
        <f t="shared" si="4"/>
        <v>0</v>
      </c>
      <c r="AF47" s="706">
        <f>IF(AE47=0,,VLOOKUP(AE47,リスト!DK:DL,2,0))</f>
        <v>0</v>
      </c>
      <c r="AG47" s="705">
        <f>IF(AA47=0,,
IF(OR(リスト!$C$21="小麦",リスト!$C$21="二条大麦",リスト!$C$21="六条大麦",リスト!$C$21="はだか麦",リスト!$C$21="なたね"),IF(K47&lt;9,調査年-J47,調査年-J47-1),
IF(リスト!$C$21="さとうきび",IF(K47&gt;=4,調査年-J47,調査年-J47+1),
調査年-J47)))</f>
        <v>0</v>
      </c>
      <c r="AH47" s="408">
        <f t="shared" si="5"/>
        <v>0</v>
      </c>
      <c r="AI47" s="408">
        <f t="shared" si="6"/>
        <v>0</v>
      </c>
      <c r="AJ47" s="408">
        <f t="shared" si="7"/>
        <v>0</v>
      </c>
      <c r="AK47" s="408">
        <f t="shared" si="8"/>
        <v>0</v>
      </c>
      <c r="AL47" s="408">
        <f t="shared" si="9"/>
        <v>0</v>
      </c>
      <c r="AM47" s="408">
        <f t="shared" si="17"/>
        <v>0</v>
      </c>
      <c r="AN47" s="417"/>
      <c r="AO47" s="408">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408">
        <f t="shared" si="10"/>
        <v>0</v>
      </c>
      <c r="AQ47" s="408">
        <f t="shared" si="11"/>
        <v>0</v>
      </c>
      <c r="AR47" s="408">
        <f t="shared" si="12"/>
        <v>0</v>
      </c>
      <c r="AS47" s="408">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408">
        <f t="shared" si="13"/>
        <v>0</v>
      </c>
      <c r="AU47" s="408">
        <f t="shared" si="14"/>
        <v>0</v>
      </c>
      <c r="AV47" s="408">
        <f t="shared" si="15"/>
        <v>0</v>
      </c>
      <c r="AW47" s="408">
        <f t="shared" si="15"/>
        <v>0</v>
      </c>
      <c r="AX47" s="408">
        <f t="shared" si="15"/>
        <v>0</v>
      </c>
      <c r="AY47" s="742">
        <f t="shared" si="16"/>
        <v>0</v>
      </c>
      <c r="AZ47" s="707"/>
      <c r="BA47" s="707"/>
      <c r="BB47" s="707"/>
      <c r="BC47" s="707"/>
    </row>
    <row r="48" spans="3:55" s="46" customFormat="1" ht="30.75" hidden="1" customHeight="1" outlineLevel="1">
      <c r="C48" s="761">
        <v>32</v>
      </c>
      <c r="D48" s="696"/>
      <c r="E48" s="795"/>
      <c r="F48" s="791"/>
      <c r="G48" s="1963"/>
      <c r="H48" s="1964"/>
      <c r="I48" s="700"/>
      <c r="J48" s="746"/>
      <c r="K48" s="701"/>
      <c r="L48" s="702"/>
      <c r="M48" s="702"/>
      <c r="N48" s="702"/>
      <c r="O48" s="702"/>
      <c r="P48" s="702"/>
      <c r="Q48" s="876"/>
      <c r="R48" s="1039"/>
      <c r="S48" s="1074"/>
      <c r="T48" s="703"/>
      <c r="U48" s="747"/>
      <c r="V48" s="748"/>
      <c r="W48" s="738"/>
      <c r="X48" s="797"/>
      <c r="Y48" s="798"/>
      <c r="Z48" s="794"/>
      <c r="AA48" s="705">
        <f t="shared" si="3"/>
        <v>0</v>
      </c>
      <c r="AB48" s="705">
        <f t="shared" si="18"/>
        <v>0</v>
      </c>
      <c r="AC48" s="705">
        <f t="shared" si="19"/>
        <v>0</v>
      </c>
      <c r="AD48" s="705">
        <f>IF(AA48=0,,VLOOKUP(AA48,リスト!DH:DI,2,0))</f>
        <v>0</v>
      </c>
      <c r="AE48" s="705">
        <f t="shared" si="4"/>
        <v>0</v>
      </c>
      <c r="AF48" s="706">
        <f>IF(AE48=0,,VLOOKUP(AE48,リスト!DK:DL,2,0))</f>
        <v>0</v>
      </c>
      <c r="AG48" s="705">
        <f>IF(AA48=0,,
IF(OR(リスト!$C$21="小麦",リスト!$C$21="二条大麦",リスト!$C$21="六条大麦",リスト!$C$21="はだか麦",リスト!$C$21="なたね"),IF(K48&lt;9,調査年-J48,調査年-J48-1),
IF(リスト!$C$21="さとうきび",IF(K48&gt;=4,調査年-J48,調査年-J48+1),
調査年-J48)))</f>
        <v>0</v>
      </c>
      <c r="AH48" s="408">
        <f t="shared" si="5"/>
        <v>0</v>
      </c>
      <c r="AI48" s="408">
        <f t="shared" si="6"/>
        <v>0</v>
      </c>
      <c r="AJ48" s="408">
        <f t="shared" si="7"/>
        <v>0</v>
      </c>
      <c r="AK48" s="408">
        <f t="shared" si="8"/>
        <v>0</v>
      </c>
      <c r="AL48" s="408">
        <f t="shared" si="9"/>
        <v>0</v>
      </c>
      <c r="AM48" s="408">
        <f t="shared" si="17"/>
        <v>0</v>
      </c>
      <c r="AN48" s="417"/>
      <c r="AO48" s="408">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408">
        <f t="shared" si="10"/>
        <v>0</v>
      </c>
      <c r="AQ48" s="408">
        <f t="shared" si="11"/>
        <v>0</v>
      </c>
      <c r="AR48" s="408">
        <f t="shared" si="12"/>
        <v>0</v>
      </c>
      <c r="AS48" s="408">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408">
        <f t="shared" si="13"/>
        <v>0</v>
      </c>
      <c r="AU48" s="408">
        <f t="shared" si="14"/>
        <v>0</v>
      </c>
      <c r="AV48" s="408">
        <f t="shared" si="15"/>
        <v>0</v>
      </c>
      <c r="AW48" s="408">
        <f t="shared" si="15"/>
        <v>0</v>
      </c>
      <c r="AX48" s="408">
        <f t="shared" si="15"/>
        <v>0</v>
      </c>
      <c r="AY48" s="742">
        <f t="shared" si="16"/>
        <v>0</v>
      </c>
      <c r="AZ48" s="707"/>
      <c r="BA48" s="707"/>
      <c r="BB48" s="707"/>
      <c r="BC48" s="707"/>
    </row>
    <row r="49" spans="3:55" s="46" customFormat="1" ht="30.75" hidden="1" customHeight="1" outlineLevel="1">
      <c r="C49" s="761">
        <v>33</v>
      </c>
      <c r="D49" s="708"/>
      <c r="E49" s="795"/>
      <c r="F49" s="791"/>
      <c r="G49" s="1963"/>
      <c r="H49" s="1964"/>
      <c r="I49" s="700"/>
      <c r="J49" s="746"/>
      <c r="K49" s="701"/>
      <c r="L49" s="702"/>
      <c r="M49" s="702"/>
      <c r="N49" s="702"/>
      <c r="O49" s="702"/>
      <c r="P49" s="702"/>
      <c r="Q49" s="876"/>
      <c r="R49" s="1039"/>
      <c r="S49" s="1074"/>
      <c r="T49" s="703"/>
      <c r="U49" s="747"/>
      <c r="V49" s="748"/>
      <c r="W49" s="738"/>
      <c r="X49" s="797"/>
      <c r="Y49" s="798"/>
      <c r="Z49" s="794"/>
      <c r="AA49" s="705">
        <f t="shared" si="3"/>
        <v>0</v>
      </c>
      <c r="AB49" s="705">
        <f t="shared" si="18"/>
        <v>0</v>
      </c>
      <c r="AC49" s="705">
        <f t="shared" si="19"/>
        <v>0</v>
      </c>
      <c r="AD49" s="705">
        <f>IF(AA49=0,,VLOOKUP(AA49,リスト!DH:DI,2,0))</f>
        <v>0</v>
      </c>
      <c r="AE49" s="705">
        <f t="shared" si="4"/>
        <v>0</v>
      </c>
      <c r="AF49" s="706">
        <f>IF(AE49=0,,VLOOKUP(AE49,リスト!DK:DL,2,0))</f>
        <v>0</v>
      </c>
      <c r="AG49" s="705">
        <f>IF(AA49=0,,
IF(OR(リスト!$C$21="小麦",リスト!$C$21="二条大麦",リスト!$C$21="六条大麦",リスト!$C$21="はだか麦",リスト!$C$21="なたね"),IF(K49&lt;9,調査年-J49,調査年-J49-1),
IF(リスト!$C$21="さとうきび",IF(K49&gt;=4,調査年-J49,調査年-J49+1),
調査年-J49)))</f>
        <v>0</v>
      </c>
      <c r="AH49" s="408">
        <f t="shared" ref="AH49:AH80" si="20">IF(OR(AA49=0,AB49=1),,
IF(AND(AE49&gt;0,AG49&lt;AE49,AI49&lt;=ROUND((L49-1)*AF49,0)),ROUND(AI49,0),
IF(AND(AE49&gt;0,AG49&lt;AE49),ROUND((L49-1)*AF49,0),)))</f>
        <v>0</v>
      </c>
      <c r="AI49" s="408">
        <f t="shared" si="6"/>
        <v>0</v>
      </c>
      <c r="AJ49" s="408">
        <f t="shared" si="7"/>
        <v>0</v>
      </c>
      <c r="AK49" s="408">
        <f t="shared" si="8"/>
        <v>0</v>
      </c>
      <c r="AL49" s="408">
        <f t="shared" si="9"/>
        <v>0</v>
      </c>
      <c r="AM49" s="408">
        <f t="shared" si="17"/>
        <v>0</v>
      </c>
      <c r="AN49" s="417"/>
      <c r="AO49" s="408">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408">
        <f t="shared" si="10"/>
        <v>0</v>
      </c>
      <c r="AQ49" s="408">
        <f t="shared" si="11"/>
        <v>0</v>
      </c>
      <c r="AR49" s="408">
        <f t="shared" si="12"/>
        <v>0</v>
      </c>
      <c r="AS49" s="408">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408">
        <f t="shared" si="13"/>
        <v>0</v>
      </c>
      <c r="AU49" s="408">
        <f t="shared" si="14"/>
        <v>0</v>
      </c>
      <c r="AV49" s="408">
        <f t="shared" si="15"/>
        <v>0</v>
      </c>
      <c r="AW49" s="408">
        <f t="shared" si="15"/>
        <v>0</v>
      </c>
      <c r="AX49" s="408">
        <f t="shared" si="15"/>
        <v>0</v>
      </c>
      <c r="AY49" s="742">
        <f t="shared" si="16"/>
        <v>0</v>
      </c>
      <c r="AZ49" s="707"/>
      <c r="BA49" s="707"/>
      <c r="BB49" s="707"/>
      <c r="BC49" s="707"/>
    </row>
    <row r="50" spans="3:55" s="46" customFormat="1" ht="30.75" hidden="1" customHeight="1" outlineLevel="1">
      <c r="C50" s="761">
        <v>34</v>
      </c>
      <c r="D50" s="708"/>
      <c r="E50" s="795"/>
      <c r="F50" s="791"/>
      <c r="G50" s="1963"/>
      <c r="H50" s="1964"/>
      <c r="I50" s="700"/>
      <c r="J50" s="746"/>
      <c r="K50" s="701"/>
      <c r="L50" s="702"/>
      <c r="M50" s="702"/>
      <c r="N50" s="702"/>
      <c r="O50" s="702"/>
      <c r="P50" s="702"/>
      <c r="Q50" s="876"/>
      <c r="R50" s="1039"/>
      <c r="S50" s="1074"/>
      <c r="T50" s="703"/>
      <c r="U50" s="747"/>
      <c r="V50" s="748"/>
      <c r="W50" s="738"/>
      <c r="X50" s="797"/>
      <c r="Y50" s="798"/>
      <c r="Z50" s="794"/>
      <c r="AA50" s="705">
        <f t="shared" si="3"/>
        <v>0</v>
      </c>
      <c r="AB50" s="705">
        <f t="shared" si="18"/>
        <v>0</v>
      </c>
      <c r="AC50" s="705">
        <f t="shared" si="19"/>
        <v>0</v>
      </c>
      <c r="AD50" s="705">
        <f>IF(AA50=0,,VLOOKUP(AA50,リスト!DH:DI,2,0))</f>
        <v>0</v>
      </c>
      <c r="AE50" s="705">
        <f t="shared" si="4"/>
        <v>0</v>
      </c>
      <c r="AF50" s="706">
        <f>IF(AE50=0,,VLOOKUP(AE50,リスト!DK:DL,2,0))</f>
        <v>0</v>
      </c>
      <c r="AG50" s="705">
        <f>IF(AA50=0,,
IF(OR(リスト!$C$21="小麦",リスト!$C$21="二条大麦",リスト!$C$21="六条大麦",リスト!$C$21="はだか麦",リスト!$C$21="なたね"),IF(K50&lt;9,調査年-J50,調査年-J50-1),
IF(リスト!$C$21="さとうきび",IF(K50&gt;=4,調査年-J50,調査年-J50+1),
調査年-J50)))</f>
        <v>0</v>
      </c>
      <c r="AH50" s="408">
        <f t="shared" si="20"/>
        <v>0</v>
      </c>
      <c r="AI50" s="408">
        <f t="shared" si="6"/>
        <v>0</v>
      </c>
      <c r="AJ50" s="408">
        <f t="shared" si="7"/>
        <v>0</v>
      </c>
      <c r="AK50" s="408">
        <f t="shared" si="8"/>
        <v>0</v>
      </c>
      <c r="AL50" s="408">
        <f t="shared" si="9"/>
        <v>0</v>
      </c>
      <c r="AM50" s="408">
        <f t="shared" si="17"/>
        <v>0</v>
      </c>
      <c r="AN50" s="417"/>
      <c r="AO50" s="408">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408">
        <f t="shared" si="10"/>
        <v>0</v>
      </c>
      <c r="AQ50" s="408">
        <f t="shared" si="11"/>
        <v>0</v>
      </c>
      <c r="AR50" s="408">
        <f t="shared" si="12"/>
        <v>0</v>
      </c>
      <c r="AS50" s="408">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408">
        <f t="shared" si="13"/>
        <v>0</v>
      </c>
      <c r="AU50" s="408">
        <f t="shared" si="14"/>
        <v>0</v>
      </c>
      <c r="AV50" s="408">
        <f t="shared" si="15"/>
        <v>0</v>
      </c>
      <c r="AW50" s="408">
        <f t="shared" si="15"/>
        <v>0</v>
      </c>
      <c r="AX50" s="408">
        <f t="shared" si="15"/>
        <v>0</v>
      </c>
      <c r="AY50" s="742">
        <f t="shared" si="16"/>
        <v>0</v>
      </c>
      <c r="AZ50" s="707"/>
      <c r="BA50" s="707"/>
      <c r="BB50" s="707"/>
      <c r="BC50" s="707"/>
    </row>
    <row r="51" spans="3:55" s="46" customFormat="1" ht="30.75" hidden="1" customHeight="1" outlineLevel="1">
      <c r="C51" s="761">
        <v>35</v>
      </c>
      <c r="D51" s="708"/>
      <c r="E51" s="795"/>
      <c r="F51" s="791"/>
      <c r="G51" s="1963"/>
      <c r="H51" s="1964"/>
      <c r="I51" s="700"/>
      <c r="J51" s="746"/>
      <c r="K51" s="701"/>
      <c r="L51" s="702"/>
      <c r="M51" s="702"/>
      <c r="N51" s="702"/>
      <c r="O51" s="702"/>
      <c r="P51" s="702"/>
      <c r="Q51" s="876"/>
      <c r="R51" s="1039"/>
      <c r="S51" s="1074"/>
      <c r="T51" s="703"/>
      <c r="U51" s="747"/>
      <c r="V51" s="748"/>
      <c r="W51" s="738"/>
      <c r="X51" s="797"/>
      <c r="Y51" s="798"/>
      <c r="Z51" s="794"/>
      <c r="AA51" s="705">
        <f t="shared" si="3"/>
        <v>0</v>
      </c>
      <c r="AB51" s="705">
        <f t="shared" si="18"/>
        <v>0</v>
      </c>
      <c r="AC51" s="705">
        <f t="shared" si="19"/>
        <v>0</v>
      </c>
      <c r="AD51" s="705">
        <f>IF(AA51=0,,VLOOKUP(AA51,リスト!DH:DI,2,0))</f>
        <v>0</v>
      </c>
      <c r="AE51" s="705">
        <f t="shared" si="4"/>
        <v>0</v>
      </c>
      <c r="AF51" s="706">
        <f>IF(AE51=0,,VLOOKUP(AE51,リスト!DK:DL,2,0))</f>
        <v>0</v>
      </c>
      <c r="AG51" s="705">
        <f>IF(AA51=0,,
IF(OR(リスト!$C$21="小麦",リスト!$C$21="二条大麦",リスト!$C$21="六条大麦",リスト!$C$21="はだか麦",リスト!$C$21="なたね"),IF(K51&lt;9,調査年-J51,調査年-J51-1),
IF(リスト!$C$21="さとうきび",IF(K51&gt;=4,調査年-J51,調査年-J51+1),
調査年-J51)))</f>
        <v>0</v>
      </c>
      <c r="AH51" s="408">
        <f t="shared" si="20"/>
        <v>0</v>
      </c>
      <c r="AI51" s="408">
        <f t="shared" si="6"/>
        <v>0</v>
      </c>
      <c r="AJ51" s="408">
        <f t="shared" si="7"/>
        <v>0</v>
      </c>
      <c r="AK51" s="408">
        <f t="shared" si="8"/>
        <v>0</v>
      </c>
      <c r="AL51" s="408">
        <f t="shared" si="9"/>
        <v>0</v>
      </c>
      <c r="AM51" s="408">
        <f t="shared" si="17"/>
        <v>0</v>
      </c>
      <c r="AN51" s="417"/>
      <c r="AO51" s="408">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408">
        <f t="shared" si="10"/>
        <v>0</v>
      </c>
      <c r="AQ51" s="408">
        <f t="shared" si="11"/>
        <v>0</v>
      </c>
      <c r="AR51" s="408">
        <f t="shared" si="12"/>
        <v>0</v>
      </c>
      <c r="AS51" s="408">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408">
        <f t="shared" si="13"/>
        <v>0</v>
      </c>
      <c r="AU51" s="408">
        <f t="shared" si="14"/>
        <v>0</v>
      </c>
      <c r="AV51" s="408">
        <f t="shared" si="15"/>
        <v>0</v>
      </c>
      <c r="AW51" s="408">
        <f t="shared" si="15"/>
        <v>0</v>
      </c>
      <c r="AX51" s="408">
        <f t="shared" si="15"/>
        <v>0</v>
      </c>
      <c r="AY51" s="742">
        <f t="shared" si="16"/>
        <v>0</v>
      </c>
      <c r="AZ51" s="707"/>
      <c r="BA51" s="707"/>
      <c r="BB51" s="707"/>
      <c r="BC51" s="707"/>
    </row>
    <row r="52" spans="3:55" s="46" customFormat="1" ht="30.75" hidden="1" customHeight="1" outlineLevel="1">
      <c r="C52" s="761">
        <v>36</v>
      </c>
      <c r="D52" s="708"/>
      <c r="E52" s="795"/>
      <c r="F52" s="791"/>
      <c r="G52" s="1963"/>
      <c r="H52" s="1964"/>
      <c r="I52" s="700"/>
      <c r="J52" s="746"/>
      <c r="K52" s="701"/>
      <c r="L52" s="702"/>
      <c r="M52" s="702"/>
      <c r="N52" s="702"/>
      <c r="O52" s="702"/>
      <c r="P52" s="702"/>
      <c r="Q52" s="876"/>
      <c r="R52" s="1039"/>
      <c r="S52" s="1074"/>
      <c r="T52" s="703"/>
      <c r="U52" s="747"/>
      <c r="V52" s="748"/>
      <c r="W52" s="738"/>
      <c r="X52" s="797"/>
      <c r="Y52" s="798"/>
      <c r="Z52" s="794"/>
      <c r="AA52" s="705">
        <f t="shared" si="3"/>
        <v>0</v>
      </c>
      <c r="AB52" s="705">
        <f t="shared" si="18"/>
        <v>0</v>
      </c>
      <c r="AC52" s="705">
        <f t="shared" si="19"/>
        <v>0</v>
      </c>
      <c r="AD52" s="705">
        <f>IF(AA52=0,,VLOOKUP(AA52,リスト!DH:DI,2,0))</f>
        <v>0</v>
      </c>
      <c r="AE52" s="705">
        <f t="shared" si="4"/>
        <v>0</v>
      </c>
      <c r="AF52" s="706">
        <f>IF(AE52=0,,VLOOKUP(AE52,リスト!DK:DL,2,0))</f>
        <v>0</v>
      </c>
      <c r="AG52" s="705">
        <f>IF(AA52=0,,
IF(OR(リスト!$C$21="小麦",リスト!$C$21="二条大麦",リスト!$C$21="六条大麦",リスト!$C$21="はだか麦",リスト!$C$21="なたね"),IF(K52&lt;9,調査年-J52,調査年-J52-1),
IF(リスト!$C$21="さとうきび",IF(K52&gt;=4,調査年-J52,調査年-J52+1),
調査年-J52)))</f>
        <v>0</v>
      </c>
      <c r="AH52" s="408">
        <f t="shared" si="20"/>
        <v>0</v>
      </c>
      <c r="AI52" s="408">
        <f t="shared" si="6"/>
        <v>0</v>
      </c>
      <c r="AJ52" s="408">
        <f t="shared" si="7"/>
        <v>0</v>
      </c>
      <c r="AK52" s="408">
        <f t="shared" si="8"/>
        <v>0</v>
      </c>
      <c r="AL52" s="408">
        <f t="shared" si="9"/>
        <v>0</v>
      </c>
      <c r="AM52" s="408">
        <f t="shared" si="17"/>
        <v>0</v>
      </c>
      <c r="AN52" s="417"/>
      <c r="AO52" s="408">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408">
        <f t="shared" si="10"/>
        <v>0</v>
      </c>
      <c r="AQ52" s="408">
        <f t="shared" si="11"/>
        <v>0</v>
      </c>
      <c r="AR52" s="408">
        <f t="shared" si="12"/>
        <v>0</v>
      </c>
      <c r="AS52" s="408">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408">
        <f t="shared" si="13"/>
        <v>0</v>
      </c>
      <c r="AU52" s="408">
        <f t="shared" si="14"/>
        <v>0</v>
      </c>
      <c r="AV52" s="408">
        <f t="shared" si="15"/>
        <v>0</v>
      </c>
      <c r="AW52" s="408">
        <f t="shared" si="15"/>
        <v>0</v>
      </c>
      <c r="AX52" s="408">
        <f t="shared" si="15"/>
        <v>0</v>
      </c>
      <c r="AY52" s="742">
        <f t="shared" si="16"/>
        <v>0</v>
      </c>
      <c r="AZ52" s="707"/>
      <c r="BA52" s="707"/>
      <c r="BB52" s="707"/>
      <c r="BC52" s="707"/>
    </row>
    <row r="53" spans="3:55" s="46" customFormat="1" ht="30.75" hidden="1" customHeight="1" outlineLevel="1">
      <c r="C53" s="761">
        <v>37</v>
      </c>
      <c r="D53" s="708"/>
      <c r="E53" s="795"/>
      <c r="F53" s="791"/>
      <c r="G53" s="1963"/>
      <c r="H53" s="1964"/>
      <c r="I53" s="700"/>
      <c r="J53" s="746"/>
      <c r="K53" s="701"/>
      <c r="L53" s="702"/>
      <c r="M53" s="702"/>
      <c r="N53" s="702"/>
      <c r="O53" s="702"/>
      <c r="P53" s="702"/>
      <c r="Q53" s="876"/>
      <c r="R53" s="1039"/>
      <c r="S53" s="1074"/>
      <c r="T53" s="703"/>
      <c r="U53" s="747"/>
      <c r="V53" s="748"/>
      <c r="W53" s="738"/>
      <c r="X53" s="797"/>
      <c r="Y53" s="798"/>
      <c r="Z53" s="794"/>
      <c r="AA53" s="705">
        <f t="shared" si="3"/>
        <v>0</v>
      </c>
      <c r="AB53" s="705">
        <f t="shared" si="18"/>
        <v>0</v>
      </c>
      <c r="AC53" s="705">
        <f t="shared" si="19"/>
        <v>0</v>
      </c>
      <c r="AD53" s="705">
        <f>IF(AA53=0,,VLOOKUP(AA53,リスト!DH:DI,2,0))</f>
        <v>0</v>
      </c>
      <c r="AE53" s="705">
        <f t="shared" si="4"/>
        <v>0</v>
      </c>
      <c r="AF53" s="706">
        <f>IF(AE53=0,,VLOOKUP(AE53,リスト!DK:DL,2,0))</f>
        <v>0</v>
      </c>
      <c r="AG53" s="705">
        <f>IF(AA53=0,,
IF(OR(リスト!$C$21="小麦",リスト!$C$21="二条大麦",リスト!$C$21="六条大麦",リスト!$C$21="はだか麦",リスト!$C$21="なたね"),IF(K53&lt;9,調査年-J53,調査年-J53-1),
IF(リスト!$C$21="さとうきび",IF(K53&gt;=4,調査年-J53,調査年-J53+1),
調査年-J53)))</f>
        <v>0</v>
      </c>
      <c r="AH53" s="408">
        <f t="shared" si="20"/>
        <v>0</v>
      </c>
      <c r="AI53" s="408">
        <f t="shared" si="6"/>
        <v>0</v>
      </c>
      <c r="AJ53" s="408">
        <f t="shared" si="7"/>
        <v>0</v>
      </c>
      <c r="AK53" s="408">
        <f t="shared" si="8"/>
        <v>0</v>
      </c>
      <c r="AL53" s="408">
        <f t="shared" si="9"/>
        <v>0</v>
      </c>
      <c r="AM53" s="408">
        <f t="shared" si="17"/>
        <v>0</v>
      </c>
      <c r="AN53" s="417"/>
      <c r="AO53" s="408">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408">
        <f t="shared" si="10"/>
        <v>0</v>
      </c>
      <c r="AQ53" s="408">
        <f t="shared" si="11"/>
        <v>0</v>
      </c>
      <c r="AR53" s="408">
        <f t="shared" si="12"/>
        <v>0</v>
      </c>
      <c r="AS53" s="408">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408">
        <f t="shared" si="13"/>
        <v>0</v>
      </c>
      <c r="AU53" s="408">
        <f t="shared" si="14"/>
        <v>0</v>
      </c>
      <c r="AV53" s="408">
        <f t="shared" si="15"/>
        <v>0</v>
      </c>
      <c r="AW53" s="408">
        <f t="shared" si="15"/>
        <v>0</v>
      </c>
      <c r="AX53" s="408">
        <f t="shared" si="15"/>
        <v>0</v>
      </c>
      <c r="AY53" s="742">
        <f t="shared" si="16"/>
        <v>0</v>
      </c>
      <c r="AZ53" s="707"/>
      <c r="BA53" s="707"/>
      <c r="BB53" s="707"/>
      <c r="BC53" s="707"/>
    </row>
    <row r="54" spans="3:55" s="46" customFormat="1" ht="30.75" hidden="1" customHeight="1" outlineLevel="1">
      <c r="C54" s="761">
        <v>38</v>
      </c>
      <c r="D54" s="708"/>
      <c r="E54" s="795"/>
      <c r="F54" s="791"/>
      <c r="G54" s="1963"/>
      <c r="H54" s="1964"/>
      <c r="I54" s="700"/>
      <c r="J54" s="746"/>
      <c r="K54" s="701"/>
      <c r="L54" s="702"/>
      <c r="M54" s="702"/>
      <c r="N54" s="702"/>
      <c r="O54" s="702"/>
      <c r="P54" s="702"/>
      <c r="Q54" s="876"/>
      <c r="R54" s="1039"/>
      <c r="S54" s="1074"/>
      <c r="T54" s="703"/>
      <c r="U54" s="747"/>
      <c r="V54" s="748"/>
      <c r="W54" s="738"/>
      <c r="X54" s="797"/>
      <c r="Y54" s="798"/>
      <c r="Z54" s="794"/>
      <c r="AA54" s="705">
        <f t="shared" si="3"/>
        <v>0</v>
      </c>
      <c r="AB54" s="705">
        <f t="shared" si="18"/>
        <v>0</v>
      </c>
      <c r="AC54" s="705">
        <f t="shared" si="19"/>
        <v>0</v>
      </c>
      <c r="AD54" s="705">
        <f>IF(AA54=0,,VLOOKUP(AA54,リスト!DH:DI,2,0))</f>
        <v>0</v>
      </c>
      <c r="AE54" s="705">
        <f t="shared" si="4"/>
        <v>0</v>
      </c>
      <c r="AF54" s="706">
        <f>IF(AE54=0,,VLOOKUP(AE54,リスト!DK:DL,2,0))</f>
        <v>0</v>
      </c>
      <c r="AG54" s="705">
        <f>IF(AA54=0,,
IF(OR(リスト!$C$21="小麦",リスト!$C$21="二条大麦",リスト!$C$21="六条大麦",リスト!$C$21="はだか麦",リスト!$C$21="なたね"),IF(K54&lt;9,調査年-J54,調査年-J54-1),
IF(リスト!$C$21="さとうきび",IF(K54&gt;=4,調査年-J54,調査年-J54+1),
調査年-J54)))</f>
        <v>0</v>
      </c>
      <c r="AH54" s="408">
        <f t="shared" si="20"/>
        <v>0</v>
      </c>
      <c r="AI54" s="408">
        <f t="shared" si="6"/>
        <v>0</v>
      </c>
      <c r="AJ54" s="408">
        <f t="shared" si="7"/>
        <v>0</v>
      </c>
      <c r="AK54" s="408">
        <f t="shared" si="8"/>
        <v>0</v>
      </c>
      <c r="AL54" s="408">
        <f t="shared" si="9"/>
        <v>0</v>
      </c>
      <c r="AM54" s="408">
        <f t="shared" si="17"/>
        <v>0</v>
      </c>
      <c r="AN54" s="417"/>
      <c r="AO54" s="408">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408">
        <f t="shared" si="10"/>
        <v>0</v>
      </c>
      <c r="AQ54" s="408">
        <f t="shared" si="11"/>
        <v>0</v>
      </c>
      <c r="AR54" s="408">
        <f t="shared" si="12"/>
        <v>0</v>
      </c>
      <c r="AS54" s="408">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408">
        <f t="shared" si="13"/>
        <v>0</v>
      </c>
      <c r="AU54" s="408">
        <f t="shared" si="14"/>
        <v>0</v>
      </c>
      <c r="AV54" s="408">
        <f t="shared" si="15"/>
        <v>0</v>
      </c>
      <c r="AW54" s="408">
        <f t="shared" si="15"/>
        <v>0</v>
      </c>
      <c r="AX54" s="408">
        <f t="shared" si="15"/>
        <v>0</v>
      </c>
      <c r="AY54" s="742">
        <f t="shared" si="16"/>
        <v>0</v>
      </c>
      <c r="AZ54" s="707"/>
      <c r="BA54" s="707"/>
      <c r="BB54" s="707"/>
      <c r="BC54" s="707"/>
    </row>
    <row r="55" spans="3:55" s="46" customFormat="1" ht="30.75" hidden="1" customHeight="1" outlineLevel="1">
      <c r="C55" s="761">
        <v>39</v>
      </c>
      <c r="D55" s="708"/>
      <c r="E55" s="795"/>
      <c r="F55" s="791"/>
      <c r="G55" s="1963"/>
      <c r="H55" s="1964"/>
      <c r="I55" s="700"/>
      <c r="J55" s="746"/>
      <c r="K55" s="701"/>
      <c r="L55" s="702"/>
      <c r="M55" s="702"/>
      <c r="N55" s="702"/>
      <c r="O55" s="702"/>
      <c r="P55" s="702"/>
      <c r="Q55" s="876"/>
      <c r="R55" s="1039"/>
      <c r="S55" s="1074"/>
      <c r="T55" s="703"/>
      <c r="U55" s="747"/>
      <c r="V55" s="748"/>
      <c r="W55" s="738"/>
      <c r="X55" s="797"/>
      <c r="Y55" s="798"/>
      <c r="Z55" s="794"/>
      <c r="AA55" s="705">
        <f t="shared" si="3"/>
        <v>0</v>
      </c>
      <c r="AB55" s="705">
        <f t="shared" si="18"/>
        <v>0</v>
      </c>
      <c r="AC55" s="705">
        <f t="shared" si="19"/>
        <v>0</v>
      </c>
      <c r="AD55" s="705">
        <f>IF(AA55=0,,VLOOKUP(AA55,リスト!DH:DI,2,0))</f>
        <v>0</v>
      </c>
      <c r="AE55" s="705">
        <f t="shared" si="4"/>
        <v>0</v>
      </c>
      <c r="AF55" s="706">
        <f>IF(AE55=0,,VLOOKUP(AE55,リスト!DK:DL,2,0))</f>
        <v>0</v>
      </c>
      <c r="AG55" s="705">
        <f>IF(AA55=0,,
IF(OR(リスト!$C$21="小麦",リスト!$C$21="二条大麦",リスト!$C$21="六条大麦",リスト!$C$21="はだか麦",リスト!$C$21="なたね"),IF(K55&lt;9,調査年-J55,調査年-J55-1),
IF(リスト!$C$21="さとうきび",IF(K55&gt;=4,調査年-J55,調査年-J55+1),
調査年-J55)))</f>
        <v>0</v>
      </c>
      <c r="AH55" s="408">
        <f t="shared" si="20"/>
        <v>0</v>
      </c>
      <c r="AI55" s="408">
        <f t="shared" si="6"/>
        <v>0</v>
      </c>
      <c r="AJ55" s="408">
        <f t="shared" si="7"/>
        <v>0</v>
      </c>
      <c r="AK55" s="408">
        <f t="shared" si="8"/>
        <v>0</v>
      </c>
      <c r="AL55" s="408">
        <f t="shared" si="9"/>
        <v>0</v>
      </c>
      <c r="AM55" s="408">
        <f t="shared" si="17"/>
        <v>0</v>
      </c>
      <c r="AN55" s="417"/>
      <c r="AO55" s="408">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408">
        <f t="shared" si="10"/>
        <v>0</v>
      </c>
      <c r="AQ55" s="408">
        <f t="shared" si="11"/>
        <v>0</v>
      </c>
      <c r="AR55" s="408">
        <f t="shared" si="12"/>
        <v>0</v>
      </c>
      <c r="AS55" s="408">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408">
        <f t="shared" si="13"/>
        <v>0</v>
      </c>
      <c r="AU55" s="408">
        <f t="shared" si="14"/>
        <v>0</v>
      </c>
      <c r="AV55" s="408">
        <f t="shared" si="15"/>
        <v>0</v>
      </c>
      <c r="AW55" s="408">
        <f t="shared" si="15"/>
        <v>0</v>
      </c>
      <c r="AX55" s="408">
        <f t="shared" si="15"/>
        <v>0</v>
      </c>
      <c r="AY55" s="742">
        <f t="shared" si="16"/>
        <v>0</v>
      </c>
      <c r="AZ55" s="707"/>
      <c r="BA55" s="707"/>
      <c r="BB55" s="707"/>
      <c r="BC55" s="707"/>
    </row>
    <row r="56" spans="3:55" s="46" customFormat="1" ht="30.75" hidden="1" customHeight="1" outlineLevel="1">
      <c r="C56" s="761">
        <v>40</v>
      </c>
      <c r="D56" s="708"/>
      <c r="E56" s="795"/>
      <c r="F56" s="791"/>
      <c r="G56" s="1963"/>
      <c r="H56" s="1964"/>
      <c r="I56" s="700"/>
      <c r="J56" s="746"/>
      <c r="K56" s="701"/>
      <c r="L56" s="702"/>
      <c r="M56" s="702"/>
      <c r="N56" s="702"/>
      <c r="O56" s="702"/>
      <c r="P56" s="702"/>
      <c r="Q56" s="876"/>
      <c r="R56" s="1039"/>
      <c r="S56" s="1074"/>
      <c r="T56" s="703"/>
      <c r="U56" s="747"/>
      <c r="V56" s="748"/>
      <c r="W56" s="738"/>
      <c r="X56" s="797"/>
      <c r="Y56" s="798"/>
      <c r="Z56" s="794"/>
      <c r="AA56" s="705">
        <f t="shared" si="3"/>
        <v>0</v>
      </c>
      <c r="AB56" s="705">
        <f t="shared" si="18"/>
        <v>0</v>
      </c>
      <c r="AC56" s="705">
        <f t="shared" si="19"/>
        <v>0</v>
      </c>
      <c r="AD56" s="705">
        <f>IF(AA56=0,,VLOOKUP(AA56,リスト!DH:DI,2,0))</f>
        <v>0</v>
      </c>
      <c r="AE56" s="705">
        <f t="shared" si="4"/>
        <v>0</v>
      </c>
      <c r="AF56" s="706">
        <f>IF(AE56=0,,VLOOKUP(AE56,リスト!DK:DL,2,0))</f>
        <v>0</v>
      </c>
      <c r="AG56" s="705">
        <f>IF(AA56=0,,
IF(OR(リスト!$C$21="小麦",リスト!$C$21="二条大麦",リスト!$C$21="六条大麦",リスト!$C$21="はだか麦",リスト!$C$21="なたね"),IF(K56&lt;9,調査年-J56,調査年-J56-1),
IF(リスト!$C$21="さとうきび",IF(K56&gt;=4,調査年-J56,調査年-J56+1),
調査年-J56)))</f>
        <v>0</v>
      </c>
      <c r="AH56" s="408">
        <f t="shared" si="20"/>
        <v>0</v>
      </c>
      <c r="AI56" s="408">
        <f t="shared" si="6"/>
        <v>0</v>
      </c>
      <c r="AJ56" s="408">
        <f t="shared" si="7"/>
        <v>0</v>
      </c>
      <c r="AK56" s="408">
        <f t="shared" si="8"/>
        <v>0</v>
      </c>
      <c r="AL56" s="408">
        <f t="shared" si="9"/>
        <v>0</v>
      </c>
      <c r="AM56" s="408">
        <f t="shared" si="17"/>
        <v>0</v>
      </c>
      <c r="AN56" s="417"/>
      <c r="AO56" s="408">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408">
        <f t="shared" si="10"/>
        <v>0</v>
      </c>
      <c r="AQ56" s="408">
        <f t="shared" si="11"/>
        <v>0</v>
      </c>
      <c r="AR56" s="408">
        <f t="shared" si="12"/>
        <v>0</v>
      </c>
      <c r="AS56" s="408">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408">
        <f t="shared" si="13"/>
        <v>0</v>
      </c>
      <c r="AU56" s="408">
        <f t="shared" si="14"/>
        <v>0</v>
      </c>
      <c r="AV56" s="408">
        <f t="shared" si="15"/>
        <v>0</v>
      </c>
      <c r="AW56" s="408">
        <f t="shared" si="15"/>
        <v>0</v>
      </c>
      <c r="AX56" s="408">
        <f t="shared" si="15"/>
        <v>0</v>
      </c>
      <c r="AY56" s="742">
        <f t="shared" si="16"/>
        <v>0</v>
      </c>
      <c r="AZ56" s="707"/>
      <c r="BA56" s="707"/>
      <c r="BB56" s="707"/>
      <c r="BC56" s="707"/>
    </row>
    <row r="57" spans="3:55" s="46" customFormat="1" ht="30.75" hidden="1" customHeight="1" outlineLevel="1">
      <c r="C57" s="761">
        <v>41</v>
      </c>
      <c r="D57" s="708"/>
      <c r="E57" s="795"/>
      <c r="F57" s="791"/>
      <c r="G57" s="1963"/>
      <c r="H57" s="1964"/>
      <c r="I57" s="700"/>
      <c r="J57" s="746"/>
      <c r="K57" s="701"/>
      <c r="L57" s="702"/>
      <c r="M57" s="702"/>
      <c r="N57" s="702"/>
      <c r="O57" s="702"/>
      <c r="P57" s="702"/>
      <c r="Q57" s="876"/>
      <c r="R57" s="1039"/>
      <c r="S57" s="1074"/>
      <c r="T57" s="703"/>
      <c r="U57" s="747"/>
      <c r="V57" s="748"/>
      <c r="W57" s="738"/>
      <c r="X57" s="797"/>
      <c r="Y57" s="798"/>
      <c r="Z57" s="794"/>
      <c r="AA57" s="705">
        <f t="shared" si="3"/>
        <v>0</v>
      </c>
      <c r="AB57" s="705">
        <f t="shared" si="18"/>
        <v>0</v>
      </c>
      <c r="AC57" s="705">
        <f t="shared" si="19"/>
        <v>0</v>
      </c>
      <c r="AD57" s="705">
        <f>IF(AA57=0,,VLOOKUP(AA57,リスト!DH:DI,2,0))</f>
        <v>0</v>
      </c>
      <c r="AE57" s="705">
        <f t="shared" si="4"/>
        <v>0</v>
      </c>
      <c r="AF57" s="706">
        <f>IF(AE57=0,,VLOOKUP(AE57,リスト!DK:DL,2,0))</f>
        <v>0</v>
      </c>
      <c r="AG57" s="705">
        <f>IF(AA57=0,,
IF(OR(リスト!$C$21="小麦",リスト!$C$21="二条大麦",リスト!$C$21="六条大麦",リスト!$C$21="はだか麦",リスト!$C$21="なたね"),IF(K57&lt;9,調査年-J57,調査年-J57-1),
IF(リスト!$C$21="さとうきび",IF(K57&gt;=4,調査年-J57,調査年-J57+1),
調査年-J57)))</f>
        <v>0</v>
      </c>
      <c r="AH57" s="408">
        <f t="shared" si="20"/>
        <v>0</v>
      </c>
      <c r="AI57" s="408">
        <f t="shared" si="6"/>
        <v>0</v>
      </c>
      <c r="AJ57" s="408">
        <f t="shared" si="7"/>
        <v>0</v>
      </c>
      <c r="AK57" s="408">
        <f t="shared" si="8"/>
        <v>0</v>
      </c>
      <c r="AL57" s="408">
        <f t="shared" si="9"/>
        <v>0</v>
      </c>
      <c r="AM57" s="408">
        <f t="shared" si="17"/>
        <v>0</v>
      </c>
      <c r="AN57" s="417"/>
      <c r="AO57" s="408">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408">
        <f t="shared" si="10"/>
        <v>0</v>
      </c>
      <c r="AQ57" s="408">
        <f t="shared" si="11"/>
        <v>0</v>
      </c>
      <c r="AR57" s="408">
        <f t="shared" si="12"/>
        <v>0</v>
      </c>
      <c r="AS57" s="408">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408">
        <f t="shared" si="13"/>
        <v>0</v>
      </c>
      <c r="AU57" s="408">
        <f t="shared" si="14"/>
        <v>0</v>
      </c>
      <c r="AV57" s="408">
        <f t="shared" si="15"/>
        <v>0</v>
      </c>
      <c r="AW57" s="408">
        <f t="shared" si="15"/>
        <v>0</v>
      </c>
      <c r="AX57" s="408">
        <f t="shared" si="15"/>
        <v>0</v>
      </c>
      <c r="AY57" s="742">
        <f t="shared" si="16"/>
        <v>0</v>
      </c>
      <c r="AZ57" s="707"/>
      <c r="BA57" s="707"/>
      <c r="BB57" s="707"/>
      <c r="BC57" s="707"/>
    </row>
    <row r="58" spans="3:55" s="46" customFormat="1" ht="30.75" hidden="1" customHeight="1" outlineLevel="1">
      <c r="C58" s="761">
        <v>42</v>
      </c>
      <c r="D58" s="708"/>
      <c r="E58" s="795"/>
      <c r="F58" s="791"/>
      <c r="G58" s="1963"/>
      <c r="H58" s="1964"/>
      <c r="I58" s="700"/>
      <c r="J58" s="746"/>
      <c r="K58" s="701"/>
      <c r="L58" s="702"/>
      <c r="M58" s="702"/>
      <c r="N58" s="702"/>
      <c r="O58" s="702"/>
      <c r="P58" s="702"/>
      <c r="Q58" s="876"/>
      <c r="R58" s="1039"/>
      <c r="S58" s="1074"/>
      <c r="T58" s="703"/>
      <c r="U58" s="747"/>
      <c r="V58" s="748"/>
      <c r="W58" s="738"/>
      <c r="X58" s="797"/>
      <c r="Y58" s="798"/>
      <c r="Z58" s="794"/>
      <c r="AA58" s="705">
        <f t="shared" si="3"/>
        <v>0</v>
      </c>
      <c r="AB58" s="705">
        <f t="shared" si="18"/>
        <v>0</v>
      </c>
      <c r="AC58" s="705">
        <f t="shared" si="19"/>
        <v>0</v>
      </c>
      <c r="AD58" s="705">
        <f>IF(AA58=0,,VLOOKUP(AA58,リスト!DH:DI,2,0))</f>
        <v>0</v>
      </c>
      <c r="AE58" s="705">
        <f t="shared" si="4"/>
        <v>0</v>
      </c>
      <c r="AF58" s="706">
        <f>IF(AE58=0,,VLOOKUP(AE58,リスト!DK:DL,2,0))</f>
        <v>0</v>
      </c>
      <c r="AG58" s="705">
        <f>IF(AA58=0,,
IF(OR(リスト!$C$21="小麦",リスト!$C$21="二条大麦",リスト!$C$21="六条大麦",リスト!$C$21="はだか麦",リスト!$C$21="なたね"),IF(K58&lt;9,調査年-J58,調査年-J58-1),
IF(リスト!$C$21="さとうきび",IF(K58&gt;=4,調査年-J58,調査年-J58+1),
調査年-J58)))</f>
        <v>0</v>
      </c>
      <c r="AH58" s="408">
        <f t="shared" si="20"/>
        <v>0</v>
      </c>
      <c r="AI58" s="408">
        <f t="shared" si="6"/>
        <v>0</v>
      </c>
      <c r="AJ58" s="408">
        <f t="shared" si="7"/>
        <v>0</v>
      </c>
      <c r="AK58" s="408">
        <f t="shared" si="8"/>
        <v>0</v>
      </c>
      <c r="AL58" s="408">
        <f t="shared" si="9"/>
        <v>0</v>
      </c>
      <c r="AM58" s="408">
        <f t="shared" si="17"/>
        <v>0</v>
      </c>
      <c r="AN58" s="417"/>
      <c r="AO58" s="408">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408">
        <f t="shared" si="10"/>
        <v>0</v>
      </c>
      <c r="AQ58" s="408">
        <f t="shared" si="11"/>
        <v>0</v>
      </c>
      <c r="AR58" s="408">
        <f t="shared" si="12"/>
        <v>0</v>
      </c>
      <c r="AS58" s="408">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408">
        <f t="shared" si="13"/>
        <v>0</v>
      </c>
      <c r="AU58" s="408">
        <f t="shared" si="14"/>
        <v>0</v>
      </c>
      <c r="AV58" s="408">
        <f t="shared" si="15"/>
        <v>0</v>
      </c>
      <c r="AW58" s="408">
        <f t="shared" si="15"/>
        <v>0</v>
      </c>
      <c r="AX58" s="408">
        <f t="shared" si="15"/>
        <v>0</v>
      </c>
      <c r="AY58" s="742">
        <f t="shared" si="16"/>
        <v>0</v>
      </c>
      <c r="AZ58" s="707"/>
      <c r="BA58" s="707"/>
      <c r="BB58" s="707"/>
      <c r="BC58" s="707"/>
    </row>
    <row r="59" spans="3:55" s="46" customFormat="1" ht="30.75" hidden="1" customHeight="1" outlineLevel="1">
      <c r="C59" s="761">
        <v>43</v>
      </c>
      <c r="D59" s="708"/>
      <c r="E59" s="795"/>
      <c r="F59" s="791"/>
      <c r="G59" s="1963"/>
      <c r="H59" s="1964"/>
      <c r="I59" s="700"/>
      <c r="J59" s="746"/>
      <c r="K59" s="701"/>
      <c r="L59" s="702"/>
      <c r="M59" s="702"/>
      <c r="N59" s="702"/>
      <c r="O59" s="702"/>
      <c r="P59" s="702"/>
      <c r="Q59" s="876"/>
      <c r="R59" s="1039"/>
      <c r="S59" s="1074"/>
      <c r="T59" s="703"/>
      <c r="U59" s="747"/>
      <c r="V59" s="748"/>
      <c r="W59" s="738"/>
      <c r="X59" s="797"/>
      <c r="Y59" s="798"/>
      <c r="Z59" s="794"/>
      <c r="AA59" s="705">
        <f t="shared" si="3"/>
        <v>0</v>
      </c>
      <c r="AB59" s="705">
        <f t="shared" si="18"/>
        <v>0</v>
      </c>
      <c r="AC59" s="705">
        <f t="shared" si="19"/>
        <v>0</v>
      </c>
      <c r="AD59" s="705">
        <f>IF(AA59=0,,VLOOKUP(AA59,リスト!DH:DI,2,0))</f>
        <v>0</v>
      </c>
      <c r="AE59" s="705">
        <f t="shared" si="4"/>
        <v>0</v>
      </c>
      <c r="AF59" s="706">
        <f>IF(AE59=0,,VLOOKUP(AE59,リスト!DK:DL,2,0))</f>
        <v>0</v>
      </c>
      <c r="AG59" s="705">
        <f>IF(AA59=0,,
IF(OR(リスト!$C$21="小麦",リスト!$C$21="二条大麦",リスト!$C$21="六条大麦",リスト!$C$21="はだか麦",リスト!$C$21="なたね"),IF(K59&lt;9,調査年-J59,調査年-J59-1),
IF(リスト!$C$21="さとうきび",IF(K59&gt;=4,調査年-J59,調査年-J59+1),
調査年-J59)))</f>
        <v>0</v>
      </c>
      <c r="AH59" s="408">
        <f t="shared" si="20"/>
        <v>0</v>
      </c>
      <c r="AI59" s="408">
        <f t="shared" si="6"/>
        <v>0</v>
      </c>
      <c r="AJ59" s="408">
        <f t="shared" si="7"/>
        <v>0</v>
      </c>
      <c r="AK59" s="408">
        <f t="shared" si="8"/>
        <v>0</v>
      </c>
      <c r="AL59" s="408">
        <f t="shared" si="9"/>
        <v>0</v>
      </c>
      <c r="AM59" s="408">
        <f t="shared" si="17"/>
        <v>0</v>
      </c>
      <c r="AN59" s="417"/>
      <c r="AO59" s="408">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408">
        <f t="shared" si="10"/>
        <v>0</v>
      </c>
      <c r="AQ59" s="408">
        <f t="shared" si="11"/>
        <v>0</v>
      </c>
      <c r="AR59" s="408">
        <f t="shared" si="12"/>
        <v>0</v>
      </c>
      <c r="AS59" s="408">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408">
        <f t="shared" si="13"/>
        <v>0</v>
      </c>
      <c r="AU59" s="408">
        <f t="shared" si="14"/>
        <v>0</v>
      </c>
      <c r="AV59" s="408">
        <f t="shared" si="15"/>
        <v>0</v>
      </c>
      <c r="AW59" s="408">
        <f t="shared" si="15"/>
        <v>0</v>
      </c>
      <c r="AX59" s="408">
        <f t="shared" si="15"/>
        <v>0</v>
      </c>
      <c r="AY59" s="742">
        <f t="shared" si="16"/>
        <v>0</v>
      </c>
      <c r="AZ59" s="707"/>
      <c r="BA59" s="707"/>
      <c r="BB59" s="707"/>
      <c r="BC59" s="707"/>
    </row>
    <row r="60" spans="3:55" s="46" customFormat="1" ht="30.75" hidden="1" customHeight="1" outlineLevel="1">
      <c r="C60" s="761">
        <v>44</v>
      </c>
      <c r="D60" s="708"/>
      <c r="E60" s="795"/>
      <c r="F60" s="791"/>
      <c r="G60" s="1963"/>
      <c r="H60" s="1964"/>
      <c r="I60" s="700"/>
      <c r="J60" s="746"/>
      <c r="K60" s="701"/>
      <c r="L60" s="702"/>
      <c r="M60" s="702"/>
      <c r="N60" s="702"/>
      <c r="O60" s="702"/>
      <c r="P60" s="702"/>
      <c r="Q60" s="876"/>
      <c r="R60" s="1039"/>
      <c r="S60" s="1074"/>
      <c r="T60" s="703"/>
      <c r="U60" s="747"/>
      <c r="V60" s="748"/>
      <c r="W60" s="738"/>
      <c r="X60" s="797"/>
      <c r="Y60" s="798"/>
      <c r="Z60" s="794"/>
      <c r="AA60" s="705">
        <f t="shared" si="3"/>
        <v>0</v>
      </c>
      <c r="AB60" s="705">
        <f t="shared" si="18"/>
        <v>0</v>
      </c>
      <c r="AC60" s="705">
        <f t="shared" si="19"/>
        <v>0</v>
      </c>
      <c r="AD60" s="705">
        <f>IF(AA60=0,,VLOOKUP(AA60,リスト!DH:DI,2,0))</f>
        <v>0</v>
      </c>
      <c r="AE60" s="705">
        <f t="shared" si="4"/>
        <v>0</v>
      </c>
      <c r="AF60" s="706">
        <f>IF(AE60=0,,VLOOKUP(AE60,リスト!DK:DL,2,0))</f>
        <v>0</v>
      </c>
      <c r="AG60" s="705">
        <f>IF(AA60=0,,
IF(OR(リスト!$C$21="小麦",リスト!$C$21="二条大麦",リスト!$C$21="六条大麦",リスト!$C$21="はだか麦",リスト!$C$21="なたね"),IF(K60&lt;9,調査年-J60,調査年-J60-1),
IF(リスト!$C$21="さとうきび",IF(K60&gt;=4,調査年-J60,調査年-J60+1),
調査年-J60)))</f>
        <v>0</v>
      </c>
      <c r="AH60" s="408">
        <f t="shared" si="20"/>
        <v>0</v>
      </c>
      <c r="AI60" s="408">
        <f t="shared" si="6"/>
        <v>0</v>
      </c>
      <c r="AJ60" s="408">
        <f t="shared" si="7"/>
        <v>0</v>
      </c>
      <c r="AK60" s="408">
        <f t="shared" si="8"/>
        <v>0</v>
      </c>
      <c r="AL60" s="408">
        <f t="shared" si="9"/>
        <v>0</v>
      </c>
      <c r="AM60" s="408">
        <f t="shared" si="17"/>
        <v>0</v>
      </c>
      <c r="AN60" s="417"/>
      <c r="AO60" s="408">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408">
        <f t="shared" si="10"/>
        <v>0</v>
      </c>
      <c r="AQ60" s="408">
        <f t="shared" si="11"/>
        <v>0</v>
      </c>
      <c r="AR60" s="408">
        <f t="shared" si="12"/>
        <v>0</v>
      </c>
      <c r="AS60" s="408">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408">
        <f t="shared" si="13"/>
        <v>0</v>
      </c>
      <c r="AU60" s="408">
        <f t="shared" si="14"/>
        <v>0</v>
      </c>
      <c r="AV60" s="408">
        <f t="shared" si="15"/>
        <v>0</v>
      </c>
      <c r="AW60" s="408">
        <f t="shared" si="15"/>
        <v>0</v>
      </c>
      <c r="AX60" s="408">
        <f t="shared" si="15"/>
        <v>0</v>
      </c>
      <c r="AY60" s="742">
        <f t="shared" si="16"/>
        <v>0</v>
      </c>
      <c r="AZ60" s="707"/>
      <c r="BA60" s="707"/>
      <c r="BB60" s="707"/>
      <c r="BC60" s="707"/>
    </row>
    <row r="61" spans="3:55" s="46" customFormat="1" ht="30.75" hidden="1" customHeight="1" outlineLevel="1">
      <c r="C61" s="761">
        <v>45</v>
      </c>
      <c r="D61" s="708"/>
      <c r="E61" s="795"/>
      <c r="F61" s="791"/>
      <c r="G61" s="1963"/>
      <c r="H61" s="1964"/>
      <c r="I61" s="700"/>
      <c r="J61" s="746"/>
      <c r="K61" s="701"/>
      <c r="L61" s="702"/>
      <c r="M61" s="702"/>
      <c r="N61" s="702"/>
      <c r="O61" s="702"/>
      <c r="P61" s="702"/>
      <c r="Q61" s="876"/>
      <c r="R61" s="1039"/>
      <c r="S61" s="1074"/>
      <c r="T61" s="703"/>
      <c r="U61" s="747"/>
      <c r="V61" s="748"/>
      <c r="W61" s="738"/>
      <c r="X61" s="797"/>
      <c r="Y61" s="798"/>
      <c r="Z61" s="794"/>
      <c r="AA61" s="705">
        <f t="shared" si="3"/>
        <v>0</v>
      </c>
      <c r="AB61" s="705">
        <f t="shared" si="18"/>
        <v>0</v>
      </c>
      <c r="AC61" s="705">
        <f t="shared" si="19"/>
        <v>0</v>
      </c>
      <c r="AD61" s="705">
        <f>IF(AA61=0,,VLOOKUP(AA61,リスト!DH:DI,2,0))</f>
        <v>0</v>
      </c>
      <c r="AE61" s="705">
        <f t="shared" si="4"/>
        <v>0</v>
      </c>
      <c r="AF61" s="706">
        <f>IF(AE61=0,,VLOOKUP(AE61,リスト!DK:DL,2,0))</f>
        <v>0</v>
      </c>
      <c r="AG61" s="705">
        <f>IF(AA61=0,,
IF(OR(リスト!$C$21="小麦",リスト!$C$21="二条大麦",リスト!$C$21="六条大麦",リスト!$C$21="はだか麦",リスト!$C$21="なたね"),IF(K61&lt;9,調査年-J61,調査年-J61-1),
IF(リスト!$C$21="さとうきび",IF(K61&gt;=4,調査年-J61,調査年-J61+1),
調査年-J61)))</f>
        <v>0</v>
      </c>
      <c r="AH61" s="408">
        <f t="shared" si="20"/>
        <v>0</v>
      </c>
      <c r="AI61" s="408">
        <f t="shared" si="6"/>
        <v>0</v>
      </c>
      <c r="AJ61" s="408">
        <f t="shared" si="7"/>
        <v>0</v>
      </c>
      <c r="AK61" s="408">
        <f t="shared" si="8"/>
        <v>0</v>
      </c>
      <c r="AL61" s="408">
        <f t="shared" si="9"/>
        <v>0</v>
      </c>
      <c r="AM61" s="408">
        <f t="shared" si="17"/>
        <v>0</v>
      </c>
      <c r="AN61" s="417"/>
      <c r="AO61" s="408">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408">
        <f t="shared" si="10"/>
        <v>0</v>
      </c>
      <c r="AQ61" s="408">
        <f t="shared" si="11"/>
        <v>0</v>
      </c>
      <c r="AR61" s="408">
        <f t="shared" si="12"/>
        <v>0</v>
      </c>
      <c r="AS61" s="408">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408">
        <f t="shared" si="13"/>
        <v>0</v>
      </c>
      <c r="AU61" s="408">
        <f t="shared" si="14"/>
        <v>0</v>
      </c>
      <c r="AV61" s="408">
        <f t="shared" si="15"/>
        <v>0</v>
      </c>
      <c r="AW61" s="408">
        <f t="shared" si="15"/>
        <v>0</v>
      </c>
      <c r="AX61" s="408">
        <f t="shared" si="15"/>
        <v>0</v>
      </c>
      <c r="AY61" s="742">
        <f t="shared" si="16"/>
        <v>0</v>
      </c>
      <c r="AZ61" s="707"/>
      <c r="BA61" s="707"/>
      <c r="BB61" s="707"/>
      <c r="BC61" s="707"/>
    </row>
    <row r="62" spans="3:55" s="46" customFormat="1" ht="30.75" hidden="1" customHeight="1" outlineLevel="1">
      <c r="C62" s="761">
        <v>46</v>
      </c>
      <c r="D62" s="708"/>
      <c r="E62" s="795"/>
      <c r="F62" s="791"/>
      <c r="G62" s="1963"/>
      <c r="H62" s="1964"/>
      <c r="I62" s="700"/>
      <c r="J62" s="746"/>
      <c r="K62" s="701"/>
      <c r="L62" s="702"/>
      <c r="M62" s="702"/>
      <c r="N62" s="702"/>
      <c r="O62" s="702"/>
      <c r="P62" s="702"/>
      <c r="Q62" s="876"/>
      <c r="R62" s="1039"/>
      <c r="S62" s="1074"/>
      <c r="T62" s="703"/>
      <c r="U62" s="747"/>
      <c r="V62" s="748"/>
      <c r="W62" s="738"/>
      <c r="X62" s="797"/>
      <c r="Y62" s="798"/>
      <c r="Z62" s="794"/>
      <c r="AA62" s="705">
        <f t="shared" si="3"/>
        <v>0</v>
      </c>
      <c r="AB62" s="705">
        <f t="shared" si="18"/>
        <v>0</v>
      </c>
      <c r="AC62" s="705">
        <f t="shared" si="19"/>
        <v>0</v>
      </c>
      <c r="AD62" s="705">
        <f>IF(AA62=0,,VLOOKUP(AA62,リスト!DH:DI,2,0))</f>
        <v>0</v>
      </c>
      <c r="AE62" s="705">
        <f t="shared" si="4"/>
        <v>0</v>
      </c>
      <c r="AF62" s="706">
        <f>IF(AE62=0,,VLOOKUP(AE62,リスト!DK:DL,2,0))</f>
        <v>0</v>
      </c>
      <c r="AG62" s="705">
        <f>IF(AA62=0,,
IF(OR(リスト!$C$21="小麦",リスト!$C$21="二条大麦",リスト!$C$21="六条大麦",リスト!$C$21="はだか麦",リスト!$C$21="なたね"),IF(K62&lt;9,調査年-J62,調査年-J62-1),
IF(リスト!$C$21="さとうきび",IF(K62&gt;=4,調査年-J62,調査年-J62+1),
調査年-J62)))</f>
        <v>0</v>
      </c>
      <c r="AH62" s="408">
        <f t="shared" si="20"/>
        <v>0</v>
      </c>
      <c r="AI62" s="408">
        <f t="shared" si="6"/>
        <v>0</v>
      </c>
      <c r="AJ62" s="408">
        <f t="shared" si="7"/>
        <v>0</v>
      </c>
      <c r="AK62" s="408">
        <f t="shared" si="8"/>
        <v>0</v>
      </c>
      <c r="AL62" s="408">
        <f t="shared" si="9"/>
        <v>0</v>
      </c>
      <c r="AM62" s="408">
        <f t="shared" si="17"/>
        <v>0</v>
      </c>
      <c r="AN62" s="417"/>
      <c r="AO62" s="408">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408">
        <f t="shared" si="10"/>
        <v>0</v>
      </c>
      <c r="AQ62" s="408">
        <f t="shared" si="11"/>
        <v>0</v>
      </c>
      <c r="AR62" s="408">
        <f t="shared" si="12"/>
        <v>0</v>
      </c>
      <c r="AS62" s="408">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408">
        <f t="shared" si="13"/>
        <v>0</v>
      </c>
      <c r="AU62" s="408">
        <f t="shared" si="14"/>
        <v>0</v>
      </c>
      <c r="AV62" s="408">
        <f t="shared" si="15"/>
        <v>0</v>
      </c>
      <c r="AW62" s="408">
        <f t="shared" si="15"/>
        <v>0</v>
      </c>
      <c r="AX62" s="408">
        <f t="shared" si="15"/>
        <v>0</v>
      </c>
      <c r="AY62" s="742">
        <f t="shared" si="16"/>
        <v>0</v>
      </c>
      <c r="AZ62" s="707"/>
      <c r="BA62" s="707"/>
      <c r="BB62" s="707"/>
      <c r="BC62" s="707"/>
    </row>
    <row r="63" spans="3:55" s="46" customFormat="1" ht="30.75" hidden="1" customHeight="1" outlineLevel="1">
      <c r="C63" s="761">
        <v>47</v>
      </c>
      <c r="D63" s="708"/>
      <c r="E63" s="795"/>
      <c r="F63" s="791"/>
      <c r="G63" s="1963"/>
      <c r="H63" s="1964"/>
      <c r="I63" s="700"/>
      <c r="J63" s="746"/>
      <c r="K63" s="701"/>
      <c r="L63" s="702"/>
      <c r="M63" s="702"/>
      <c r="N63" s="702"/>
      <c r="O63" s="702"/>
      <c r="P63" s="702"/>
      <c r="Q63" s="876"/>
      <c r="R63" s="1039"/>
      <c r="S63" s="1074"/>
      <c r="T63" s="703"/>
      <c r="U63" s="747"/>
      <c r="V63" s="748"/>
      <c r="W63" s="738"/>
      <c r="X63" s="797"/>
      <c r="Y63" s="798"/>
      <c r="Z63" s="794"/>
      <c r="AA63" s="705">
        <f t="shared" si="3"/>
        <v>0</v>
      </c>
      <c r="AB63" s="705">
        <f t="shared" si="18"/>
        <v>0</v>
      </c>
      <c r="AC63" s="705">
        <f t="shared" si="19"/>
        <v>0</v>
      </c>
      <c r="AD63" s="705">
        <f>IF(AA63=0,,VLOOKUP(AA63,リスト!DH:DI,2,0))</f>
        <v>0</v>
      </c>
      <c r="AE63" s="705">
        <f t="shared" si="4"/>
        <v>0</v>
      </c>
      <c r="AF63" s="706">
        <f>IF(AE63=0,,VLOOKUP(AE63,リスト!DK:DL,2,0))</f>
        <v>0</v>
      </c>
      <c r="AG63" s="705">
        <f>IF(AA63=0,,
IF(OR(リスト!$C$21="小麦",リスト!$C$21="二条大麦",リスト!$C$21="六条大麦",リスト!$C$21="はだか麦",リスト!$C$21="なたね"),IF(K63&lt;9,調査年-J63,調査年-J63-1),
IF(リスト!$C$21="さとうきび",IF(K63&gt;=4,調査年-J63,調査年-J63+1),
調査年-J63)))</f>
        <v>0</v>
      </c>
      <c r="AH63" s="408">
        <f t="shared" si="20"/>
        <v>0</v>
      </c>
      <c r="AI63" s="408">
        <f t="shared" si="6"/>
        <v>0</v>
      </c>
      <c r="AJ63" s="408">
        <f t="shared" si="7"/>
        <v>0</v>
      </c>
      <c r="AK63" s="408">
        <f t="shared" si="8"/>
        <v>0</v>
      </c>
      <c r="AL63" s="408">
        <f t="shared" si="9"/>
        <v>0</v>
      </c>
      <c r="AM63" s="408">
        <f t="shared" si="17"/>
        <v>0</v>
      </c>
      <c r="AN63" s="417"/>
      <c r="AO63" s="408">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408">
        <f t="shared" si="10"/>
        <v>0</v>
      </c>
      <c r="AQ63" s="408">
        <f t="shared" si="11"/>
        <v>0</v>
      </c>
      <c r="AR63" s="408">
        <f t="shared" si="12"/>
        <v>0</v>
      </c>
      <c r="AS63" s="408">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408">
        <f t="shared" si="13"/>
        <v>0</v>
      </c>
      <c r="AU63" s="408">
        <f t="shared" si="14"/>
        <v>0</v>
      </c>
      <c r="AV63" s="408">
        <f t="shared" si="15"/>
        <v>0</v>
      </c>
      <c r="AW63" s="408">
        <f t="shared" si="15"/>
        <v>0</v>
      </c>
      <c r="AX63" s="408">
        <f t="shared" si="15"/>
        <v>0</v>
      </c>
      <c r="AY63" s="742">
        <f t="shared" si="16"/>
        <v>0</v>
      </c>
      <c r="AZ63" s="707"/>
      <c r="BA63" s="707"/>
      <c r="BB63" s="707"/>
      <c r="BC63" s="707"/>
    </row>
    <row r="64" spans="3:55" s="46" customFormat="1" ht="30.75" hidden="1" customHeight="1" outlineLevel="1">
      <c r="C64" s="761">
        <v>48</v>
      </c>
      <c r="D64" s="708"/>
      <c r="E64" s="795"/>
      <c r="F64" s="791"/>
      <c r="G64" s="1963"/>
      <c r="H64" s="1964"/>
      <c r="I64" s="700"/>
      <c r="J64" s="746"/>
      <c r="K64" s="701"/>
      <c r="L64" s="702"/>
      <c r="M64" s="702"/>
      <c r="N64" s="702"/>
      <c r="O64" s="702"/>
      <c r="P64" s="702"/>
      <c r="Q64" s="876"/>
      <c r="R64" s="1039"/>
      <c r="S64" s="1074"/>
      <c r="T64" s="703"/>
      <c r="U64" s="747"/>
      <c r="V64" s="748"/>
      <c r="W64" s="738"/>
      <c r="X64" s="797"/>
      <c r="Y64" s="798"/>
      <c r="Z64" s="794"/>
      <c r="AA64" s="705">
        <f t="shared" si="3"/>
        <v>0</v>
      </c>
      <c r="AB64" s="705">
        <f t="shared" si="18"/>
        <v>0</v>
      </c>
      <c r="AC64" s="705">
        <f t="shared" si="19"/>
        <v>0</v>
      </c>
      <c r="AD64" s="705">
        <f>IF(AA64=0,,VLOOKUP(AA64,リスト!DH:DI,2,0))</f>
        <v>0</v>
      </c>
      <c r="AE64" s="705">
        <f t="shared" si="4"/>
        <v>0</v>
      </c>
      <c r="AF64" s="706">
        <f>IF(AE64=0,,VLOOKUP(AE64,リスト!DK:DL,2,0))</f>
        <v>0</v>
      </c>
      <c r="AG64" s="705">
        <f>IF(AA64=0,,
IF(OR(リスト!$C$21="小麦",リスト!$C$21="二条大麦",リスト!$C$21="六条大麦",リスト!$C$21="はだか麦",リスト!$C$21="なたね"),IF(K64&lt;9,調査年-J64,調査年-J64-1),
IF(リスト!$C$21="さとうきび",IF(K64&gt;=4,調査年-J64,調査年-J64+1),
調査年-J64)))</f>
        <v>0</v>
      </c>
      <c r="AH64" s="408">
        <f t="shared" si="20"/>
        <v>0</v>
      </c>
      <c r="AI64" s="408">
        <f t="shared" si="6"/>
        <v>0</v>
      </c>
      <c r="AJ64" s="408">
        <f t="shared" si="7"/>
        <v>0</v>
      </c>
      <c r="AK64" s="408">
        <f t="shared" si="8"/>
        <v>0</v>
      </c>
      <c r="AL64" s="408">
        <f t="shared" si="9"/>
        <v>0</v>
      </c>
      <c r="AM64" s="408">
        <f t="shared" si="17"/>
        <v>0</v>
      </c>
      <c r="AN64" s="417"/>
      <c r="AO64" s="408">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408">
        <f t="shared" si="10"/>
        <v>0</v>
      </c>
      <c r="AQ64" s="408">
        <f t="shared" si="11"/>
        <v>0</v>
      </c>
      <c r="AR64" s="408">
        <f t="shared" si="12"/>
        <v>0</v>
      </c>
      <c r="AS64" s="408">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408">
        <f t="shared" si="13"/>
        <v>0</v>
      </c>
      <c r="AU64" s="408">
        <f t="shared" si="14"/>
        <v>0</v>
      </c>
      <c r="AV64" s="408">
        <f t="shared" si="15"/>
        <v>0</v>
      </c>
      <c r="AW64" s="408">
        <f t="shared" si="15"/>
        <v>0</v>
      </c>
      <c r="AX64" s="408">
        <f t="shared" si="15"/>
        <v>0</v>
      </c>
      <c r="AY64" s="742">
        <f t="shared" si="16"/>
        <v>0</v>
      </c>
      <c r="AZ64" s="707"/>
      <c r="BA64" s="707"/>
      <c r="BB64" s="707"/>
      <c r="BC64" s="707"/>
    </row>
    <row r="65" spans="3:55" s="46" customFormat="1" ht="30.75" hidden="1" customHeight="1" outlineLevel="1">
      <c r="C65" s="761">
        <v>49</v>
      </c>
      <c r="D65" s="708"/>
      <c r="E65" s="795"/>
      <c r="F65" s="791"/>
      <c r="G65" s="1963"/>
      <c r="H65" s="1964"/>
      <c r="I65" s="700"/>
      <c r="J65" s="746"/>
      <c r="K65" s="701"/>
      <c r="L65" s="702"/>
      <c r="M65" s="702"/>
      <c r="N65" s="702"/>
      <c r="O65" s="702"/>
      <c r="P65" s="702"/>
      <c r="Q65" s="876"/>
      <c r="R65" s="1039"/>
      <c r="S65" s="1074"/>
      <c r="T65" s="703"/>
      <c r="U65" s="747"/>
      <c r="V65" s="748"/>
      <c r="W65" s="738"/>
      <c r="X65" s="797"/>
      <c r="Y65" s="798"/>
      <c r="Z65" s="794"/>
      <c r="AA65" s="705">
        <f t="shared" si="3"/>
        <v>0</v>
      </c>
      <c r="AB65" s="705">
        <f t="shared" si="18"/>
        <v>0</v>
      </c>
      <c r="AC65" s="705">
        <f t="shared" si="19"/>
        <v>0</v>
      </c>
      <c r="AD65" s="705">
        <f>IF(AA65=0,,VLOOKUP(AA65,リスト!DH:DI,2,0))</f>
        <v>0</v>
      </c>
      <c r="AE65" s="705">
        <f t="shared" si="4"/>
        <v>0</v>
      </c>
      <c r="AF65" s="706">
        <f>IF(AE65=0,,VLOOKUP(AE65,リスト!DK:DL,2,0))</f>
        <v>0</v>
      </c>
      <c r="AG65" s="705">
        <f>IF(AA65=0,,
IF(OR(リスト!$C$21="小麦",リスト!$C$21="二条大麦",リスト!$C$21="六条大麦",リスト!$C$21="はだか麦",リスト!$C$21="なたね"),IF(K65&lt;9,調査年-J65,調査年-J65-1),
IF(リスト!$C$21="さとうきび",IF(K65&gt;=4,調査年-J65,調査年-J65+1),
調査年-J65)))</f>
        <v>0</v>
      </c>
      <c r="AH65" s="408">
        <f t="shared" si="20"/>
        <v>0</v>
      </c>
      <c r="AI65" s="408">
        <f t="shared" si="6"/>
        <v>0</v>
      </c>
      <c r="AJ65" s="408">
        <f t="shared" si="7"/>
        <v>0</v>
      </c>
      <c r="AK65" s="408">
        <f t="shared" si="8"/>
        <v>0</v>
      </c>
      <c r="AL65" s="408">
        <f t="shared" si="9"/>
        <v>0</v>
      </c>
      <c r="AM65" s="408">
        <f t="shared" si="17"/>
        <v>0</v>
      </c>
      <c r="AN65" s="417"/>
      <c r="AO65" s="408">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408">
        <f t="shared" si="10"/>
        <v>0</v>
      </c>
      <c r="AQ65" s="408">
        <f t="shared" si="11"/>
        <v>0</v>
      </c>
      <c r="AR65" s="408">
        <f t="shared" si="12"/>
        <v>0</v>
      </c>
      <c r="AS65" s="408">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408">
        <f t="shared" si="13"/>
        <v>0</v>
      </c>
      <c r="AU65" s="408">
        <f t="shared" si="14"/>
        <v>0</v>
      </c>
      <c r="AV65" s="408">
        <f t="shared" si="15"/>
        <v>0</v>
      </c>
      <c r="AW65" s="408">
        <f t="shared" si="15"/>
        <v>0</v>
      </c>
      <c r="AX65" s="408">
        <f t="shared" si="15"/>
        <v>0</v>
      </c>
      <c r="AY65" s="742">
        <f t="shared" si="16"/>
        <v>0</v>
      </c>
      <c r="AZ65" s="707"/>
      <c r="BA65" s="707"/>
      <c r="BB65" s="707"/>
      <c r="BC65" s="707"/>
    </row>
    <row r="66" spans="3:55" s="46" customFormat="1" ht="30.75" hidden="1" customHeight="1" outlineLevel="1">
      <c r="C66" s="761">
        <v>50</v>
      </c>
      <c r="D66" s="708"/>
      <c r="E66" s="795"/>
      <c r="F66" s="791"/>
      <c r="G66" s="1963"/>
      <c r="H66" s="1964"/>
      <c r="I66" s="700"/>
      <c r="J66" s="746"/>
      <c r="K66" s="701"/>
      <c r="L66" s="702"/>
      <c r="M66" s="702"/>
      <c r="N66" s="702"/>
      <c r="O66" s="702"/>
      <c r="P66" s="702"/>
      <c r="Q66" s="876"/>
      <c r="R66" s="1039"/>
      <c r="S66" s="1074"/>
      <c r="T66" s="703"/>
      <c r="U66" s="747"/>
      <c r="V66" s="748"/>
      <c r="W66" s="738"/>
      <c r="X66" s="797"/>
      <c r="Y66" s="798"/>
      <c r="Z66" s="794"/>
      <c r="AA66" s="705">
        <f t="shared" si="3"/>
        <v>0</v>
      </c>
      <c r="AB66" s="705">
        <f t="shared" si="18"/>
        <v>0</v>
      </c>
      <c r="AC66" s="705">
        <f t="shared" si="19"/>
        <v>0</v>
      </c>
      <c r="AD66" s="705">
        <f>IF(AA66=0,,VLOOKUP(AA66,リスト!DH:DI,2,0))</f>
        <v>0</v>
      </c>
      <c r="AE66" s="705">
        <f t="shared" si="4"/>
        <v>0</v>
      </c>
      <c r="AF66" s="706">
        <f>IF(AE66=0,,VLOOKUP(AE66,リスト!DK:DL,2,0))</f>
        <v>0</v>
      </c>
      <c r="AG66" s="705">
        <f>IF(AA66=0,,
IF(OR(リスト!$C$21="小麦",リスト!$C$21="二条大麦",リスト!$C$21="六条大麦",リスト!$C$21="はだか麦",リスト!$C$21="なたね"),IF(K66&lt;9,調査年-J66,調査年-J66-1),
IF(リスト!$C$21="さとうきび",IF(K66&gt;=4,調査年-J66,調査年-J66+1),
調査年-J66)))</f>
        <v>0</v>
      </c>
      <c r="AH66" s="408">
        <f t="shared" si="20"/>
        <v>0</v>
      </c>
      <c r="AI66" s="408">
        <f t="shared" si="6"/>
        <v>0</v>
      </c>
      <c r="AJ66" s="408">
        <f t="shared" si="7"/>
        <v>0</v>
      </c>
      <c r="AK66" s="408">
        <f t="shared" si="8"/>
        <v>0</v>
      </c>
      <c r="AL66" s="408">
        <f t="shared" si="9"/>
        <v>0</v>
      </c>
      <c r="AM66" s="408">
        <f t="shared" si="17"/>
        <v>0</v>
      </c>
      <c r="AN66" s="417"/>
      <c r="AO66" s="408">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408">
        <f t="shared" si="10"/>
        <v>0</v>
      </c>
      <c r="AQ66" s="408">
        <f t="shared" si="11"/>
        <v>0</v>
      </c>
      <c r="AR66" s="408">
        <f t="shared" si="12"/>
        <v>0</v>
      </c>
      <c r="AS66" s="408">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408">
        <f t="shared" si="13"/>
        <v>0</v>
      </c>
      <c r="AU66" s="408">
        <f t="shared" si="14"/>
        <v>0</v>
      </c>
      <c r="AV66" s="408">
        <f t="shared" si="15"/>
        <v>0</v>
      </c>
      <c r="AW66" s="408">
        <f t="shared" si="15"/>
        <v>0</v>
      </c>
      <c r="AX66" s="408">
        <f t="shared" si="15"/>
        <v>0</v>
      </c>
      <c r="AY66" s="742">
        <f t="shared" si="16"/>
        <v>0</v>
      </c>
      <c r="AZ66" s="707"/>
      <c r="BA66" s="707"/>
      <c r="BB66" s="707"/>
      <c r="BC66" s="707"/>
    </row>
    <row r="67" spans="3:55" s="46" customFormat="1" ht="30.75" hidden="1" customHeight="1" outlineLevel="1">
      <c r="C67" s="761">
        <v>51</v>
      </c>
      <c r="D67" s="708"/>
      <c r="E67" s="795"/>
      <c r="F67" s="791"/>
      <c r="G67" s="1963"/>
      <c r="H67" s="1964"/>
      <c r="I67" s="700"/>
      <c r="J67" s="746"/>
      <c r="K67" s="701"/>
      <c r="L67" s="702"/>
      <c r="M67" s="702"/>
      <c r="N67" s="702"/>
      <c r="O67" s="702"/>
      <c r="P67" s="702"/>
      <c r="Q67" s="876"/>
      <c r="R67" s="1039"/>
      <c r="S67" s="1074"/>
      <c r="T67" s="703"/>
      <c r="U67" s="747"/>
      <c r="V67" s="748"/>
      <c r="W67" s="738"/>
      <c r="X67" s="797"/>
      <c r="Y67" s="798"/>
      <c r="Z67" s="794"/>
      <c r="AA67" s="705">
        <f t="shared" si="3"/>
        <v>0</v>
      </c>
      <c r="AB67" s="705">
        <f t="shared" si="18"/>
        <v>0</v>
      </c>
      <c r="AC67" s="705">
        <f t="shared" si="19"/>
        <v>0</v>
      </c>
      <c r="AD67" s="705">
        <f>IF(AA67=0,,VLOOKUP(AA67,リスト!DH:DI,2,0))</f>
        <v>0</v>
      </c>
      <c r="AE67" s="705">
        <f t="shared" si="4"/>
        <v>0</v>
      </c>
      <c r="AF67" s="706">
        <f>IF(AE67=0,,VLOOKUP(AE67,リスト!DK:DL,2,0))</f>
        <v>0</v>
      </c>
      <c r="AG67" s="705">
        <f>IF(AA67=0,,
IF(OR(リスト!$C$21="小麦",リスト!$C$21="二条大麦",リスト!$C$21="六条大麦",リスト!$C$21="はだか麦",リスト!$C$21="なたね"),IF(K67&lt;9,調査年-J67,調査年-J67-1),
IF(リスト!$C$21="さとうきび",IF(K67&gt;=4,調査年-J67,調査年-J67+1),
調査年-J67)))</f>
        <v>0</v>
      </c>
      <c r="AH67" s="408">
        <f t="shared" si="20"/>
        <v>0</v>
      </c>
      <c r="AI67" s="408">
        <f t="shared" si="6"/>
        <v>0</v>
      </c>
      <c r="AJ67" s="408">
        <f t="shared" si="7"/>
        <v>0</v>
      </c>
      <c r="AK67" s="408">
        <f t="shared" si="8"/>
        <v>0</v>
      </c>
      <c r="AL67" s="408">
        <f t="shared" si="9"/>
        <v>0</v>
      </c>
      <c r="AM67" s="408">
        <f t="shared" si="17"/>
        <v>0</v>
      </c>
      <c r="AN67" s="417"/>
      <c r="AO67" s="408">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408">
        <f t="shared" si="10"/>
        <v>0</v>
      </c>
      <c r="AQ67" s="408">
        <f t="shared" si="11"/>
        <v>0</v>
      </c>
      <c r="AR67" s="408">
        <f t="shared" si="12"/>
        <v>0</v>
      </c>
      <c r="AS67" s="408">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408">
        <f t="shared" si="13"/>
        <v>0</v>
      </c>
      <c r="AU67" s="408">
        <f t="shared" si="14"/>
        <v>0</v>
      </c>
      <c r="AV67" s="408">
        <f t="shared" si="15"/>
        <v>0</v>
      </c>
      <c r="AW67" s="408">
        <f t="shared" si="15"/>
        <v>0</v>
      </c>
      <c r="AX67" s="408">
        <f t="shared" si="15"/>
        <v>0</v>
      </c>
      <c r="AY67" s="742">
        <f t="shared" si="16"/>
        <v>0</v>
      </c>
      <c r="AZ67" s="707"/>
      <c r="BA67" s="707"/>
      <c r="BB67" s="707"/>
      <c r="BC67" s="707"/>
    </row>
    <row r="68" spans="3:55" s="46" customFormat="1" ht="30.75" hidden="1" customHeight="1" outlineLevel="1">
      <c r="C68" s="761">
        <v>52</v>
      </c>
      <c r="D68" s="708"/>
      <c r="E68" s="795"/>
      <c r="F68" s="791"/>
      <c r="G68" s="1963"/>
      <c r="H68" s="1964"/>
      <c r="I68" s="700"/>
      <c r="J68" s="746"/>
      <c r="K68" s="701"/>
      <c r="L68" s="702"/>
      <c r="M68" s="702"/>
      <c r="N68" s="702"/>
      <c r="O68" s="702"/>
      <c r="P68" s="702"/>
      <c r="Q68" s="876"/>
      <c r="R68" s="1039"/>
      <c r="S68" s="1074"/>
      <c r="T68" s="703"/>
      <c r="U68" s="747"/>
      <c r="V68" s="748"/>
      <c r="W68" s="738"/>
      <c r="X68" s="797"/>
      <c r="Y68" s="798"/>
      <c r="Z68" s="794"/>
      <c r="AA68" s="705">
        <f t="shared" si="3"/>
        <v>0</v>
      </c>
      <c r="AB68" s="705">
        <f t="shared" si="18"/>
        <v>0</v>
      </c>
      <c r="AC68" s="705">
        <f t="shared" si="19"/>
        <v>0</v>
      </c>
      <c r="AD68" s="705">
        <f>IF(AA68=0,,VLOOKUP(AA68,リスト!DH:DI,2,0))</f>
        <v>0</v>
      </c>
      <c r="AE68" s="705">
        <f t="shared" si="4"/>
        <v>0</v>
      </c>
      <c r="AF68" s="706">
        <f>IF(AE68=0,,VLOOKUP(AE68,リスト!DK:DL,2,0))</f>
        <v>0</v>
      </c>
      <c r="AG68" s="705">
        <f>IF(AA68=0,,
IF(OR(リスト!$C$21="小麦",リスト!$C$21="二条大麦",リスト!$C$21="六条大麦",リスト!$C$21="はだか麦",リスト!$C$21="なたね"),IF(K68&lt;9,調査年-J68,調査年-J68-1),
IF(リスト!$C$21="さとうきび",IF(K68&gt;=4,調査年-J68,調査年-J68+1),
調査年-J68)))</f>
        <v>0</v>
      </c>
      <c r="AH68" s="408">
        <f t="shared" si="20"/>
        <v>0</v>
      </c>
      <c r="AI68" s="408">
        <f t="shared" si="6"/>
        <v>0</v>
      </c>
      <c r="AJ68" s="408">
        <f t="shared" si="7"/>
        <v>0</v>
      </c>
      <c r="AK68" s="408">
        <f t="shared" si="8"/>
        <v>0</v>
      </c>
      <c r="AL68" s="408">
        <f t="shared" si="9"/>
        <v>0</v>
      </c>
      <c r="AM68" s="408">
        <f t="shared" si="17"/>
        <v>0</v>
      </c>
      <c r="AN68" s="417"/>
      <c r="AO68" s="408">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408">
        <f t="shared" si="10"/>
        <v>0</v>
      </c>
      <c r="AQ68" s="408">
        <f t="shared" si="11"/>
        <v>0</v>
      </c>
      <c r="AR68" s="408">
        <f t="shared" si="12"/>
        <v>0</v>
      </c>
      <c r="AS68" s="408">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408">
        <f t="shared" si="13"/>
        <v>0</v>
      </c>
      <c r="AU68" s="408">
        <f t="shared" si="14"/>
        <v>0</v>
      </c>
      <c r="AV68" s="408">
        <f t="shared" si="15"/>
        <v>0</v>
      </c>
      <c r="AW68" s="408">
        <f t="shared" si="15"/>
        <v>0</v>
      </c>
      <c r="AX68" s="408">
        <f t="shared" si="15"/>
        <v>0</v>
      </c>
      <c r="AY68" s="742">
        <f t="shared" si="16"/>
        <v>0</v>
      </c>
      <c r="AZ68" s="707"/>
      <c r="BA68" s="707"/>
      <c r="BB68" s="707"/>
      <c r="BC68" s="707"/>
    </row>
    <row r="69" spans="3:55" s="46" customFormat="1" ht="30.75" hidden="1" customHeight="1" outlineLevel="1">
      <c r="C69" s="761">
        <v>53</v>
      </c>
      <c r="D69" s="708"/>
      <c r="E69" s="795"/>
      <c r="F69" s="791"/>
      <c r="G69" s="1963"/>
      <c r="H69" s="1964"/>
      <c r="I69" s="700"/>
      <c r="J69" s="746"/>
      <c r="K69" s="701"/>
      <c r="L69" s="702"/>
      <c r="M69" s="702"/>
      <c r="N69" s="702"/>
      <c r="O69" s="702"/>
      <c r="P69" s="702"/>
      <c r="Q69" s="876"/>
      <c r="R69" s="1039"/>
      <c r="S69" s="1074"/>
      <c r="T69" s="703"/>
      <c r="U69" s="747"/>
      <c r="V69" s="748"/>
      <c r="W69" s="738"/>
      <c r="X69" s="797"/>
      <c r="Y69" s="798"/>
      <c r="Z69" s="794"/>
      <c r="AA69" s="705">
        <f t="shared" si="3"/>
        <v>0</v>
      </c>
      <c r="AB69" s="705">
        <f t="shared" si="18"/>
        <v>0</v>
      </c>
      <c r="AC69" s="705">
        <f t="shared" si="19"/>
        <v>0</v>
      </c>
      <c r="AD69" s="705">
        <f>IF(AA69=0,,VLOOKUP(AA69,リスト!DH:DI,2,0))</f>
        <v>0</v>
      </c>
      <c r="AE69" s="705">
        <f t="shared" si="4"/>
        <v>0</v>
      </c>
      <c r="AF69" s="706">
        <f>IF(AE69=0,,VLOOKUP(AE69,リスト!DK:DL,2,0))</f>
        <v>0</v>
      </c>
      <c r="AG69" s="705">
        <f>IF(AA69=0,,
IF(OR(リスト!$C$21="小麦",リスト!$C$21="二条大麦",リスト!$C$21="六条大麦",リスト!$C$21="はだか麦",リスト!$C$21="なたね"),IF(K69&lt;9,調査年-J69,調査年-J69-1),
IF(リスト!$C$21="さとうきび",IF(K69&gt;=4,調査年-J69,調査年-J69+1),
調査年-J69)))</f>
        <v>0</v>
      </c>
      <c r="AH69" s="408">
        <f t="shared" si="20"/>
        <v>0</v>
      </c>
      <c r="AI69" s="408">
        <f t="shared" si="6"/>
        <v>0</v>
      </c>
      <c r="AJ69" s="408">
        <f t="shared" si="7"/>
        <v>0</v>
      </c>
      <c r="AK69" s="408">
        <f t="shared" si="8"/>
        <v>0</v>
      </c>
      <c r="AL69" s="408">
        <f t="shared" si="9"/>
        <v>0</v>
      </c>
      <c r="AM69" s="408">
        <f t="shared" si="17"/>
        <v>0</v>
      </c>
      <c r="AN69" s="417"/>
      <c r="AO69" s="408">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408">
        <f t="shared" si="10"/>
        <v>0</v>
      </c>
      <c r="AQ69" s="408">
        <f t="shared" si="11"/>
        <v>0</v>
      </c>
      <c r="AR69" s="408">
        <f t="shared" si="12"/>
        <v>0</v>
      </c>
      <c r="AS69" s="408">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408">
        <f t="shared" si="13"/>
        <v>0</v>
      </c>
      <c r="AU69" s="408">
        <f t="shared" si="14"/>
        <v>0</v>
      </c>
      <c r="AV69" s="408">
        <f t="shared" si="15"/>
        <v>0</v>
      </c>
      <c r="AW69" s="408">
        <f t="shared" si="15"/>
        <v>0</v>
      </c>
      <c r="AX69" s="408">
        <f t="shared" si="15"/>
        <v>0</v>
      </c>
      <c r="AY69" s="742">
        <f t="shared" si="16"/>
        <v>0</v>
      </c>
      <c r="AZ69" s="707"/>
      <c r="BA69" s="707"/>
      <c r="BB69" s="707"/>
      <c r="BC69" s="707"/>
    </row>
    <row r="70" spans="3:55" s="46" customFormat="1" ht="30.75" hidden="1" customHeight="1" outlineLevel="1">
      <c r="C70" s="761">
        <v>54</v>
      </c>
      <c r="D70" s="708"/>
      <c r="E70" s="795"/>
      <c r="F70" s="791"/>
      <c r="G70" s="1963"/>
      <c r="H70" s="1964"/>
      <c r="I70" s="700"/>
      <c r="J70" s="746"/>
      <c r="K70" s="701"/>
      <c r="L70" s="702"/>
      <c r="M70" s="702"/>
      <c r="N70" s="702"/>
      <c r="O70" s="702"/>
      <c r="P70" s="702"/>
      <c r="Q70" s="876"/>
      <c r="R70" s="1039"/>
      <c r="S70" s="1074"/>
      <c r="T70" s="703"/>
      <c r="U70" s="747"/>
      <c r="V70" s="748"/>
      <c r="W70" s="738"/>
      <c r="X70" s="797"/>
      <c r="Y70" s="798"/>
      <c r="Z70" s="794"/>
      <c r="AA70" s="705">
        <f t="shared" si="3"/>
        <v>0</v>
      </c>
      <c r="AB70" s="705">
        <f t="shared" si="18"/>
        <v>0</v>
      </c>
      <c r="AC70" s="705">
        <f t="shared" si="19"/>
        <v>0</v>
      </c>
      <c r="AD70" s="705">
        <f>IF(AA70=0,,VLOOKUP(AA70,リスト!DH:DI,2,0))</f>
        <v>0</v>
      </c>
      <c r="AE70" s="705">
        <f t="shared" si="4"/>
        <v>0</v>
      </c>
      <c r="AF70" s="706">
        <f>IF(AE70=0,,VLOOKUP(AE70,リスト!DK:DL,2,0))</f>
        <v>0</v>
      </c>
      <c r="AG70" s="705">
        <f>IF(AA70=0,,
IF(OR(リスト!$C$21="小麦",リスト!$C$21="二条大麦",リスト!$C$21="六条大麦",リスト!$C$21="はだか麦",リスト!$C$21="なたね"),IF(K70&lt;9,調査年-J70,調査年-J70-1),
IF(リスト!$C$21="さとうきび",IF(K70&gt;=4,調査年-J70,調査年-J70+1),
調査年-J70)))</f>
        <v>0</v>
      </c>
      <c r="AH70" s="408">
        <f t="shared" si="20"/>
        <v>0</v>
      </c>
      <c r="AI70" s="408">
        <f t="shared" si="6"/>
        <v>0</v>
      </c>
      <c r="AJ70" s="408">
        <f t="shared" si="7"/>
        <v>0</v>
      </c>
      <c r="AK70" s="408">
        <f t="shared" si="8"/>
        <v>0</v>
      </c>
      <c r="AL70" s="408">
        <f t="shared" si="9"/>
        <v>0</v>
      </c>
      <c r="AM70" s="408">
        <f t="shared" si="17"/>
        <v>0</v>
      </c>
      <c r="AN70" s="417"/>
      <c r="AO70" s="408">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408">
        <f t="shared" si="10"/>
        <v>0</v>
      </c>
      <c r="AQ70" s="408">
        <f t="shared" si="11"/>
        <v>0</v>
      </c>
      <c r="AR70" s="408">
        <f t="shared" si="12"/>
        <v>0</v>
      </c>
      <c r="AS70" s="408">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408">
        <f t="shared" si="13"/>
        <v>0</v>
      </c>
      <c r="AU70" s="408">
        <f t="shared" si="14"/>
        <v>0</v>
      </c>
      <c r="AV70" s="408">
        <f t="shared" si="15"/>
        <v>0</v>
      </c>
      <c r="AW70" s="408">
        <f t="shared" si="15"/>
        <v>0</v>
      </c>
      <c r="AX70" s="408">
        <f t="shared" si="15"/>
        <v>0</v>
      </c>
      <c r="AY70" s="742">
        <f t="shared" si="16"/>
        <v>0</v>
      </c>
      <c r="AZ70" s="707"/>
      <c r="BA70" s="707"/>
      <c r="BB70" s="707"/>
      <c r="BC70" s="707"/>
    </row>
    <row r="71" spans="3:55" s="46" customFormat="1" ht="30.75" hidden="1" customHeight="1" outlineLevel="1">
      <c r="C71" s="761">
        <v>55</v>
      </c>
      <c r="D71" s="708"/>
      <c r="E71" s="795"/>
      <c r="F71" s="791"/>
      <c r="G71" s="1963"/>
      <c r="H71" s="1964"/>
      <c r="I71" s="700"/>
      <c r="J71" s="746"/>
      <c r="K71" s="701"/>
      <c r="L71" s="702"/>
      <c r="M71" s="702"/>
      <c r="N71" s="702"/>
      <c r="O71" s="702"/>
      <c r="P71" s="702"/>
      <c r="Q71" s="876"/>
      <c r="R71" s="1039"/>
      <c r="S71" s="1074"/>
      <c r="T71" s="703"/>
      <c r="U71" s="747"/>
      <c r="V71" s="748"/>
      <c r="W71" s="738"/>
      <c r="X71" s="797"/>
      <c r="Y71" s="798"/>
      <c r="Z71" s="794"/>
      <c r="AA71" s="705">
        <f t="shared" si="3"/>
        <v>0</v>
      </c>
      <c r="AB71" s="705">
        <f t="shared" si="18"/>
        <v>0</v>
      </c>
      <c r="AC71" s="705">
        <f t="shared" si="19"/>
        <v>0</v>
      </c>
      <c r="AD71" s="705">
        <f>IF(AA71=0,,VLOOKUP(AA71,リスト!DH:DI,2,0))</f>
        <v>0</v>
      </c>
      <c r="AE71" s="705">
        <f t="shared" si="4"/>
        <v>0</v>
      </c>
      <c r="AF71" s="706">
        <f>IF(AE71=0,,VLOOKUP(AE71,リスト!DK:DL,2,0))</f>
        <v>0</v>
      </c>
      <c r="AG71" s="705">
        <f>IF(AA71=0,,
IF(OR(リスト!$C$21="小麦",リスト!$C$21="二条大麦",リスト!$C$21="六条大麦",リスト!$C$21="はだか麦",リスト!$C$21="なたね"),IF(K71&lt;9,調査年-J71,調査年-J71-1),
IF(リスト!$C$21="さとうきび",IF(K71&gt;=4,調査年-J71,調査年-J71+1),
調査年-J71)))</f>
        <v>0</v>
      </c>
      <c r="AH71" s="408">
        <f t="shared" si="20"/>
        <v>0</v>
      </c>
      <c r="AI71" s="408">
        <f t="shared" si="6"/>
        <v>0</v>
      </c>
      <c r="AJ71" s="408">
        <f t="shared" si="7"/>
        <v>0</v>
      </c>
      <c r="AK71" s="408">
        <f t="shared" si="8"/>
        <v>0</v>
      </c>
      <c r="AL71" s="408">
        <f t="shared" si="9"/>
        <v>0</v>
      </c>
      <c r="AM71" s="408">
        <f t="shared" si="17"/>
        <v>0</v>
      </c>
      <c r="AN71" s="417"/>
      <c r="AO71" s="408">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408">
        <f t="shared" si="10"/>
        <v>0</v>
      </c>
      <c r="AQ71" s="408">
        <f t="shared" si="11"/>
        <v>0</v>
      </c>
      <c r="AR71" s="408">
        <f t="shared" si="12"/>
        <v>0</v>
      </c>
      <c r="AS71" s="408">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408">
        <f t="shared" si="13"/>
        <v>0</v>
      </c>
      <c r="AU71" s="408">
        <f t="shared" si="14"/>
        <v>0</v>
      </c>
      <c r="AV71" s="408">
        <f t="shared" si="15"/>
        <v>0</v>
      </c>
      <c r="AW71" s="408">
        <f t="shared" si="15"/>
        <v>0</v>
      </c>
      <c r="AX71" s="408">
        <f t="shared" si="15"/>
        <v>0</v>
      </c>
      <c r="AY71" s="742">
        <f t="shared" si="16"/>
        <v>0</v>
      </c>
      <c r="AZ71" s="707"/>
      <c r="BA71" s="707"/>
      <c r="BB71" s="707"/>
      <c r="BC71" s="707"/>
    </row>
    <row r="72" spans="3:55" s="46" customFormat="1" ht="30.75" hidden="1" customHeight="1" outlineLevel="1">
      <c r="C72" s="761">
        <v>56</v>
      </c>
      <c r="D72" s="708"/>
      <c r="E72" s="795"/>
      <c r="F72" s="791"/>
      <c r="G72" s="1963"/>
      <c r="H72" s="1964"/>
      <c r="I72" s="700"/>
      <c r="J72" s="746"/>
      <c r="K72" s="701"/>
      <c r="L72" s="702"/>
      <c r="M72" s="702"/>
      <c r="N72" s="702"/>
      <c r="O72" s="702"/>
      <c r="P72" s="702"/>
      <c r="Q72" s="876"/>
      <c r="R72" s="1039"/>
      <c r="S72" s="1074"/>
      <c r="T72" s="703"/>
      <c r="U72" s="747"/>
      <c r="V72" s="748"/>
      <c r="W72" s="738"/>
      <c r="X72" s="797"/>
      <c r="Y72" s="798"/>
      <c r="Z72" s="794"/>
      <c r="AA72" s="705">
        <f t="shared" si="3"/>
        <v>0</v>
      </c>
      <c r="AB72" s="705">
        <f t="shared" si="18"/>
        <v>0</v>
      </c>
      <c r="AC72" s="705">
        <f t="shared" si="19"/>
        <v>0</v>
      </c>
      <c r="AD72" s="705">
        <f>IF(AA72=0,,VLOOKUP(AA72,リスト!DH:DI,2,0))</f>
        <v>0</v>
      </c>
      <c r="AE72" s="705">
        <f t="shared" si="4"/>
        <v>0</v>
      </c>
      <c r="AF72" s="706">
        <f>IF(AE72=0,,VLOOKUP(AE72,リスト!DK:DL,2,0))</f>
        <v>0</v>
      </c>
      <c r="AG72" s="705">
        <f>IF(AA72=0,,
IF(OR(リスト!$C$21="小麦",リスト!$C$21="二条大麦",リスト!$C$21="六条大麦",リスト!$C$21="はだか麦",リスト!$C$21="なたね"),IF(K72&lt;9,調査年-J72,調査年-J72-1),
IF(リスト!$C$21="さとうきび",IF(K72&gt;=4,調査年-J72,調査年-J72+1),
調査年-J72)))</f>
        <v>0</v>
      </c>
      <c r="AH72" s="408">
        <f t="shared" si="20"/>
        <v>0</v>
      </c>
      <c r="AI72" s="408">
        <f t="shared" si="6"/>
        <v>0</v>
      </c>
      <c r="AJ72" s="408">
        <f t="shared" si="7"/>
        <v>0</v>
      </c>
      <c r="AK72" s="408">
        <f t="shared" si="8"/>
        <v>0</v>
      </c>
      <c r="AL72" s="408">
        <f t="shared" si="9"/>
        <v>0</v>
      </c>
      <c r="AM72" s="408">
        <f t="shared" si="17"/>
        <v>0</v>
      </c>
      <c r="AN72" s="417"/>
      <c r="AO72" s="408">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408">
        <f t="shared" si="10"/>
        <v>0</v>
      </c>
      <c r="AQ72" s="408">
        <f t="shared" si="11"/>
        <v>0</v>
      </c>
      <c r="AR72" s="408">
        <f t="shared" si="12"/>
        <v>0</v>
      </c>
      <c r="AS72" s="408">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408">
        <f t="shared" si="13"/>
        <v>0</v>
      </c>
      <c r="AU72" s="408">
        <f t="shared" si="14"/>
        <v>0</v>
      </c>
      <c r="AV72" s="408">
        <f t="shared" si="15"/>
        <v>0</v>
      </c>
      <c r="AW72" s="408">
        <f t="shared" si="15"/>
        <v>0</v>
      </c>
      <c r="AX72" s="408">
        <f t="shared" si="15"/>
        <v>0</v>
      </c>
      <c r="AY72" s="742">
        <f t="shared" si="16"/>
        <v>0</v>
      </c>
      <c r="AZ72" s="707"/>
      <c r="BA72" s="707"/>
      <c r="BB72" s="707"/>
      <c r="BC72" s="707"/>
    </row>
    <row r="73" spans="3:55" s="46" customFormat="1" ht="30.75" hidden="1" customHeight="1" outlineLevel="1">
      <c r="C73" s="761">
        <v>57</v>
      </c>
      <c r="D73" s="708"/>
      <c r="E73" s="795"/>
      <c r="F73" s="791"/>
      <c r="G73" s="1963"/>
      <c r="H73" s="1964"/>
      <c r="I73" s="700"/>
      <c r="J73" s="746"/>
      <c r="K73" s="701"/>
      <c r="L73" s="702"/>
      <c r="M73" s="702"/>
      <c r="N73" s="702"/>
      <c r="O73" s="702"/>
      <c r="P73" s="702"/>
      <c r="Q73" s="876"/>
      <c r="R73" s="1039"/>
      <c r="S73" s="1074"/>
      <c r="T73" s="703"/>
      <c r="U73" s="747"/>
      <c r="V73" s="748"/>
      <c r="W73" s="738"/>
      <c r="X73" s="797"/>
      <c r="Y73" s="798"/>
      <c r="Z73" s="794"/>
      <c r="AA73" s="705">
        <f t="shared" si="3"/>
        <v>0</v>
      </c>
      <c r="AB73" s="705">
        <f t="shared" si="18"/>
        <v>0</v>
      </c>
      <c r="AC73" s="705">
        <f t="shared" si="19"/>
        <v>0</v>
      </c>
      <c r="AD73" s="705">
        <f>IF(AA73=0,,VLOOKUP(AA73,リスト!DH:DI,2,0))</f>
        <v>0</v>
      </c>
      <c r="AE73" s="705">
        <f t="shared" si="4"/>
        <v>0</v>
      </c>
      <c r="AF73" s="706">
        <f>IF(AE73=0,,VLOOKUP(AE73,リスト!DK:DL,2,0))</f>
        <v>0</v>
      </c>
      <c r="AG73" s="705">
        <f>IF(AA73=0,,
IF(OR(リスト!$C$21="小麦",リスト!$C$21="二条大麦",リスト!$C$21="六条大麦",リスト!$C$21="はだか麦",リスト!$C$21="なたね"),IF(K73&lt;9,調査年-J73,調査年-J73-1),
IF(リスト!$C$21="さとうきび",IF(K73&gt;=4,調査年-J73,調査年-J73+1),
調査年-J73)))</f>
        <v>0</v>
      </c>
      <c r="AH73" s="408">
        <f t="shared" si="20"/>
        <v>0</v>
      </c>
      <c r="AI73" s="408">
        <f t="shared" si="6"/>
        <v>0</v>
      </c>
      <c r="AJ73" s="408">
        <f t="shared" si="7"/>
        <v>0</v>
      </c>
      <c r="AK73" s="408">
        <f t="shared" si="8"/>
        <v>0</v>
      </c>
      <c r="AL73" s="408">
        <f t="shared" si="9"/>
        <v>0</v>
      </c>
      <c r="AM73" s="408">
        <f t="shared" si="17"/>
        <v>0</v>
      </c>
      <c r="AN73" s="417"/>
      <c r="AO73" s="408">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408">
        <f t="shared" si="10"/>
        <v>0</v>
      </c>
      <c r="AQ73" s="408">
        <f t="shared" si="11"/>
        <v>0</v>
      </c>
      <c r="AR73" s="408">
        <f t="shared" si="12"/>
        <v>0</v>
      </c>
      <c r="AS73" s="408">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408">
        <f t="shared" si="13"/>
        <v>0</v>
      </c>
      <c r="AU73" s="408">
        <f t="shared" si="14"/>
        <v>0</v>
      </c>
      <c r="AV73" s="408">
        <f t="shared" si="15"/>
        <v>0</v>
      </c>
      <c r="AW73" s="408">
        <f t="shared" si="15"/>
        <v>0</v>
      </c>
      <c r="AX73" s="408">
        <f t="shared" si="15"/>
        <v>0</v>
      </c>
      <c r="AY73" s="742">
        <f t="shared" si="16"/>
        <v>0</v>
      </c>
      <c r="AZ73" s="707"/>
      <c r="BA73" s="707"/>
      <c r="BB73" s="707"/>
      <c r="BC73" s="707"/>
    </row>
    <row r="74" spans="3:55" s="46" customFormat="1" ht="30.75" hidden="1" customHeight="1" outlineLevel="1">
      <c r="C74" s="761">
        <v>58</v>
      </c>
      <c r="D74" s="708"/>
      <c r="E74" s="795"/>
      <c r="F74" s="791"/>
      <c r="G74" s="1963"/>
      <c r="H74" s="1964"/>
      <c r="I74" s="700"/>
      <c r="J74" s="746"/>
      <c r="K74" s="701"/>
      <c r="L74" s="702"/>
      <c r="M74" s="702"/>
      <c r="N74" s="702"/>
      <c r="O74" s="702"/>
      <c r="P74" s="702"/>
      <c r="Q74" s="876"/>
      <c r="R74" s="1039"/>
      <c r="S74" s="1074"/>
      <c r="T74" s="703"/>
      <c r="U74" s="747"/>
      <c r="V74" s="748"/>
      <c r="W74" s="738"/>
      <c r="X74" s="797"/>
      <c r="Y74" s="798"/>
      <c r="Z74" s="794"/>
      <c r="AA74" s="705">
        <f t="shared" si="3"/>
        <v>0</v>
      </c>
      <c r="AB74" s="705">
        <f t="shared" si="18"/>
        <v>0</v>
      </c>
      <c r="AC74" s="705">
        <f t="shared" si="19"/>
        <v>0</v>
      </c>
      <c r="AD74" s="705">
        <f>IF(AA74=0,,VLOOKUP(AA74,リスト!DH:DI,2,0))</f>
        <v>0</v>
      </c>
      <c r="AE74" s="705">
        <f t="shared" si="4"/>
        <v>0</v>
      </c>
      <c r="AF74" s="706">
        <f>IF(AE74=0,,VLOOKUP(AE74,リスト!DK:DL,2,0))</f>
        <v>0</v>
      </c>
      <c r="AG74" s="705">
        <f>IF(AA74=0,,
IF(OR(リスト!$C$21="小麦",リスト!$C$21="二条大麦",リスト!$C$21="六条大麦",リスト!$C$21="はだか麦",リスト!$C$21="なたね"),IF(K74&lt;9,調査年-J74,調査年-J74-1),
IF(リスト!$C$21="さとうきび",IF(K74&gt;=4,調査年-J74,調査年-J74+1),
調査年-J74)))</f>
        <v>0</v>
      </c>
      <c r="AH74" s="408">
        <f t="shared" si="20"/>
        <v>0</v>
      </c>
      <c r="AI74" s="408">
        <f t="shared" si="6"/>
        <v>0</v>
      </c>
      <c r="AJ74" s="408">
        <f t="shared" si="7"/>
        <v>0</v>
      </c>
      <c r="AK74" s="408">
        <f t="shared" si="8"/>
        <v>0</v>
      </c>
      <c r="AL74" s="408">
        <f t="shared" si="9"/>
        <v>0</v>
      </c>
      <c r="AM74" s="408">
        <f t="shared" si="17"/>
        <v>0</v>
      </c>
      <c r="AN74" s="417"/>
      <c r="AO74" s="408">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408">
        <f t="shared" si="10"/>
        <v>0</v>
      </c>
      <c r="AQ74" s="408">
        <f t="shared" si="11"/>
        <v>0</v>
      </c>
      <c r="AR74" s="408">
        <f t="shared" si="12"/>
        <v>0</v>
      </c>
      <c r="AS74" s="408">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408">
        <f t="shared" si="13"/>
        <v>0</v>
      </c>
      <c r="AU74" s="408">
        <f t="shared" si="14"/>
        <v>0</v>
      </c>
      <c r="AV74" s="408">
        <f t="shared" si="15"/>
        <v>0</v>
      </c>
      <c r="AW74" s="408">
        <f t="shared" si="15"/>
        <v>0</v>
      </c>
      <c r="AX74" s="408">
        <f t="shared" si="15"/>
        <v>0</v>
      </c>
      <c r="AY74" s="742">
        <f t="shared" si="16"/>
        <v>0</v>
      </c>
      <c r="AZ74" s="707"/>
      <c r="BA74" s="707"/>
      <c r="BB74" s="707"/>
      <c r="BC74" s="707"/>
    </row>
    <row r="75" spans="3:55" s="46" customFormat="1" ht="30.75" hidden="1" customHeight="1" outlineLevel="1">
      <c r="C75" s="761">
        <v>59</v>
      </c>
      <c r="D75" s="708"/>
      <c r="E75" s="795"/>
      <c r="F75" s="791"/>
      <c r="G75" s="1963"/>
      <c r="H75" s="1964"/>
      <c r="I75" s="700"/>
      <c r="J75" s="746"/>
      <c r="K75" s="701"/>
      <c r="L75" s="702"/>
      <c r="M75" s="702"/>
      <c r="N75" s="702"/>
      <c r="O75" s="702"/>
      <c r="P75" s="702"/>
      <c r="Q75" s="876"/>
      <c r="R75" s="1039"/>
      <c r="S75" s="1074"/>
      <c r="T75" s="703"/>
      <c r="U75" s="747"/>
      <c r="V75" s="748"/>
      <c r="W75" s="738"/>
      <c r="X75" s="797"/>
      <c r="Y75" s="798"/>
      <c r="Z75" s="794"/>
      <c r="AA75" s="705">
        <f t="shared" si="3"/>
        <v>0</v>
      </c>
      <c r="AB75" s="705">
        <f t="shared" si="18"/>
        <v>0</v>
      </c>
      <c r="AC75" s="705">
        <f t="shared" si="19"/>
        <v>0</v>
      </c>
      <c r="AD75" s="705">
        <f>IF(AA75=0,,VLOOKUP(AA75,リスト!DH:DI,2,0))</f>
        <v>0</v>
      </c>
      <c r="AE75" s="705">
        <f t="shared" si="4"/>
        <v>0</v>
      </c>
      <c r="AF75" s="706">
        <f>IF(AE75=0,,VLOOKUP(AE75,リスト!DK:DL,2,0))</f>
        <v>0</v>
      </c>
      <c r="AG75" s="705">
        <f>IF(AA75=0,,
IF(OR(リスト!$C$21="小麦",リスト!$C$21="二条大麦",リスト!$C$21="六条大麦",リスト!$C$21="はだか麦",リスト!$C$21="なたね"),IF(K75&lt;9,調査年-J75,調査年-J75-1),
IF(リスト!$C$21="さとうきび",IF(K75&gt;=4,調査年-J75,調査年-J75+1),
調査年-J75)))</f>
        <v>0</v>
      </c>
      <c r="AH75" s="408">
        <f t="shared" si="20"/>
        <v>0</v>
      </c>
      <c r="AI75" s="408">
        <f t="shared" si="6"/>
        <v>0</v>
      </c>
      <c r="AJ75" s="408">
        <f t="shared" si="7"/>
        <v>0</v>
      </c>
      <c r="AK75" s="408">
        <f t="shared" si="8"/>
        <v>0</v>
      </c>
      <c r="AL75" s="408">
        <f t="shared" si="9"/>
        <v>0</v>
      </c>
      <c r="AM75" s="408">
        <f t="shared" si="17"/>
        <v>0</v>
      </c>
      <c r="AN75" s="417"/>
      <c r="AO75" s="408">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408">
        <f t="shared" si="10"/>
        <v>0</v>
      </c>
      <c r="AQ75" s="408">
        <f t="shared" si="11"/>
        <v>0</v>
      </c>
      <c r="AR75" s="408">
        <f t="shared" si="12"/>
        <v>0</v>
      </c>
      <c r="AS75" s="408">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408">
        <f t="shared" si="13"/>
        <v>0</v>
      </c>
      <c r="AU75" s="408">
        <f t="shared" si="14"/>
        <v>0</v>
      </c>
      <c r="AV75" s="408">
        <f t="shared" si="15"/>
        <v>0</v>
      </c>
      <c r="AW75" s="408">
        <f t="shared" si="15"/>
        <v>0</v>
      </c>
      <c r="AX75" s="408">
        <f t="shared" si="15"/>
        <v>0</v>
      </c>
      <c r="AY75" s="742">
        <f t="shared" si="16"/>
        <v>0</v>
      </c>
      <c r="AZ75" s="707"/>
      <c r="BA75" s="707"/>
      <c r="BB75" s="707"/>
      <c r="BC75" s="707"/>
    </row>
    <row r="76" spans="3:55" s="46" customFormat="1" ht="30.75" hidden="1" customHeight="1" outlineLevel="1">
      <c r="C76" s="761">
        <v>60</v>
      </c>
      <c r="D76" s="708"/>
      <c r="E76" s="795"/>
      <c r="F76" s="791"/>
      <c r="G76" s="1963"/>
      <c r="H76" s="1964"/>
      <c r="I76" s="700"/>
      <c r="J76" s="746"/>
      <c r="K76" s="701"/>
      <c r="L76" s="702"/>
      <c r="M76" s="702"/>
      <c r="N76" s="702"/>
      <c r="O76" s="702"/>
      <c r="P76" s="702"/>
      <c r="Q76" s="876"/>
      <c r="R76" s="1039"/>
      <c r="S76" s="1074"/>
      <c r="T76" s="703"/>
      <c r="U76" s="747"/>
      <c r="V76" s="748"/>
      <c r="W76" s="738"/>
      <c r="X76" s="797"/>
      <c r="Y76" s="798"/>
      <c r="Z76" s="794"/>
      <c r="AA76" s="705">
        <f t="shared" si="3"/>
        <v>0</v>
      </c>
      <c r="AB76" s="705">
        <f t="shared" si="18"/>
        <v>0</v>
      </c>
      <c r="AC76" s="705">
        <f t="shared" si="19"/>
        <v>0</v>
      </c>
      <c r="AD76" s="705">
        <f>IF(AA76=0,,VLOOKUP(AA76,リスト!DH:DI,2,0))</f>
        <v>0</v>
      </c>
      <c r="AE76" s="705">
        <f t="shared" si="4"/>
        <v>0</v>
      </c>
      <c r="AF76" s="706">
        <f>IF(AE76=0,,VLOOKUP(AE76,リスト!DK:DL,2,0))</f>
        <v>0</v>
      </c>
      <c r="AG76" s="705">
        <f>IF(AA76=0,,
IF(OR(リスト!$C$21="小麦",リスト!$C$21="二条大麦",リスト!$C$21="六条大麦",リスト!$C$21="はだか麦",リスト!$C$21="なたね"),IF(K76&lt;9,調査年-J76,調査年-J76-1),
IF(リスト!$C$21="さとうきび",IF(K76&gt;=4,調査年-J76,調査年-J76+1),
調査年-J76)))</f>
        <v>0</v>
      </c>
      <c r="AH76" s="408">
        <f t="shared" si="20"/>
        <v>0</v>
      </c>
      <c r="AI76" s="408">
        <f t="shared" si="6"/>
        <v>0</v>
      </c>
      <c r="AJ76" s="408">
        <f t="shared" si="7"/>
        <v>0</v>
      </c>
      <c r="AK76" s="408">
        <f t="shared" si="8"/>
        <v>0</v>
      </c>
      <c r="AL76" s="408">
        <f t="shared" si="9"/>
        <v>0</v>
      </c>
      <c r="AM76" s="408">
        <f t="shared" si="17"/>
        <v>0</v>
      </c>
      <c r="AN76" s="417"/>
      <c r="AO76" s="408">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408">
        <f t="shared" si="10"/>
        <v>0</v>
      </c>
      <c r="AQ76" s="408">
        <f t="shared" si="11"/>
        <v>0</v>
      </c>
      <c r="AR76" s="408">
        <f t="shared" si="12"/>
        <v>0</v>
      </c>
      <c r="AS76" s="408">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408">
        <f t="shared" si="13"/>
        <v>0</v>
      </c>
      <c r="AU76" s="408">
        <f t="shared" si="14"/>
        <v>0</v>
      </c>
      <c r="AV76" s="408">
        <f t="shared" si="15"/>
        <v>0</v>
      </c>
      <c r="AW76" s="408">
        <f t="shared" si="15"/>
        <v>0</v>
      </c>
      <c r="AX76" s="408">
        <f t="shared" si="15"/>
        <v>0</v>
      </c>
      <c r="AY76" s="742">
        <f t="shared" si="16"/>
        <v>0</v>
      </c>
      <c r="AZ76" s="707"/>
      <c r="BA76" s="707"/>
      <c r="BB76" s="707"/>
      <c r="BC76" s="707"/>
    </row>
    <row r="77" spans="3:55" s="46" customFormat="1" ht="30.75" hidden="1" customHeight="1" outlineLevel="1">
      <c r="C77" s="761">
        <v>61</v>
      </c>
      <c r="D77" s="708"/>
      <c r="E77" s="795"/>
      <c r="F77" s="791"/>
      <c r="G77" s="1963"/>
      <c r="H77" s="1964"/>
      <c r="I77" s="700"/>
      <c r="J77" s="746"/>
      <c r="K77" s="701"/>
      <c r="L77" s="702"/>
      <c r="M77" s="702"/>
      <c r="N77" s="702"/>
      <c r="O77" s="702"/>
      <c r="P77" s="702"/>
      <c r="Q77" s="876"/>
      <c r="R77" s="1039"/>
      <c r="S77" s="1074"/>
      <c r="T77" s="703"/>
      <c r="U77" s="747"/>
      <c r="V77" s="748"/>
      <c r="W77" s="738"/>
      <c r="X77" s="797"/>
      <c r="Y77" s="798"/>
      <c r="Z77" s="794"/>
      <c r="AA77" s="705">
        <f t="shared" si="3"/>
        <v>0</v>
      </c>
      <c r="AB77" s="705">
        <f t="shared" si="18"/>
        <v>0</v>
      </c>
      <c r="AC77" s="705">
        <f t="shared" si="19"/>
        <v>0</v>
      </c>
      <c r="AD77" s="705">
        <f>IF(AA77=0,,VLOOKUP(AA77,リスト!DH:DI,2,0))</f>
        <v>0</v>
      </c>
      <c r="AE77" s="705">
        <f t="shared" si="4"/>
        <v>0</v>
      </c>
      <c r="AF77" s="706">
        <f>IF(AE77=0,,VLOOKUP(AE77,リスト!DK:DL,2,0))</f>
        <v>0</v>
      </c>
      <c r="AG77" s="705">
        <f>IF(AA77=0,,
IF(OR(リスト!$C$21="小麦",リスト!$C$21="二条大麦",リスト!$C$21="六条大麦",リスト!$C$21="はだか麦",リスト!$C$21="なたね"),IF(K77&lt;9,調査年-J77,調査年-J77-1),
IF(リスト!$C$21="さとうきび",IF(K77&gt;=4,調査年-J77,調査年-J77+1),
調査年-J77)))</f>
        <v>0</v>
      </c>
      <c r="AH77" s="408">
        <f t="shared" si="20"/>
        <v>0</v>
      </c>
      <c r="AI77" s="408">
        <f t="shared" si="6"/>
        <v>0</v>
      </c>
      <c r="AJ77" s="408">
        <f t="shared" si="7"/>
        <v>0</v>
      </c>
      <c r="AK77" s="408">
        <f t="shared" si="8"/>
        <v>0</v>
      </c>
      <c r="AL77" s="408">
        <f t="shared" si="9"/>
        <v>0</v>
      </c>
      <c r="AM77" s="408">
        <f t="shared" si="17"/>
        <v>0</v>
      </c>
      <c r="AN77" s="417"/>
      <c r="AO77" s="408">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408">
        <f t="shared" si="10"/>
        <v>0</v>
      </c>
      <c r="AQ77" s="408">
        <f t="shared" si="11"/>
        <v>0</v>
      </c>
      <c r="AR77" s="408">
        <f t="shared" si="12"/>
        <v>0</v>
      </c>
      <c r="AS77" s="408">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408">
        <f t="shared" si="13"/>
        <v>0</v>
      </c>
      <c r="AU77" s="408">
        <f t="shared" si="14"/>
        <v>0</v>
      </c>
      <c r="AV77" s="408">
        <f t="shared" si="15"/>
        <v>0</v>
      </c>
      <c r="AW77" s="408">
        <f t="shared" si="15"/>
        <v>0</v>
      </c>
      <c r="AX77" s="408">
        <f t="shared" si="15"/>
        <v>0</v>
      </c>
      <c r="AY77" s="742">
        <f t="shared" si="16"/>
        <v>0</v>
      </c>
      <c r="AZ77" s="707"/>
      <c r="BA77" s="707"/>
      <c r="BB77" s="707"/>
      <c r="BC77" s="707"/>
    </row>
    <row r="78" spans="3:55" s="46" customFormat="1" ht="30.75" hidden="1" customHeight="1" outlineLevel="1">
      <c r="C78" s="761">
        <v>62</v>
      </c>
      <c r="D78" s="696"/>
      <c r="E78" s="795"/>
      <c r="F78" s="791"/>
      <c r="G78" s="1963"/>
      <c r="H78" s="1964"/>
      <c r="I78" s="700"/>
      <c r="J78" s="746"/>
      <c r="K78" s="701"/>
      <c r="L78" s="702"/>
      <c r="M78" s="702"/>
      <c r="N78" s="702"/>
      <c r="O78" s="702"/>
      <c r="P78" s="702"/>
      <c r="Q78" s="876"/>
      <c r="R78" s="1039"/>
      <c r="S78" s="1074"/>
      <c r="T78" s="703"/>
      <c r="U78" s="747"/>
      <c r="V78" s="748"/>
      <c r="W78" s="738"/>
      <c r="X78" s="797"/>
      <c r="Y78" s="798"/>
      <c r="Z78" s="794"/>
      <c r="AA78" s="705">
        <f t="shared" si="3"/>
        <v>0</v>
      </c>
      <c r="AB78" s="705">
        <f t="shared" si="18"/>
        <v>0</v>
      </c>
      <c r="AC78" s="705">
        <f t="shared" si="19"/>
        <v>0</v>
      </c>
      <c r="AD78" s="705">
        <f>IF(AA78=0,,VLOOKUP(AA78,リスト!DH:DI,2,0))</f>
        <v>0</v>
      </c>
      <c r="AE78" s="705">
        <f t="shared" si="4"/>
        <v>0</v>
      </c>
      <c r="AF78" s="706">
        <f>IF(AE78=0,,VLOOKUP(AE78,リスト!DK:DL,2,0))</f>
        <v>0</v>
      </c>
      <c r="AG78" s="705">
        <f>IF(AA78=0,,
IF(OR(リスト!$C$21="小麦",リスト!$C$21="二条大麦",リスト!$C$21="六条大麦",リスト!$C$21="はだか麦",リスト!$C$21="なたね"),IF(K78&lt;9,調査年-J78,調査年-J78-1),
IF(リスト!$C$21="さとうきび",IF(K78&gt;=4,調査年-J78,調査年-J78+1),
調査年-J78)))</f>
        <v>0</v>
      </c>
      <c r="AH78" s="408">
        <f t="shared" si="20"/>
        <v>0</v>
      </c>
      <c r="AI78" s="408">
        <f t="shared" si="6"/>
        <v>0</v>
      </c>
      <c r="AJ78" s="408">
        <f t="shared" si="7"/>
        <v>0</v>
      </c>
      <c r="AK78" s="408">
        <f t="shared" si="8"/>
        <v>0</v>
      </c>
      <c r="AL78" s="408">
        <f t="shared" si="9"/>
        <v>0</v>
      </c>
      <c r="AM78" s="408">
        <f t="shared" si="17"/>
        <v>0</v>
      </c>
      <c r="AN78" s="417"/>
      <c r="AO78" s="408">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408">
        <f t="shared" si="10"/>
        <v>0</v>
      </c>
      <c r="AQ78" s="408">
        <f t="shared" si="11"/>
        <v>0</v>
      </c>
      <c r="AR78" s="408">
        <f t="shared" si="12"/>
        <v>0</v>
      </c>
      <c r="AS78" s="408">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408">
        <f t="shared" si="13"/>
        <v>0</v>
      </c>
      <c r="AU78" s="408">
        <f t="shared" si="14"/>
        <v>0</v>
      </c>
      <c r="AV78" s="408">
        <f t="shared" si="15"/>
        <v>0</v>
      </c>
      <c r="AW78" s="408">
        <f t="shared" si="15"/>
        <v>0</v>
      </c>
      <c r="AX78" s="408">
        <f t="shared" si="15"/>
        <v>0</v>
      </c>
      <c r="AY78" s="742">
        <f t="shared" si="16"/>
        <v>0</v>
      </c>
      <c r="AZ78" s="707"/>
      <c r="BA78" s="707"/>
      <c r="BB78" s="707"/>
      <c r="BC78" s="707"/>
    </row>
    <row r="79" spans="3:55" s="46" customFormat="1" ht="30.75" hidden="1" customHeight="1" outlineLevel="1">
      <c r="C79" s="761">
        <v>63</v>
      </c>
      <c r="D79" s="708"/>
      <c r="E79" s="795"/>
      <c r="F79" s="791"/>
      <c r="G79" s="1963"/>
      <c r="H79" s="1964"/>
      <c r="I79" s="700"/>
      <c r="J79" s="746"/>
      <c r="K79" s="701"/>
      <c r="L79" s="702"/>
      <c r="M79" s="702"/>
      <c r="N79" s="702"/>
      <c r="O79" s="702"/>
      <c r="P79" s="702"/>
      <c r="Q79" s="876"/>
      <c r="R79" s="1039"/>
      <c r="S79" s="1074"/>
      <c r="T79" s="703"/>
      <c r="U79" s="747"/>
      <c r="V79" s="748"/>
      <c r="W79" s="738"/>
      <c r="X79" s="797"/>
      <c r="Y79" s="798"/>
      <c r="Z79" s="794"/>
      <c r="AA79" s="705">
        <f t="shared" si="3"/>
        <v>0</v>
      </c>
      <c r="AB79" s="705">
        <f t="shared" si="18"/>
        <v>0</v>
      </c>
      <c r="AC79" s="705">
        <f t="shared" si="19"/>
        <v>0</v>
      </c>
      <c r="AD79" s="705">
        <f>IF(AA79=0,,VLOOKUP(AA79,リスト!DH:DI,2,0))</f>
        <v>0</v>
      </c>
      <c r="AE79" s="705">
        <f t="shared" si="4"/>
        <v>0</v>
      </c>
      <c r="AF79" s="706">
        <f>IF(AE79=0,,VLOOKUP(AE79,リスト!DK:DL,2,0))</f>
        <v>0</v>
      </c>
      <c r="AG79" s="705">
        <f>IF(AA79=0,,
IF(OR(リスト!$C$21="小麦",リスト!$C$21="二条大麦",リスト!$C$21="六条大麦",リスト!$C$21="はだか麦",リスト!$C$21="なたね"),IF(K79&lt;9,調査年-J79,調査年-J79-1),
IF(リスト!$C$21="さとうきび",IF(K79&gt;=4,調査年-J79,調査年-J79+1),
調査年-J79)))</f>
        <v>0</v>
      </c>
      <c r="AH79" s="408">
        <f t="shared" si="20"/>
        <v>0</v>
      </c>
      <c r="AI79" s="408">
        <f t="shared" si="6"/>
        <v>0</v>
      </c>
      <c r="AJ79" s="408">
        <f t="shared" si="7"/>
        <v>0</v>
      </c>
      <c r="AK79" s="408">
        <f t="shared" si="8"/>
        <v>0</v>
      </c>
      <c r="AL79" s="408">
        <f t="shared" si="9"/>
        <v>0</v>
      </c>
      <c r="AM79" s="408">
        <f t="shared" si="17"/>
        <v>0</v>
      </c>
      <c r="AN79" s="417"/>
      <c r="AO79" s="408">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408">
        <f t="shared" si="10"/>
        <v>0</v>
      </c>
      <c r="AQ79" s="408">
        <f t="shared" si="11"/>
        <v>0</v>
      </c>
      <c r="AR79" s="408">
        <f t="shared" si="12"/>
        <v>0</v>
      </c>
      <c r="AS79" s="408">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408">
        <f t="shared" si="13"/>
        <v>0</v>
      </c>
      <c r="AU79" s="408">
        <f t="shared" si="14"/>
        <v>0</v>
      </c>
      <c r="AV79" s="408">
        <f t="shared" si="15"/>
        <v>0</v>
      </c>
      <c r="AW79" s="408">
        <f t="shared" si="15"/>
        <v>0</v>
      </c>
      <c r="AX79" s="408">
        <f t="shared" si="15"/>
        <v>0</v>
      </c>
      <c r="AY79" s="742">
        <f t="shared" si="16"/>
        <v>0</v>
      </c>
      <c r="AZ79" s="707"/>
      <c r="BA79" s="707"/>
      <c r="BB79" s="707"/>
      <c r="BC79" s="707"/>
    </row>
    <row r="80" spans="3:55" s="46" customFormat="1" ht="30.75" hidden="1" customHeight="1" outlineLevel="1">
      <c r="C80" s="761">
        <v>64</v>
      </c>
      <c r="D80" s="708"/>
      <c r="E80" s="795"/>
      <c r="F80" s="791"/>
      <c r="G80" s="1963"/>
      <c r="H80" s="1964"/>
      <c r="I80" s="700"/>
      <c r="J80" s="746"/>
      <c r="K80" s="701"/>
      <c r="L80" s="702"/>
      <c r="M80" s="702"/>
      <c r="N80" s="702"/>
      <c r="O80" s="702"/>
      <c r="P80" s="702"/>
      <c r="Q80" s="876"/>
      <c r="R80" s="1039"/>
      <c r="S80" s="1074"/>
      <c r="T80" s="703"/>
      <c r="U80" s="747"/>
      <c r="V80" s="748"/>
      <c r="W80" s="738"/>
      <c r="X80" s="797"/>
      <c r="Y80" s="798"/>
      <c r="Z80" s="794"/>
      <c r="AA80" s="705">
        <f t="shared" si="3"/>
        <v>0</v>
      </c>
      <c r="AB80" s="705">
        <f t="shared" si="18"/>
        <v>0</v>
      </c>
      <c r="AC80" s="705">
        <f t="shared" si="19"/>
        <v>0</v>
      </c>
      <c r="AD80" s="705">
        <f>IF(AA80=0,,VLOOKUP(AA80,リスト!DH:DI,2,0))</f>
        <v>0</v>
      </c>
      <c r="AE80" s="705">
        <f t="shared" si="4"/>
        <v>0</v>
      </c>
      <c r="AF80" s="706">
        <f>IF(AE80=0,,VLOOKUP(AE80,リスト!DK:DL,2,0))</f>
        <v>0</v>
      </c>
      <c r="AG80" s="705">
        <f>IF(AA80=0,,
IF(OR(リスト!$C$21="小麦",リスト!$C$21="二条大麦",リスト!$C$21="六条大麦",リスト!$C$21="はだか麦",リスト!$C$21="なたね"),IF(K80&lt;9,調査年-J80,調査年-J80-1),
IF(リスト!$C$21="さとうきび",IF(K80&gt;=4,調査年-J80,調査年-J80+1),
調査年-J80)))</f>
        <v>0</v>
      </c>
      <c r="AH80" s="408">
        <f t="shared" si="20"/>
        <v>0</v>
      </c>
      <c r="AI80" s="408">
        <f t="shared" si="6"/>
        <v>0</v>
      </c>
      <c r="AJ80" s="408">
        <f t="shared" si="7"/>
        <v>0</v>
      </c>
      <c r="AK80" s="408">
        <f t="shared" si="8"/>
        <v>0</v>
      </c>
      <c r="AL80" s="408">
        <f t="shared" si="9"/>
        <v>0</v>
      </c>
      <c r="AM80" s="408">
        <f t="shared" si="17"/>
        <v>0</v>
      </c>
      <c r="AN80" s="417"/>
      <c r="AO80" s="408">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408">
        <f t="shared" si="10"/>
        <v>0</v>
      </c>
      <c r="AQ80" s="408">
        <f t="shared" si="11"/>
        <v>0</v>
      </c>
      <c r="AR80" s="408">
        <f t="shared" si="12"/>
        <v>0</v>
      </c>
      <c r="AS80" s="408">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408">
        <f t="shared" si="13"/>
        <v>0</v>
      </c>
      <c r="AU80" s="408">
        <f t="shared" si="14"/>
        <v>0</v>
      </c>
      <c r="AV80" s="408">
        <f t="shared" si="15"/>
        <v>0</v>
      </c>
      <c r="AW80" s="408">
        <f t="shared" si="15"/>
        <v>0</v>
      </c>
      <c r="AX80" s="408">
        <f t="shared" si="15"/>
        <v>0</v>
      </c>
      <c r="AY80" s="742">
        <f t="shared" si="16"/>
        <v>0</v>
      </c>
      <c r="AZ80" s="707"/>
      <c r="BA80" s="707"/>
      <c r="BB80" s="707"/>
      <c r="BC80" s="707"/>
    </row>
    <row r="81" spans="3:55" s="46" customFormat="1" ht="30.75" hidden="1" customHeight="1" outlineLevel="1">
      <c r="C81" s="761">
        <v>65</v>
      </c>
      <c r="D81" s="708"/>
      <c r="E81" s="795"/>
      <c r="F81" s="791"/>
      <c r="G81" s="1963"/>
      <c r="H81" s="1964"/>
      <c r="I81" s="700"/>
      <c r="J81" s="746"/>
      <c r="K81" s="701"/>
      <c r="L81" s="702"/>
      <c r="M81" s="702"/>
      <c r="N81" s="702"/>
      <c r="O81" s="702"/>
      <c r="P81" s="702"/>
      <c r="Q81" s="876"/>
      <c r="R81" s="1039"/>
      <c r="S81" s="1074"/>
      <c r="T81" s="703"/>
      <c r="U81" s="747"/>
      <c r="V81" s="748"/>
      <c r="W81" s="738"/>
      <c r="X81" s="797"/>
      <c r="Y81" s="798"/>
      <c r="Z81" s="794"/>
      <c r="AA81" s="705">
        <f t="shared" ref="AA81:AA116" si="21">IF(AND(E81&gt;0,F81&gt;0),"["&amp;RIGHT(LEFT(E81,3),2)&amp;RIGHT(LEFT(F81,2),1)&amp;"]",)</f>
        <v>0</v>
      </c>
      <c r="AB81" s="705">
        <f t="shared" si="18"/>
        <v>0</v>
      </c>
      <c r="AC81" s="705">
        <f t="shared" si="19"/>
        <v>0</v>
      </c>
      <c r="AD81" s="705">
        <f>IF(AA81=0,,VLOOKUP(AA81,リスト!DH:DI,2,0))</f>
        <v>0</v>
      </c>
      <c r="AE81" s="705">
        <f t="shared" ref="AE81:AE116" si="22">IF(AC81=1,3,IF(G81="[2]中古",MIN(AD81,I81),AD81))</f>
        <v>0</v>
      </c>
      <c r="AF81" s="706">
        <f>IF(AE81=0,,VLOOKUP(AE81,リスト!DK:DL,2,0))</f>
        <v>0</v>
      </c>
      <c r="AG81" s="705">
        <f>IF(AA81=0,,
IF(OR(リスト!$C$21="小麦",リスト!$C$21="二条大麦",リスト!$C$21="六条大麦",リスト!$C$21="はだか麦",リスト!$C$21="なたね"),IF(K81&lt;9,調査年-J81,調査年-J81-1),
IF(リスト!$C$21="さとうきび",IF(K81&gt;=4,調査年-J81,調査年-J81+1),
調査年-J81)))</f>
        <v>0</v>
      </c>
      <c r="AH81" s="408">
        <f t="shared" ref="AH81:AH112" si="23">IF(OR(AA81=0,AB81=1),,
IF(AND(AE81&gt;0,AG81&lt;AE81,AI81&lt;=ROUND((L81-1)*AF81,0)),ROUND(AI81,0),
IF(AND(AE81&gt;0,AG81&lt;AE81),ROUND((L81-1)*AF81,0),)))</f>
        <v>0</v>
      </c>
      <c r="AI81" s="408">
        <f t="shared" ref="AI81:AI116" si="24">IF(OR(AA81=0,AB81=1),,
IF(AND(AE81&gt;0,AG81&lt;AE81),L81-ROUND((L81-1)*AF81*AG81,0),1
))</f>
        <v>0</v>
      </c>
      <c r="AJ81" s="408">
        <f t="shared" ref="AJ81:AJ116" si="25">IF(OR(AA81=0,AB81=1),,
IF(U81=0,AH81,
IF(U81="[2]廃棄等",SUM(AI81,V81),
IF(U81="[1]売却",AI81-V81,))))</f>
        <v>0</v>
      </c>
      <c r="AK81" s="408">
        <f t="shared" ref="AK81:AK116" si="26">IF(AND(AJ81=0,AH81=0),,
IF(OR(U81="[1]売却",U81="[2]廃棄等"),SUM(AJ81)-SUM(AH81),))</f>
        <v>0</v>
      </c>
      <c r="AL81" s="408">
        <f t="shared" ref="AL81:AL116" si="27">IF(OR(AB81=1,M81=0),,
IF(AND(AE81&gt;0,M81&gt;0,AG81&lt;AE81),M81-ROUND(M81*AF81*AG81,0),))</f>
        <v>0</v>
      </c>
      <c r="AM81" s="408">
        <f t="shared" si="17"/>
        <v>0</v>
      </c>
      <c r="AN81" s="417"/>
      <c r="AO81" s="408">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408">
        <f t="shared" ref="AP81:AP116" si="28">IF(S81=0,,IF(AJ81=0,,ROUND(AJ81*S81%,0)))</f>
        <v>0</v>
      </c>
      <c r="AQ81" s="408">
        <f t="shared" ref="AQ81:AQ116" si="29">IF(S81=0,,IF(AK81=0,,ROUND(AK81*S81%,0)))</f>
        <v>0</v>
      </c>
      <c r="AR81" s="408">
        <f t="shared" ref="AR81:AR116" si="30">IF(S81=0,,IF(AI81=0,,ROUND(AI81*S81%,0)))</f>
        <v>0</v>
      </c>
      <c r="AS81" s="408">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408">
        <f t="shared" ref="AT81:AT116" si="31">IF(O81&gt;0,ROUND(O81*$S81%,),)</f>
        <v>0</v>
      </c>
      <c r="AU81" s="408">
        <f t="shared" ref="AU81:AU116" si="32">IF(OR(AS81&gt;0,AT81&gt;0),SUM(AS81:AT81),)</f>
        <v>0</v>
      </c>
      <c r="AV81" s="408">
        <f t="shared" ref="AV81:AX116" si="33">IF(P81&gt;0,ROUND(P81*$S81%,),)</f>
        <v>0</v>
      </c>
      <c r="AW81" s="408">
        <f t="shared" si="33"/>
        <v>0</v>
      </c>
      <c r="AX81" s="408">
        <f t="shared" si="33"/>
        <v>0</v>
      </c>
      <c r="AY81" s="742">
        <f t="shared" ref="AY81:AY116" si="34">IF(Y81="○",,IF(AND(X81&gt;0,S81&gt;0),ROUND(1/X81,1),IF(S81&gt;0,ROUND(1,1),)))</f>
        <v>0</v>
      </c>
      <c r="AZ81" s="707"/>
      <c r="BA81" s="707"/>
      <c r="BB81" s="707"/>
      <c r="BC81" s="707"/>
    </row>
    <row r="82" spans="3:55" s="46" customFormat="1" ht="30.75" hidden="1" customHeight="1" outlineLevel="1">
      <c r="C82" s="761">
        <v>66</v>
      </c>
      <c r="D82" s="708"/>
      <c r="E82" s="795"/>
      <c r="F82" s="791"/>
      <c r="G82" s="1963"/>
      <c r="H82" s="1964"/>
      <c r="I82" s="700"/>
      <c r="J82" s="746"/>
      <c r="K82" s="701"/>
      <c r="L82" s="702"/>
      <c r="M82" s="702"/>
      <c r="N82" s="702"/>
      <c r="O82" s="702"/>
      <c r="P82" s="702"/>
      <c r="Q82" s="876"/>
      <c r="R82" s="1039"/>
      <c r="S82" s="1074"/>
      <c r="T82" s="703"/>
      <c r="U82" s="747"/>
      <c r="V82" s="748"/>
      <c r="W82" s="738"/>
      <c r="X82" s="797"/>
      <c r="Y82" s="798"/>
      <c r="Z82" s="794"/>
      <c r="AA82" s="705">
        <f t="shared" si="21"/>
        <v>0</v>
      </c>
      <c r="AB82" s="705">
        <f t="shared" si="18"/>
        <v>0</v>
      </c>
      <c r="AC82" s="705">
        <f t="shared" si="19"/>
        <v>0</v>
      </c>
      <c r="AD82" s="705">
        <f>IF(AA82=0,,VLOOKUP(AA82,リスト!DH:DI,2,0))</f>
        <v>0</v>
      </c>
      <c r="AE82" s="705">
        <f t="shared" si="22"/>
        <v>0</v>
      </c>
      <c r="AF82" s="706">
        <f>IF(AE82=0,,VLOOKUP(AE82,リスト!DK:DL,2,0))</f>
        <v>0</v>
      </c>
      <c r="AG82" s="705">
        <f>IF(AA82=0,,
IF(OR(リスト!$C$21="小麦",リスト!$C$21="二条大麦",リスト!$C$21="六条大麦",リスト!$C$21="はだか麦",リスト!$C$21="なたね"),IF(K82&lt;9,調査年-J82,調査年-J82-1),
IF(リスト!$C$21="さとうきび",IF(K82&gt;=4,調査年-J82,調査年-J82+1),
調査年-J82)))</f>
        <v>0</v>
      </c>
      <c r="AH82" s="408">
        <f t="shared" si="23"/>
        <v>0</v>
      </c>
      <c r="AI82" s="408">
        <f t="shared" si="24"/>
        <v>0</v>
      </c>
      <c r="AJ82" s="408">
        <f t="shared" si="25"/>
        <v>0</v>
      </c>
      <c r="AK82" s="408">
        <f t="shared" si="26"/>
        <v>0</v>
      </c>
      <c r="AL82" s="408">
        <f t="shared" si="27"/>
        <v>0</v>
      </c>
      <c r="AM82" s="408">
        <f t="shared" ref="AM82:AM116" si="35">IF(OR(AA82=0,AB82=1),IF(AND(AB82=1,AG82=0),M82,),
IF(AND(AE82&gt;0,AG82&lt;AE82,SUM(AL82)&gt;0,AL82&lt;=ROUND(M82*AF82,0)),AL82,
IF(AND(AE82&gt;0,AG82&lt;AE82,SUM(M82)&gt;0),ROUND(M82*AF82,0),)))</f>
        <v>0</v>
      </c>
      <c r="AN82" s="417"/>
      <c r="AO82" s="408">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408">
        <f t="shared" si="28"/>
        <v>0</v>
      </c>
      <c r="AQ82" s="408">
        <f t="shared" si="29"/>
        <v>0</v>
      </c>
      <c r="AR82" s="408">
        <f t="shared" si="30"/>
        <v>0</v>
      </c>
      <c r="AS82" s="408">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408">
        <f t="shared" si="31"/>
        <v>0</v>
      </c>
      <c r="AU82" s="408">
        <f t="shared" si="32"/>
        <v>0</v>
      </c>
      <c r="AV82" s="408">
        <f t="shared" si="33"/>
        <v>0</v>
      </c>
      <c r="AW82" s="408">
        <f t="shared" si="33"/>
        <v>0</v>
      </c>
      <c r="AX82" s="408">
        <f t="shared" si="33"/>
        <v>0</v>
      </c>
      <c r="AY82" s="742">
        <f t="shared" si="34"/>
        <v>0</v>
      </c>
      <c r="AZ82" s="707"/>
      <c r="BA82" s="707"/>
      <c r="BB82" s="707"/>
      <c r="BC82" s="707"/>
    </row>
    <row r="83" spans="3:55" s="46" customFormat="1" ht="30.75" hidden="1" customHeight="1" outlineLevel="1">
      <c r="C83" s="761">
        <v>67</v>
      </c>
      <c r="D83" s="708"/>
      <c r="E83" s="795"/>
      <c r="F83" s="791"/>
      <c r="G83" s="1963"/>
      <c r="H83" s="1964"/>
      <c r="I83" s="700"/>
      <c r="J83" s="746"/>
      <c r="K83" s="701"/>
      <c r="L83" s="702"/>
      <c r="M83" s="702"/>
      <c r="N83" s="702"/>
      <c r="O83" s="702"/>
      <c r="P83" s="702"/>
      <c r="Q83" s="876"/>
      <c r="R83" s="1039"/>
      <c r="S83" s="1074"/>
      <c r="T83" s="703"/>
      <c r="U83" s="747"/>
      <c r="V83" s="748"/>
      <c r="W83" s="738"/>
      <c r="X83" s="797"/>
      <c r="Y83" s="798"/>
      <c r="Z83" s="794"/>
      <c r="AA83" s="705">
        <f t="shared" si="21"/>
        <v>0</v>
      </c>
      <c r="AB83" s="705">
        <f t="shared" ref="AB83:AB116" si="36">IF(AA83=0,,IF(L83+M83&lt;100000,1,0))</f>
        <v>0</v>
      </c>
      <c r="AC83" s="705">
        <f t="shared" ref="AC83:AC116" si="37">IF(AA83=0,,IF(AND(AB83=0,L83+M83&lt;200000),1,))</f>
        <v>0</v>
      </c>
      <c r="AD83" s="705">
        <f>IF(AA83=0,,VLOOKUP(AA83,リスト!DH:DI,2,0))</f>
        <v>0</v>
      </c>
      <c r="AE83" s="705">
        <f t="shared" si="22"/>
        <v>0</v>
      </c>
      <c r="AF83" s="706">
        <f>IF(AE83=0,,VLOOKUP(AE83,リスト!DK:DL,2,0))</f>
        <v>0</v>
      </c>
      <c r="AG83" s="705">
        <f>IF(AA83=0,,
IF(OR(リスト!$C$21="小麦",リスト!$C$21="二条大麦",リスト!$C$21="六条大麦",リスト!$C$21="はだか麦",リスト!$C$21="なたね"),IF(K83&lt;9,調査年-J83,調査年-J83-1),
IF(リスト!$C$21="さとうきび",IF(K83&gt;=4,調査年-J83,調査年-J83+1),
調査年-J83)))</f>
        <v>0</v>
      </c>
      <c r="AH83" s="408">
        <f t="shared" si="23"/>
        <v>0</v>
      </c>
      <c r="AI83" s="408">
        <f t="shared" si="24"/>
        <v>0</v>
      </c>
      <c r="AJ83" s="408">
        <f t="shared" si="25"/>
        <v>0</v>
      </c>
      <c r="AK83" s="408">
        <f t="shared" si="26"/>
        <v>0</v>
      </c>
      <c r="AL83" s="408">
        <f t="shared" si="27"/>
        <v>0</v>
      </c>
      <c r="AM83" s="408">
        <f t="shared" si="35"/>
        <v>0</v>
      </c>
      <c r="AN83" s="417"/>
      <c r="AO83" s="408">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408">
        <f t="shared" si="28"/>
        <v>0</v>
      </c>
      <c r="AQ83" s="408">
        <f t="shared" si="29"/>
        <v>0</v>
      </c>
      <c r="AR83" s="408">
        <f t="shared" si="30"/>
        <v>0</v>
      </c>
      <c r="AS83" s="408">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408">
        <f t="shared" si="31"/>
        <v>0</v>
      </c>
      <c r="AU83" s="408">
        <f t="shared" si="32"/>
        <v>0</v>
      </c>
      <c r="AV83" s="408">
        <f t="shared" si="33"/>
        <v>0</v>
      </c>
      <c r="AW83" s="408">
        <f t="shared" si="33"/>
        <v>0</v>
      </c>
      <c r="AX83" s="408">
        <f t="shared" si="33"/>
        <v>0</v>
      </c>
      <c r="AY83" s="742">
        <f t="shared" si="34"/>
        <v>0</v>
      </c>
      <c r="AZ83" s="707"/>
      <c r="BA83" s="707"/>
      <c r="BB83" s="707"/>
      <c r="BC83" s="707"/>
    </row>
    <row r="84" spans="3:55" s="46" customFormat="1" ht="30.75" hidden="1" customHeight="1" outlineLevel="1">
      <c r="C84" s="761">
        <v>68</v>
      </c>
      <c r="D84" s="708"/>
      <c r="E84" s="795"/>
      <c r="F84" s="791"/>
      <c r="G84" s="1963"/>
      <c r="H84" s="1964"/>
      <c r="I84" s="700"/>
      <c r="J84" s="746"/>
      <c r="K84" s="701"/>
      <c r="L84" s="702"/>
      <c r="M84" s="702"/>
      <c r="N84" s="702"/>
      <c r="O84" s="702"/>
      <c r="P84" s="702"/>
      <c r="Q84" s="876"/>
      <c r="R84" s="1039"/>
      <c r="S84" s="1074"/>
      <c r="T84" s="703"/>
      <c r="U84" s="747"/>
      <c r="V84" s="748"/>
      <c r="W84" s="738"/>
      <c r="X84" s="797"/>
      <c r="Y84" s="798"/>
      <c r="Z84" s="794"/>
      <c r="AA84" s="705">
        <f t="shared" si="21"/>
        <v>0</v>
      </c>
      <c r="AB84" s="705">
        <f t="shared" si="36"/>
        <v>0</v>
      </c>
      <c r="AC84" s="705">
        <f t="shared" si="37"/>
        <v>0</v>
      </c>
      <c r="AD84" s="705">
        <f>IF(AA84=0,,VLOOKUP(AA84,リスト!DH:DI,2,0))</f>
        <v>0</v>
      </c>
      <c r="AE84" s="705">
        <f t="shared" si="22"/>
        <v>0</v>
      </c>
      <c r="AF84" s="706">
        <f>IF(AE84=0,,VLOOKUP(AE84,リスト!DK:DL,2,0))</f>
        <v>0</v>
      </c>
      <c r="AG84" s="705">
        <f>IF(AA84=0,,
IF(OR(リスト!$C$21="小麦",リスト!$C$21="二条大麦",リスト!$C$21="六条大麦",リスト!$C$21="はだか麦",リスト!$C$21="なたね"),IF(K84&lt;9,調査年-J84,調査年-J84-1),
IF(リスト!$C$21="さとうきび",IF(K84&gt;=4,調査年-J84,調査年-J84+1),
調査年-J84)))</f>
        <v>0</v>
      </c>
      <c r="AH84" s="408">
        <f t="shared" si="23"/>
        <v>0</v>
      </c>
      <c r="AI84" s="408">
        <f t="shared" si="24"/>
        <v>0</v>
      </c>
      <c r="AJ84" s="408">
        <f t="shared" si="25"/>
        <v>0</v>
      </c>
      <c r="AK84" s="408">
        <f t="shared" si="26"/>
        <v>0</v>
      </c>
      <c r="AL84" s="408">
        <f t="shared" si="27"/>
        <v>0</v>
      </c>
      <c r="AM84" s="408">
        <f t="shared" si="35"/>
        <v>0</v>
      </c>
      <c r="AN84" s="417"/>
      <c r="AO84" s="408">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408">
        <f t="shared" si="28"/>
        <v>0</v>
      </c>
      <c r="AQ84" s="408">
        <f t="shared" si="29"/>
        <v>0</v>
      </c>
      <c r="AR84" s="408">
        <f t="shared" si="30"/>
        <v>0</v>
      </c>
      <c r="AS84" s="408">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408">
        <f t="shared" si="31"/>
        <v>0</v>
      </c>
      <c r="AU84" s="408">
        <f t="shared" si="32"/>
        <v>0</v>
      </c>
      <c r="AV84" s="408">
        <f t="shared" si="33"/>
        <v>0</v>
      </c>
      <c r="AW84" s="408">
        <f t="shared" si="33"/>
        <v>0</v>
      </c>
      <c r="AX84" s="408">
        <f t="shared" si="33"/>
        <v>0</v>
      </c>
      <c r="AY84" s="742">
        <f t="shared" si="34"/>
        <v>0</v>
      </c>
      <c r="AZ84" s="707"/>
      <c r="BA84" s="707"/>
      <c r="BB84" s="707"/>
      <c r="BC84" s="707"/>
    </row>
    <row r="85" spans="3:55" s="46" customFormat="1" ht="30.75" hidden="1" customHeight="1" outlineLevel="1">
      <c r="C85" s="761">
        <v>69</v>
      </c>
      <c r="D85" s="708"/>
      <c r="E85" s="795"/>
      <c r="F85" s="791"/>
      <c r="G85" s="1963"/>
      <c r="H85" s="1964"/>
      <c r="I85" s="700"/>
      <c r="J85" s="746"/>
      <c r="K85" s="701"/>
      <c r="L85" s="702"/>
      <c r="M85" s="702"/>
      <c r="N85" s="702"/>
      <c r="O85" s="702"/>
      <c r="P85" s="702"/>
      <c r="Q85" s="876"/>
      <c r="R85" s="1039"/>
      <c r="S85" s="1074"/>
      <c r="T85" s="703"/>
      <c r="U85" s="747"/>
      <c r="V85" s="748"/>
      <c r="W85" s="738"/>
      <c r="X85" s="797"/>
      <c r="Y85" s="798"/>
      <c r="Z85" s="794"/>
      <c r="AA85" s="705">
        <f t="shared" si="21"/>
        <v>0</v>
      </c>
      <c r="AB85" s="705">
        <f t="shared" si="36"/>
        <v>0</v>
      </c>
      <c r="AC85" s="705">
        <f t="shared" si="37"/>
        <v>0</v>
      </c>
      <c r="AD85" s="705">
        <f>IF(AA85=0,,VLOOKUP(AA85,リスト!DH:DI,2,0))</f>
        <v>0</v>
      </c>
      <c r="AE85" s="705">
        <f t="shared" si="22"/>
        <v>0</v>
      </c>
      <c r="AF85" s="706">
        <f>IF(AE85=0,,VLOOKUP(AE85,リスト!DK:DL,2,0))</f>
        <v>0</v>
      </c>
      <c r="AG85" s="705">
        <f>IF(AA85=0,,
IF(OR(リスト!$C$21="小麦",リスト!$C$21="二条大麦",リスト!$C$21="六条大麦",リスト!$C$21="はだか麦",リスト!$C$21="なたね"),IF(K85&lt;9,調査年-J85,調査年-J85-1),
IF(リスト!$C$21="さとうきび",IF(K85&gt;=4,調査年-J85,調査年-J85+1),
調査年-J85)))</f>
        <v>0</v>
      </c>
      <c r="AH85" s="408">
        <f t="shared" si="23"/>
        <v>0</v>
      </c>
      <c r="AI85" s="408">
        <f t="shared" si="24"/>
        <v>0</v>
      </c>
      <c r="AJ85" s="408">
        <f t="shared" si="25"/>
        <v>0</v>
      </c>
      <c r="AK85" s="408">
        <f t="shared" si="26"/>
        <v>0</v>
      </c>
      <c r="AL85" s="408">
        <f t="shared" si="27"/>
        <v>0</v>
      </c>
      <c r="AM85" s="408">
        <f t="shared" si="35"/>
        <v>0</v>
      </c>
      <c r="AN85" s="417"/>
      <c r="AO85" s="408">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408">
        <f t="shared" si="28"/>
        <v>0</v>
      </c>
      <c r="AQ85" s="408">
        <f t="shared" si="29"/>
        <v>0</v>
      </c>
      <c r="AR85" s="408">
        <f t="shared" si="30"/>
        <v>0</v>
      </c>
      <c r="AS85" s="408">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408">
        <f t="shared" si="31"/>
        <v>0</v>
      </c>
      <c r="AU85" s="408">
        <f t="shared" si="32"/>
        <v>0</v>
      </c>
      <c r="AV85" s="408">
        <f t="shared" si="33"/>
        <v>0</v>
      </c>
      <c r="AW85" s="408">
        <f t="shared" si="33"/>
        <v>0</v>
      </c>
      <c r="AX85" s="408">
        <f t="shared" si="33"/>
        <v>0</v>
      </c>
      <c r="AY85" s="742">
        <f t="shared" si="34"/>
        <v>0</v>
      </c>
      <c r="AZ85" s="707"/>
      <c r="BA85" s="707"/>
      <c r="BB85" s="707"/>
      <c r="BC85" s="707"/>
    </row>
    <row r="86" spans="3:55" s="46" customFormat="1" ht="30.75" hidden="1" customHeight="1" outlineLevel="1">
      <c r="C86" s="761">
        <v>70</v>
      </c>
      <c r="D86" s="708"/>
      <c r="E86" s="795"/>
      <c r="F86" s="791"/>
      <c r="G86" s="1963"/>
      <c r="H86" s="1964"/>
      <c r="I86" s="700"/>
      <c r="J86" s="746"/>
      <c r="K86" s="701"/>
      <c r="L86" s="702"/>
      <c r="M86" s="702"/>
      <c r="N86" s="702"/>
      <c r="O86" s="702"/>
      <c r="P86" s="702"/>
      <c r="Q86" s="876"/>
      <c r="R86" s="1039"/>
      <c r="S86" s="1074"/>
      <c r="T86" s="703"/>
      <c r="U86" s="747"/>
      <c r="V86" s="748"/>
      <c r="W86" s="738"/>
      <c r="X86" s="797"/>
      <c r="Y86" s="798"/>
      <c r="Z86" s="794"/>
      <c r="AA86" s="705">
        <f t="shared" si="21"/>
        <v>0</v>
      </c>
      <c r="AB86" s="705">
        <f t="shared" si="36"/>
        <v>0</v>
      </c>
      <c r="AC86" s="705">
        <f t="shared" si="37"/>
        <v>0</v>
      </c>
      <c r="AD86" s="705">
        <f>IF(AA86=0,,VLOOKUP(AA86,リスト!DH:DI,2,0))</f>
        <v>0</v>
      </c>
      <c r="AE86" s="705">
        <f t="shared" si="22"/>
        <v>0</v>
      </c>
      <c r="AF86" s="706">
        <f>IF(AE86=0,,VLOOKUP(AE86,リスト!DK:DL,2,0))</f>
        <v>0</v>
      </c>
      <c r="AG86" s="705">
        <f>IF(AA86=0,,
IF(OR(リスト!$C$21="小麦",リスト!$C$21="二条大麦",リスト!$C$21="六条大麦",リスト!$C$21="はだか麦",リスト!$C$21="なたね"),IF(K86&lt;9,調査年-J86,調査年-J86-1),
IF(リスト!$C$21="さとうきび",IF(K86&gt;=4,調査年-J86,調査年-J86+1),
調査年-J86)))</f>
        <v>0</v>
      </c>
      <c r="AH86" s="408">
        <f t="shared" si="23"/>
        <v>0</v>
      </c>
      <c r="AI86" s="408">
        <f t="shared" si="24"/>
        <v>0</v>
      </c>
      <c r="AJ86" s="408">
        <f t="shared" si="25"/>
        <v>0</v>
      </c>
      <c r="AK86" s="408">
        <f t="shared" si="26"/>
        <v>0</v>
      </c>
      <c r="AL86" s="408">
        <f t="shared" si="27"/>
        <v>0</v>
      </c>
      <c r="AM86" s="408">
        <f t="shared" si="35"/>
        <v>0</v>
      </c>
      <c r="AN86" s="417"/>
      <c r="AO86" s="408">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408">
        <f t="shared" si="28"/>
        <v>0</v>
      </c>
      <c r="AQ86" s="408">
        <f t="shared" si="29"/>
        <v>0</v>
      </c>
      <c r="AR86" s="408">
        <f t="shared" si="30"/>
        <v>0</v>
      </c>
      <c r="AS86" s="408">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408">
        <f t="shared" si="31"/>
        <v>0</v>
      </c>
      <c r="AU86" s="408">
        <f t="shared" si="32"/>
        <v>0</v>
      </c>
      <c r="AV86" s="408">
        <f t="shared" si="33"/>
        <v>0</v>
      </c>
      <c r="AW86" s="408">
        <f t="shared" si="33"/>
        <v>0</v>
      </c>
      <c r="AX86" s="408">
        <f t="shared" si="33"/>
        <v>0</v>
      </c>
      <c r="AY86" s="742">
        <f t="shared" si="34"/>
        <v>0</v>
      </c>
      <c r="AZ86" s="707"/>
      <c r="BA86" s="707"/>
      <c r="BB86" s="707"/>
      <c r="BC86" s="707"/>
    </row>
    <row r="87" spans="3:55" s="46" customFormat="1" ht="30.75" hidden="1" customHeight="1" outlineLevel="1">
      <c r="C87" s="761">
        <v>71</v>
      </c>
      <c r="D87" s="708"/>
      <c r="E87" s="795"/>
      <c r="F87" s="791"/>
      <c r="G87" s="1963"/>
      <c r="H87" s="1964"/>
      <c r="I87" s="700"/>
      <c r="J87" s="746"/>
      <c r="K87" s="701"/>
      <c r="L87" s="702"/>
      <c r="M87" s="702"/>
      <c r="N87" s="702"/>
      <c r="O87" s="702"/>
      <c r="P87" s="702"/>
      <c r="Q87" s="876"/>
      <c r="R87" s="1039"/>
      <c r="S87" s="1074"/>
      <c r="T87" s="703"/>
      <c r="U87" s="747"/>
      <c r="V87" s="748"/>
      <c r="W87" s="738"/>
      <c r="X87" s="797"/>
      <c r="Y87" s="798"/>
      <c r="Z87" s="794"/>
      <c r="AA87" s="705">
        <f t="shared" si="21"/>
        <v>0</v>
      </c>
      <c r="AB87" s="705">
        <f t="shared" si="36"/>
        <v>0</v>
      </c>
      <c r="AC87" s="705">
        <f t="shared" si="37"/>
        <v>0</v>
      </c>
      <c r="AD87" s="705">
        <f>IF(AA87=0,,VLOOKUP(AA87,リスト!DH:DI,2,0))</f>
        <v>0</v>
      </c>
      <c r="AE87" s="705">
        <f t="shared" si="22"/>
        <v>0</v>
      </c>
      <c r="AF87" s="706">
        <f>IF(AE87=0,,VLOOKUP(AE87,リスト!DK:DL,2,0))</f>
        <v>0</v>
      </c>
      <c r="AG87" s="705">
        <f>IF(AA87=0,,
IF(OR(リスト!$C$21="小麦",リスト!$C$21="二条大麦",リスト!$C$21="六条大麦",リスト!$C$21="はだか麦",リスト!$C$21="なたね"),IF(K87&lt;9,調査年-J87,調査年-J87-1),
IF(リスト!$C$21="さとうきび",IF(K87&gt;=4,調査年-J87,調査年-J87+1),
調査年-J87)))</f>
        <v>0</v>
      </c>
      <c r="AH87" s="408">
        <f t="shared" si="23"/>
        <v>0</v>
      </c>
      <c r="AI87" s="408">
        <f t="shared" si="24"/>
        <v>0</v>
      </c>
      <c r="AJ87" s="408">
        <f t="shared" si="25"/>
        <v>0</v>
      </c>
      <c r="AK87" s="408">
        <f t="shared" si="26"/>
        <v>0</v>
      </c>
      <c r="AL87" s="408">
        <f t="shared" si="27"/>
        <v>0</v>
      </c>
      <c r="AM87" s="408">
        <f t="shared" si="35"/>
        <v>0</v>
      </c>
      <c r="AN87" s="417"/>
      <c r="AO87" s="408">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408">
        <f t="shared" si="28"/>
        <v>0</v>
      </c>
      <c r="AQ87" s="408">
        <f t="shared" si="29"/>
        <v>0</v>
      </c>
      <c r="AR87" s="408">
        <f t="shared" si="30"/>
        <v>0</v>
      </c>
      <c r="AS87" s="408">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408">
        <f t="shared" si="31"/>
        <v>0</v>
      </c>
      <c r="AU87" s="408">
        <f t="shared" si="32"/>
        <v>0</v>
      </c>
      <c r="AV87" s="408">
        <f t="shared" si="33"/>
        <v>0</v>
      </c>
      <c r="AW87" s="408">
        <f t="shared" si="33"/>
        <v>0</v>
      </c>
      <c r="AX87" s="408">
        <f t="shared" si="33"/>
        <v>0</v>
      </c>
      <c r="AY87" s="742">
        <f t="shared" si="34"/>
        <v>0</v>
      </c>
      <c r="AZ87" s="707"/>
      <c r="BA87" s="707"/>
      <c r="BB87" s="707"/>
      <c r="BC87" s="707"/>
    </row>
    <row r="88" spans="3:55" s="46" customFormat="1" ht="30.75" hidden="1" customHeight="1" outlineLevel="1">
      <c r="C88" s="761">
        <v>72</v>
      </c>
      <c r="D88" s="708"/>
      <c r="E88" s="795"/>
      <c r="F88" s="791"/>
      <c r="G88" s="1963"/>
      <c r="H88" s="1964"/>
      <c r="I88" s="700"/>
      <c r="J88" s="746"/>
      <c r="K88" s="701"/>
      <c r="L88" s="702"/>
      <c r="M88" s="702"/>
      <c r="N88" s="702"/>
      <c r="O88" s="702"/>
      <c r="P88" s="702"/>
      <c r="Q88" s="876"/>
      <c r="R88" s="1039"/>
      <c r="S88" s="1074"/>
      <c r="T88" s="703"/>
      <c r="U88" s="747"/>
      <c r="V88" s="748"/>
      <c r="W88" s="738"/>
      <c r="X88" s="797"/>
      <c r="Y88" s="798"/>
      <c r="Z88" s="794"/>
      <c r="AA88" s="705">
        <f t="shared" si="21"/>
        <v>0</v>
      </c>
      <c r="AB88" s="705">
        <f t="shared" si="36"/>
        <v>0</v>
      </c>
      <c r="AC88" s="705">
        <f t="shared" si="37"/>
        <v>0</v>
      </c>
      <c r="AD88" s="705">
        <f>IF(AA88=0,,VLOOKUP(AA88,リスト!DH:DI,2,0))</f>
        <v>0</v>
      </c>
      <c r="AE88" s="705">
        <f t="shared" si="22"/>
        <v>0</v>
      </c>
      <c r="AF88" s="706">
        <f>IF(AE88=0,,VLOOKUP(AE88,リスト!DK:DL,2,0))</f>
        <v>0</v>
      </c>
      <c r="AG88" s="705">
        <f>IF(AA88=0,,
IF(OR(リスト!$C$21="小麦",リスト!$C$21="二条大麦",リスト!$C$21="六条大麦",リスト!$C$21="はだか麦",リスト!$C$21="なたね"),IF(K88&lt;9,調査年-J88,調査年-J88-1),
IF(リスト!$C$21="さとうきび",IF(K88&gt;=4,調査年-J88,調査年-J88+1),
調査年-J88)))</f>
        <v>0</v>
      </c>
      <c r="AH88" s="408">
        <f t="shared" si="23"/>
        <v>0</v>
      </c>
      <c r="AI88" s="408">
        <f t="shared" si="24"/>
        <v>0</v>
      </c>
      <c r="AJ88" s="408">
        <f t="shared" si="25"/>
        <v>0</v>
      </c>
      <c r="AK88" s="408">
        <f t="shared" si="26"/>
        <v>0</v>
      </c>
      <c r="AL88" s="408">
        <f t="shared" si="27"/>
        <v>0</v>
      </c>
      <c r="AM88" s="408">
        <f t="shared" si="35"/>
        <v>0</v>
      </c>
      <c r="AN88" s="417"/>
      <c r="AO88" s="408">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408">
        <f t="shared" si="28"/>
        <v>0</v>
      </c>
      <c r="AQ88" s="408">
        <f t="shared" si="29"/>
        <v>0</v>
      </c>
      <c r="AR88" s="408">
        <f t="shared" si="30"/>
        <v>0</v>
      </c>
      <c r="AS88" s="408">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408">
        <f t="shared" si="31"/>
        <v>0</v>
      </c>
      <c r="AU88" s="408">
        <f t="shared" si="32"/>
        <v>0</v>
      </c>
      <c r="AV88" s="408">
        <f t="shared" si="33"/>
        <v>0</v>
      </c>
      <c r="AW88" s="408">
        <f t="shared" si="33"/>
        <v>0</v>
      </c>
      <c r="AX88" s="408">
        <f t="shared" si="33"/>
        <v>0</v>
      </c>
      <c r="AY88" s="742">
        <f t="shared" si="34"/>
        <v>0</v>
      </c>
      <c r="AZ88" s="707"/>
      <c r="BA88" s="707"/>
      <c r="BB88" s="707"/>
      <c r="BC88" s="707"/>
    </row>
    <row r="89" spans="3:55" s="46" customFormat="1" ht="30.75" hidden="1" customHeight="1" outlineLevel="1">
      <c r="C89" s="761">
        <v>73</v>
      </c>
      <c r="D89" s="708"/>
      <c r="E89" s="795"/>
      <c r="F89" s="791"/>
      <c r="G89" s="1963"/>
      <c r="H89" s="1964"/>
      <c r="I89" s="700"/>
      <c r="J89" s="746"/>
      <c r="K89" s="701"/>
      <c r="L89" s="702"/>
      <c r="M89" s="702"/>
      <c r="N89" s="702"/>
      <c r="O89" s="702"/>
      <c r="P89" s="702"/>
      <c r="Q89" s="876"/>
      <c r="R89" s="1039"/>
      <c r="S89" s="1074"/>
      <c r="T89" s="703"/>
      <c r="U89" s="747"/>
      <c r="V89" s="748"/>
      <c r="W89" s="738"/>
      <c r="X89" s="797"/>
      <c r="Y89" s="798"/>
      <c r="Z89" s="794"/>
      <c r="AA89" s="705">
        <f t="shared" si="21"/>
        <v>0</v>
      </c>
      <c r="AB89" s="705">
        <f t="shared" si="36"/>
        <v>0</v>
      </c>
      <c r="AC89" s="705">
        <f t="shared" si="37"/>
        <v>0</v>
      </c>
      <c r="AD89" s="705">
        <f>IF(AA89=0,,VLOOKUP(AA89,リスト!DH:DI,2,0))</f>
        <v>0</v>
      </c>
      <c r="AE89" s="705">
        <f t="shared" si="22"/>
        <v>0</v>
      </c>
      <c r="AF89" s="706">
        <f>IF(AE89=0,,VLOOKUP(AE89,リスト!DK:DL,2,0))</f>
        <v>0</v>
      </c>
      <c r="AG89" s="705">
        <f>IF(AA89=0,,
IF(OR(リスト!$C$21="小麦",リスト!$C$21="二条大麦",リスト!$C$21="六条大麦",リスト!$C$21="はだか麦",リスト!$C$21="なたね"),IF(K89&lt;9,調査年-J89,調査年-J89-1),
IF(リスト!$C$21="さとうきび",IF(K89&gt;=4,調査年-J89,調査年-J89+1),
調査年-J89)))</f>
        <v>0</v>
      </c>
      <c r="AH89" s="408">
        <f t="shared" si="23"/>
        <v>0</v>
      </c>
      <c r="AI89" s="408">
        <f t="shared" si="24"/>
        <v>0</v>
      </c>
      <c r="AJ89" s="408">
        <f t="shared" si="25"/>
        <v>0</v>
      </c>
      <c r="AK89" s="408">
        <f t="shared" si="26"/>
        <v>0</v>
      </c>
      <c r="AL89" s="408">
        <f t="shared" si="27"/>
        <v>0</v>
      </c>
      <c r="AM89" s="408">
        <f t="shared" si="35"/>
        <v>0</v>
      </c>
      <c r="AN89" s="417"/>
      <c r="AO89" s="408">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408">
        <f t="shared" si="28"/>
        <v>0</v>
      </c>
      <c r="AQ89" s="408">
        <f t="shared" si="29"/>
        <v>0</v>
      </c>
      <c r="AR89" s="408">
        <f t="shared" si="30"/>
        <v>0</v>
      </c>
      <c r="AS89" s="408">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408">
        <f t="shared" si="31"/>
        <v>0</v>
      </c>
      <c r="AU89" s="408">
        <f t="shared" si="32"/>
        <v>0</v>
      </c>
      <c r="AV89" s="408">
        <f t="shared" si="33"/>
        <v>0</v>
      </c>
      <c r="AW89" s="408">
        <f t="shared" si="33"/>
        <v>0</v>
      </c>
      <c r="AX89" s="408">
        <f t="shared" si="33"/>
        <v>0</v>
      </c>
      <c r="AY89" s="742">
        <f t="shared" si="34"/>
        <v>0</v>
      </c>
      <c r="AZ89" s="707"/>
      <c r="BA89" s="707"/>
      <c r="BB89" s="707"/>
      <c r="BC89" s="707"/>
    </row>
    <row r="90" spans="3:55" s="46" customFormat="1" ht="30.75" hidden="1" customHeight="1" outlineLevel="1">
      <c r="C90" s="761">
        <v>74</v>
      </c>
      <c r="D90" s="708"/>
      <c r="E90" s="795"/>
      <c r="F90" s="791"/>
      <c r="G90" s="1963"/>
      <c r="H90" s="1964"/>
      <c r="I90" s="700"/>
      <c r="J90" s="746"/>
      <c r="K90" s="701"/>
      <c r="L90" s="702"/>
      <c r="M90" s="702"/>
      <c r="N90" s="702"/>
      <c r="O90" s="702"/>
      <c r="P90" s="702"/>
      <c r="Q90" s="876"/>
      <c r="R90" s="1039"/>
      <c r="S90" s="1074"/>
      <c r="T90" s="703"/>
      <c r="U90" s="747"/>
      <c r="V90" s="748"/>
      <c r="W90" s="738"/>
      <c r="X90" s="797"/>
      <c r="Y90" s="798"/>
      <c r="Z90" s="794"/>
      <c r="AA90" s="705">
        <f t="shared" si="21"/>
        <v>0</v>
      </c>
      <c r="AB90" s="705">
        <f t="shared" si="36"/>
        <v>0</v>
      </c>
      <c r="AC90" s="705">
        <f t="shared" si="37"/>
        <v>0</v>
      </c>
      <c r="AD90" s="705">
        <f>IF(AA90=0,,VLOOKUP(AA90,リスト!DH:DI,2,0))</f>
        <v>0</v>
      </c>
      <c r="AE90" s="705">
        <f t="shared" si="22"/>
        <v>0</v>
      </c>
      <c r="AF90" s="706">
        <f>IF(AE90=0,,VLOOKUP(AE90,リスト!DK:DL,2,0))</f>
        <v>0</v>
      </c>
      <c r="AG90" s="705">
        <f>IF(AA90=0,,
IF(OR(リスト!$C$21="小麦",リスト!$C$21="二条大麦",リスト!$C$21="六条大麦",リスト!$C$21="はだか麦",リスト!$C$21="なたね"),IF(K90&lt;9,調査年-J90,調査年-J90-1),
IF(リスト!$C$21="さとうきび",IF(K90&gt;=4,調査年-J90,調査年-J90+1),
調査年-J90)))</f>
        <v>0</v>
      </c>
      <c r="AH90" s="408">
        <f t="shared" si="23"/>
        <v>0</v>
      </c>
      <c r="AI90" s="408">
        <f t="shared" si="24"/>
        <v>0</v>
      </c>
      <c r="AJ90" s="408">
        <f t="shared" si="25"/>
        <v>0</v>
      </c>
      <c r="AK90" s="408">
        <f t="shared" si="26"/>
        <v>0</v>
      </c>
      <c r="AL90" s="408">
        <f t="shared" si="27"/>
        <v>0</v>
      </c>
      <c r="AM90" s="408">
        <f t="shared" si="35"/>
        <v>0</v>
      </c>
      <c r="AN90" s="417"/>
      <c r="AO90" s="408">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408">
        <f t="shared" si="28"/>
        <v>0</v>
      </c>
      <c r="AQ90" s="408">
        <f t="shared" si="29"/>
        <v>0</v>
      </c>
      <c r="AR90" s="408">
        <f t="shared" si="30"/>
        <v>0</v>
      </c>
      <c r="AS90" s="408">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408">
        <f t="shared" si="31"/>
        <v>0</v>
      </c>
      <c r="AU90" s="408">
        <f t="shared" si="32"/>
        <v>0</v>
      </c>
      <c r="AV90" s="408">
        <f t="shared" si="33"/>
        <v>0</v>
      </c>
      <c r="AW90" s="408">
        <f t="shared" si="33"/>
        <v>0</v>
      </c>
      <c r="AX90" s="408">
        <f t="shared" si="33"/>
        <v>0</v>
      </c>
      <c r="AY90" s="742">
        <f t="shared" si="34"/>
        <v>0</v>
      </c>
      <c r="AZ90" s="707"/>
      <c r="BA90" s="707"/>
      <c r="BB90" s="707"/>
      <c r="BC90" s="707"/>
    </row>
    <row r="91" spans="3:55" s="46" customFormat="1" ht="30.75" hidden="1" customHeight="1" outlineLevel="1">
      <c r="C91" s="761">
        <v>75</v>
      </c>
      <c r="D91" s="708"/>
      <c r="E91" s="795"/>
      <c r="F91" s="791"/>
      <c r="G91" s="1963"/>
      <c r="H91" s="1964"/>
      <c r="I91" s="700"/>
      <c r="J91" s="746"/>
      <c r="K91" s="701"/>
      <c r="L91" s="702"/>
      <c r="M91" s="702"/>
      <c r="N91" s="702"/>
      <c r="O91" s="702"/>
      <c r="P91" s="702"/>
      <c r="Q91" s="876"/>
      <c r="R91" s="1039"/>
      <c r="S91" s="1074"/>
      <c r="T91" s="703"/>
      <c r="U91" s="747"/>
      <c r="V91" s="748"/>
      <c r="W91" s="738"/>
      <c r="X91" s="797"/>
      <c r="Y91" s="798"/>
      <c r="Z91" s="794"/>
      <c r="AA91" s="705">
        <f t="shared" si="21"/>
        <v>0</v>
      </c>
      <c r="AB91" s="705">
        <f t="shared" si="36"/>
        <v>0</v>
      </c>
      <c r="AC91" s="705">
        <f t="shared" si="37"/>
        <v>0</v>
      </c>
      <c r="AD91" s="705">
        <f>IF(AA91=0,,VLOOKUP(AA91,リスト!DH:DI,2,0))</f>
        <v>0</v>
      </c>
      <c r="AE91" s="705">
        <f t="shared" si="22"/>
        <v>0</v>
      </c>
      <c r="AF91" s="706">
        <f>IF(AE91=0,,VLOOKUP(AE91,リスト!DK:DL,2,0))</f>
        <v>0</v>
      </c>
      <c r="AG91" s="705">
        <f>IF(AA91=0,,
IF(OR(リスト!$C$21="小麦",リスト!$C$21="二条大麦",リスト!$C$21="六条大麦",リスト!$C$21="はだか麦",リスト!$C$21="なたね"),IF(K91&lt;9,調査年-J91,調査年-J91-1),
IF(リスト!$C$21="さとうきび",IF(K91&gt;=4,調査年-J91,調査年-J91+1),
調査年-J91)))</f>
        <v>0</v>
      </c>
      <c r="AH91" s="408">
        <f t="shared" si="23"/>
        <v>0</v>
      </c>
      <c r="AI91" s="408">
        <f t="shared" si="24"/>
        <v>0</v>
      </c>
      <c r="AJ91" s="408">
        <f t="shared" si="25"/>
        <v>0</v>
      </c>
      <c r="AK91" s="408">
        <f t="shared" si="26"/>
        <v>0</v>
      </c>
      <c r="AL91" s="408">
        <f t="shared" si="27"/>
        <v>0</v>
      </c>
      <c r="AM91" s="408">
        <f t="shared" si="35"/>
        <v>0</v>
      </c>
      <c r="AN91" s="417"/>
      <c r="AO91" s="408">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408">
        <f t="shared" si="28"/>
        <v>0</v>
      </c>
      <c r="AQ91" s="408">
        <f t="shared" si="29"/>
        <v>0</v>
      </c>
      <c r="AR91" s="408">
        <f t="shared" si="30"/>
        <v>0</v>
      </c>
      <c r="AS91" s="408">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408">
        <f t="shared" si="31"/>
        <v>0</v>
      </c>
      <c r="AU91" s="408">
        <f t="shared" si="32"/>
        <v>0</v>
      </c>
      <c r="AV91" s="408">
        <f t="shared" si="33"/>
        <v>0</v>
      </c>
      <c r="AW91" s="408">
        <f t="shared" si="33"/>
        <v>0</v>
      </c>
      <c r="AX91" s="408">
        <f t="shared" si="33"/>
        <v>0</v>
      </c>
      <c r="AY91" s="742">
        <f t="shared" si="34"/>
        <v>0</v>
      </c>
      <c r="AZ91" s="707"/>
      <c r="BA91" s="707"/>
      <c r="BB91" s="707"/>
      <c r="BC91" s="707"/>
    </row>
    <row r="92" spans="3:55" s="46" customFormat="1" ht="30.75" hidden="1" customHeight="1" outlineLevel="1">
      <c r="C92" s="761">
        <v>76</v>
      </c>
      <c r="D92" s="708"/>
      <c r="E92" s="795"/>
      <c r="F92" s="791"/>
      <c r="G92" s="1963"/>
      <c r="H92" s="1964"/>
      <c r="I92" s="700"/>
      <c r="J92" s="746"/>
      <c r="K92" s="701"/>
      <c r="L92" s="702"/>
      <c r="M92" s="702"/>
      <c r="N92" s="702"/>
      <c r="O92" s="702"/>
      <c r="P92" s="702"/>
      <c r="Q92" s="876"/>
      <c r="R92" s="1039"/>
      <c r="S92" s="1074"/>
      <c r="T92" s="703"/>
      <c r="U92" s="747"/>
      <c r="V92" s="748"/>
      <c r="W92" s="738"/>
      <c r="X92" s="797"/>
      <c r="Y92" s="798"/>
      <c r="Z92" s="794"/>
      <c r="AA92" s="705">
        <f t="shared" si="21"/>
        <v>0</v>
      </c>
      <c r="AB92" s="705">
        <f t="shared" si="36"/>
        <v>0</v>
      </c>
      <c r="AC92" s="705">
        <f t="shared" si="37"/>
        <v>0</v>
      </c>
      <c r="AD92" s="705">
        <f>IF(AA92=0,,VLOOKUP(AA92,リスト!DH:DI,2,0))</f>
        <v>0</v>
      </c>
      <c r="AE92" s="705">
        <f t="shared" si="22"/>
        <v>0</v>
      </c>
      <c r="AF92" s="706">
        <f>IF(AE92=0,,VLOOKUP(AE92,リスト!DK:DL,2,0))</f>
        <v>0</v>
      </c>
      <c r="AG92" s="705">
        <f>IF(AA92=0,,
IF(OR(リスト!$C$21="小麦",リスト!$C$21="二条大麦",リスト!$C$21="六条大麦",リスト!$C$21="はだか麦",リスト!$C$21="なたね"),IF(K92&lt;9,調査年-J92,調査年-J92-1),
IF(リスト!$C$21="さとうきび",IF(K92&gt;=4,調査年-J92,調査年-J92+1),
調査年-J92)))</f>
        <v>0</v>
      </c>
      <c r="AH92" s="408">
        <f t="shared" si="23"/>
        <v>0</v>
      </c>
      <c r="AI92" s="408">
        <f t="shared" si="24"/>
        <v>0</v>
      </c>
      <c r="AJ92" s="408">
        <f t="shared" si="25"/>
        <v>0</v>
      </c>
      <c r="AK92" s="408">
        <f t="shared" si="26"/>
        <v>0</v>
      </c>
      <c r="AL92" s="408">
        <f t="shared" si="27"/>
        <v>0</v>
      </c>
      <c r="AM92" s="408">
        <f t="shared" si="35"/>
        <v>0</v>
      </c>
      <c r="AN92" s="417"/>
      <c r="AO92" s="408">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408">
        <f t="shared" si="28"/>
        <v>0</v>
      </c>
      <c r="AQ92" s="408">
        <f t="shared" si="29"/>
        <v>0</v>
      </c>
      <c r="AR92" s="408">
        <f t="shared" si="30"/>
        <v>0</v>
      </c>
      <c r="AS92" s="408">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408">
        <f t="shared" si="31"/>
        <v>0</v>
      </c>
      <c r="AU92" s="408">
        <f t="shared" si="32"/>
        <v>0</v>
      </c>
      <c r="AV92" s="408">
        <f t="shared" si="33"/>
        <v>0</v>
      </c>
      <c r="AW92" s="408">
        <f t="shared" si="33"/>
        <v>0</v>
      </c>
      <c r="AX92" s="408">
        <f t="shared" si="33"/>
        <v>0</v>
      </c>
      <c r="AY92" s="742">
        <f t="shared" si="34"/>
        <v>0</v>
      </c>
      <c r="AZ92" s="707"/>
      <c r="BA92" s="707"/>
      <c r="BB92" s="707"/>
      <c r="BC92" s="707"/>
    </row>
    <row r="93" spans="3:55" s="46" customFormat="1" ht="30.75" hidden="1" customHeight="1" outlineLevel="1">
      <c r="C93" s="761">
        <v>77</v>
      </c>
      <c r="D93" s="708"/>
      <c r="E93" s="795"/>
      <c r="F93" s="791"/>
      <c r="G93" s="1963"/>
      <c r="H93" s="1964"/>
      <c r="I93" s="700"/>
      <c r="J93" s="746"/>
      <c r="K93" s="701"/>
      <c r="L93" s="702"/>
      <c r="M93" s="702"/>
      <c r="N93" s="702"/>
      <c r="O93" s="702"/>
      <c r="P93" s="702"/>
      <c r="Q93" s="876"/>
      <c r="R93" s="1039"/>
      <c r="S93" s="1074"/>
      <c r="T93" s="703"/>
      <c r="U93" s="747"/>
      <c r="V93" s="748"/>
      <c r="W93" s="738"/>
      <c r="X93" s="797"/>
      <c r="Y93" s="798"/>
      <c r="Z93" s="794"/>
      <c r="AA93" s="705">
        <f t="shared" si="21"/>
        <v>0</v>
      </c>
      <c r="AB93" s="705">
        <f t="shared" si="36"/>
        <v>0</v>
      </c>
      <c r="AC93" s="705">
        <f t="shared" si="37"/>
        <v>0</v>
      </c>
      <c r="AD93" s="705">
        <f>IF(AA93=0,,VLOOKUP(AA93,リスト!DH:DI,2,0))</f>
        <v>0</v>
      </c>
      <c r="AE93" s="705">
        <f t="shared" si="22"/>
        <v>0</v>
      </c>
      <c r="AF93" s="706">
        <f>IF(AE93=0,,VLOOKUP(AE93,リスト!DK:DL,2,0))</f>
        <v>0</v>
      </c>
      <c r="AG93" s="705">
        <f>IF(AA93=0,,
IF(OR(リスト!$C$21="小麦",リスト!$C$21="二条大麦",リスト!$C$21="六条大麦",リスト!$C$21="はだか麦",リスト!$C$21="なたね"),IF(K93&lt;9,調査年-J93,調査年-J93-1),
IF(リスト!$C$21="さとうきび",IF(K93&gt;=4,調査年-J93,調査年-J93+1),
調査年-J93)))</f>
        <v>0</v>
      </c>
      <c r="AH93" s="408">
        <f t="shared" si="23"/>
        <v>0</v>
      </c>
      <c r="AI93" s="408">
        <f t="shared" si="24"/>
        <v>0</v>
      </c>
      <c r="AJ93" s="408">
        <f t="shared" si="25"/>
        <v>0</v>
      </c>
      <c r="AK93" s="408">
        <f t="shared" si="26"/>
        <v>0</v>
      </c>
      <c r="AL93" s="408">
        <f t="shared" si="27"/>
        <v>0</v>
      </c>
      <c r="AM93" s="408">
        <f t="shared" si="35"/>
        <v>0</v>
      </c>
      <c r="AN93" s="417"/>
      <c r="AO93" s="408">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408">
        <f t="shared" si="28"/>
        <v>0</v>
      </c>
      <c r="AQ93" s="408">
        <f t="shared" si="29"/>
        <v>0</v>
      </c>
      <c r="AR93" s="408">
        <f t="shared" si="30"/>
        <v>0</v>
      </c>
      <c r="AS93" s="408">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408">
        <f t="shared" si="31"/>
        <v>0</v>
      </c>
      <c r="AU93" s="408">
        <f t="shared" si="32"/>
        <v>0</v>
      </c>
      <c r="AV93" s="408">
        <f t="shared" si="33"/>
        <v>0</v>
      </c>
      <c r="AW93" s="408">
        <f t="shared" si="33"/>
        <v>0</v>
      </c>
      <c r="AX93" s="408">
        <f t="shared" si="33"/>
        <v>0</v>
      </c>
      <c r="AY93" s="742">
        <f t="shared" si="34"/>
        <v>0</v>
      </c>
      <c r="AZ93" s="707"/>
      <c r="BA93" s="707"/>
      <c r="BB93" s="707"/>
      <c r="BC93" s="707"/>
    </row>
    <row r="94" spans="3:55" s="46" customFormat="1" ht="30.75" hidden="1" customHeight="1" outlineLevel="1">
      <c r="C94" s="761">
        <v>78</v>
      </c>
      <c r="D94" s="708"/>
      <c r="E94" s="795"/>
      <c r="F94" s="791"/>
      <c r="G94" s="1963"/>
      <c r="H94" s="1964"/>
      <c r="I94" s="700"/>
      <c r="J94" s="746"/>
      <c r="K94" s="701"/>
      <c r="L94" s="702"/>
      <c r="M94" s="702"/>
      <c r="N94" s="702"/>
      <c r="O94" s="702"/>
      <c r="P94" s="702"/>
      <c r="Q94" s="876"/>
      <c r="R94" s="1039"/>
      <c r="S94" s="1074"/>
      <c r="T94" s="703"/>
      <c r="U94" s="747"/>
      <c r="V94" s="748"/>
      <c r="W94" s="738"/>
      <c r="X94" s="797"/>
      <c r="Y94" s="798"/>
      <c r="Z94" s="794"/>
      <c r="AA94" s="705">
        <f t="shared" si="21"/>
        <v>0</v>
      </c>
      <c r="AB94" s="705">
        <f t="shared" si="36"/>
        <v>0</v>
      </c>
      <c r="AC94" s="705">
        <f t="shared" si="37"/>
        <v>0</v>
      </c>
      <c r="AD94" s="705">
        <f>IF(AA94=0,,VLOOKUP(AA94,リスト!DH:DI,2,0))</f>
        <v>0</v>
      </c>
      <c r="AE94" s="705">
        <f t="shared" si="22"/>
        <v>0</v>
      </c>
      <c r="AF94" s="706">
        <f>IF(AE94=0,,VLOOKUP(AE94,リスト!DK:DL,2,0))</f>
        <v>0</v>
      </c>
      <c r="AG94" s="705">
        <f>IF(AA94=0,,
IF(OR(リスト!$C$21="小麦",リスト!$C$21="二条大麦",リスト!$C$21="六条大麦",リスト!$C$21="はだか麦",リスト!$C$21="なたね"),IF(K94&lt;9,調査年-J94,調査年-J94-1),
IF(リスト!$C$21="さとうきび",IF(K94&gt;=4,調査年-J94,調査年-J94+1),
調査年-J94)))</f>
        <v>0</v>
      </c>
      <c r="AH94" s="408">
        <f t="shared" si="23"/>
        <v>0</v>
      </c>
      <c r="AI94" s="408">
        <f t="shared" si="24"/>
        <v>0</v>
      </c>
      <c r="AJ94" s="408">
        <f t="shared" si="25"/>
        <v>0</v>
      </c>
      <c r="AK94" s="408">
        <f t="shared" si="26"/>
        <v>0</v>
      </c>
      <c r="AL94" s="408">
        <f t="shared" si="27"/>
        <v>0</v>
      </c>
      <c r="AM94" s="408">
        <f t="shared" si="35"/>
        <v>0</v>
      </c>
      <c r="AN94" s="417"/>
      <c r="AO94" s="408">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408">
        <f t="shared" si="28"/>
        <v>0</v>
      </c>
      <c r="AQ94" s="408">
        <f t="shared" si="29"/>
        <v>0</v>
      </c>
      <c r="AR94" s="408">
        <f t="shared" si="30"/>
        <v>0</v>
      </c>
      <c r="AS94" s="408">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408">
        <f t="shared" si="31"/>
        <v>0</v>
      </c>
      <c r="AU94" s="408">
        <f t="shared" si="32"/>
        <v>0</v>
      </c>
      <c r="AV94" s="408">
        <f t="shared" si="33"/>
        <v>0</v>
      </c>
      <c r="AW94" s="408">
        <f t="shared" si="33"/>
        <v>0</v>
      </c>
      <c r="AX94" s="408">
        <f t="shared" si="33"/>
        <v>0</v>
      </c>
      <c r="AY94" s="742">
        <f t="shared" si="34"/>
        <v>0</v>
      </c>
      <c r="AZ94" s="707"/>
      <c r="BA94" s="707"/>
      <c r="BB94" s="707"/>
      <c r="BC94" s="707"/>
    </row>
    <row r="95" spans="3:55" s="46" customFormat="1" ht="30.75" hidden="1" customHeight="1" outlineLevel="1">
      <c r="C95" s="761">
        <v>79</v>
      </c>
      <c r="D95" s="708"/>
      <c r="E95" s="795"/>
      <c r="F95" s="791"/>
      <c r="G95" s="1963"/>
      <c r="H95" s="1964"/>
      <c r="I95" s="700"/>
      <c r="J95" s="746"/>
      <c r="K95" s="701"/>
      <c r="L95" s="702"/>
      <c r="M95" s="702"/>
      <c r="N95" s="702"/>
      <c r="O95" s="702"/>
      <c r="P95" s="702"/>
      <c r="Q95" s="876"/>
      <c r="R95" s="1039"/>
      <c r="S95" s="1074"/>
      <c r="T95" s="703"/>
      <c r="U95" s="747"/>
      <c r="V95" s="748"/>
      <c r="W95" s="738"/>
      <c r="X95" s="797"/>
      <c r="Y95" s="798"/>
      <c r="Z95" s="794"/>
      <c r="AA95" s="705">
        <f t="shared" si="21"/>
        <v>0</v>
      </c>
      <c r="AB95" s="705">
        <f t="shared" si="36"/>
        <v>0</v>
      </c>
      <c r="AC95" s="705">
        <f t="shared" si="37"/>
        <v>0</v>
      </c>
      <c r="AD95" s="705">
        <f>IF(AA95=0,,VLOOKUP(AA95,リスト!DH:DI,2,0))</f>
        <v>0</v>
      </c>
      <c r="AE95" s="705">
        <f t="shared" si="22"/>
        <v>0</v>
      </c>
      <c r="AF95" s="706">
        <f>IF(AE95=0,,VLOOKUP(AE95,リスト!DK:DL,2,0))</f>
        <v>0</v>
      </c>
      <c r="AG95" s="705">
        <f>IF(AA95=0,,
IF(OR(リスト!$C$21="小麦",リスト!$C$21="二条大麦",リスト!$C$21="六条大麦",リスト!$C$21="はだか麦",リスト!$C$21="なたね"),IF(K95&lt;9,調査年-J95,調査年-J95-1),
IF(リスト!$C$21="さとうきび",IF(K95&gt;=4,調査年-J95,調査年-J95+1),
調査年-J95)))</f>
        <v>0</v>
      </c>
      <c r="AH95" s="408">
        <f t="shared" si="23"/>
        <v>0</v>
      </c>
      <c r="AI95" s="408">
        <f t="shared" si="24"/>
        <v>0</v>
      </c>
      <c r="AJ95" s="408">
        <f t="shared" si="25"/>
        <v>0</v>
      </c>
      <c r="AK95" s="408">
        <f t="shared" si="26"/>
        <v>0</v>
      </c>
      <c r="AL95" s="408">
        <f t="shared" si="27"/>
        <v>0</v>
      </c>
      <c r="AM95" s="408">
        <f t="shared" si="35"/>
        <v>0</v>
      </c>
      <c r="AN95" s="417"/>
      <c r="AO95" s="408">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408">
        <f t="shared" si="28"/>
        <v>0</v>
      </c>
      <c r="AQ95" s="408">
        <f t="shared" si="29"/>
        <v>0</v>
      </c>
      <c r="AR95" s="408">
        <f t="shared" si="30"/>
        <v>0</v>
      </c>
      <c r="AS95" s="408">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408">
        <f t="shared" si="31"/>
        <v>0</v>
      </c>
      <c r="AU95" s="408">
        <f t="shared" si="32"/>
        <v>0</v>
      </c>
      <c r="AV95" s="408">
        <f t="shared" si="33"/>
        <v>0</v>
      </c>
      <c r="AW95" s="408">
        <f t="shared" si="33"/>
        <v>0</v>
      </c>
      <c r="AX95" s="408">
        <f t="shared" si="33"/>
        <v>0</v>
      </c>
      <c r="AY95" s="742">
        <f t="shared" si="34"/>
        <v>0</v>
      </c>
      <c r="AZ95" s="707"/>
      <c r="BA95" s="707"/>
      <c r="BB95" s="707"/>
      <c r="BC95" s="707"/>
    </row>
    <row r="96" spans="3:55" s="46" customFormat="1" ht="30.75" hidden="1" customHeight="1" outlineLevel="1">
      <c r="C96" s="761">
        <v>80</v>
      </c>
      <c r="D96" s="708"/>
      <c r="E96" s="795"/>
      <c r="F96" s="791"/>
      <c r="G96" s="1963"/>
      <c r="H96" s="1964"/>
      <c r="I96" s="700"/>
      <c r="J96" s="746"/>
      <c r="K96" s="701"/>
      <c r="L96" s="702"/>
      <c r="M96" s="702"/>
      <c r="N96" s="702"/>
      <c r="O96" s="702"/>
      <c r="P96" s="702"/>
      <c r="Q96" s="876"/>
      <c r="R96" s="1039"/>
      <c r="S96" s="1074"/>
      <c r="T96" s="703"/>
      <c r="U96" s="747"/>
      <c r="V96" s="748"/>
      <c r="W96" s="738"/>
      <c r="X96" s="797"/>
      <c r="Y96" s="798"/>
      <c r="Z96" s="794"/>
      <c r="AA96" s="705">
        <f t="shared" si="21"/>
        <v>0</v>
      </c>
      <c r="AB96" s="705">
        <f t="shared" si="36"/>
        <v>0</v>
      </c>
      <c r="AC96" s="705">
        <f t="shared" si="37"/>
        <v>0</v>
      </c>
      <c r="AD96" s="705">
        <f>IF(AA96=0,,VLOOKUP(AA96,リスト!DH:DI,2,0))</f>
        <v>0</v>
      </c>
      <c r="AE96" s="705">
        <f t="shared" si="22"/>
        <v>0</v>
      </c>
      <c r="AF96" s="706">
        <f>IF(AE96=0,,VLOOKUP(AE96,リスト!DK:DL,2,0))</f>
        <v>0</v>
      </c>
      <c r="AG96" s="705">
        <f>IF(AA96=0,,
IF(OR(リスト!$C$21="小麦",リスト!$C$21="二条大麦",リスト!$C$21="六条大麦",リスト!$C$21="はだか麦",リスト!$C$21="なたね"),IF(K96&lt;9,調査年-J96,調査年-J96-1),
IF(リスト!$C$21="さとうきび",IF(K96&gt;=4,調査年-J96,調査年-J96+1),
調査年-J96)))</f>
        <v>0</v>
      </c>
      <c r="AH96" s="408">
        <f t="shared" si="23"/>
        <v>0</v>
      </c>
      <c r="AI96" s="408">
        <f t="shared" si="24"/>
        <v>0</v>
      </c>
      <c r="AJ96" s="408">
        <f t="shared" si="25"/>
        <v>0</v>
      </c>
      <c r="AK96" s="408">
        <f t="shared" si="26"/>
        <v>0</v>
      </c>
      <c r="AL96" s="408">
        <f t="shared" si="27"/>
        <v>0</v>
      </c>
      <c r="AM96" s="408">
        <f t="shared" si="35"/>
        <v>0</v>
      </c>
      <c r="AN96" s="417"/>
      <c r="AO96" s="408">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408">
        <f t="shared" si="28"/>
        <v>0</v>
      </c>
      <c r="AQ96" s="408">
        <f t="shared" si="29"/>
        <v>0</v>
      </c>
      <c r="AR96" s="408">
        <f t="shared" si="30"/>
        <v>0</v>
      </c>
      <c r="AS96" s="408">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408">
        <f t="shared" si="31"/>
        <v>0</v>
      </c>
      <c r="AU96" s="408">
        <f t="shared" si="32"/>
        <v>0</v>
      </c>
      <c r="AV96" s="408">
        <f t="shared" si="33"/>
        <v>0</v>
      </c>
      <c r="AW96" s="408">
        <f t="shared" si="33"/>
        <v>0</v>
      </c>
      <c r="AX96" s="408">
        <f t="shared" si="33"/>
        <v>0</v>
      </c>
      <c r="AY96" s="742">
        <f t="shared" si="34"/>
        <v>0</v>
      </c>
      <c r="AZ96" s="707"/>
      <c r="BA96" s="707"/>
      <c r="BB96" s="707"/>
      <c r="BC96" s="707"/>
    </row>
    <row r="97" spans="3:55" s="46" customFormat="1" ht="30.75" hidden="1" customHeight="1" outlineLevel="1">
      <c r="C97" s="761">
        <v>81</v>
      </c>
      <c r="D97" s="708"/>
      <c r="E97" s="795"/>
      <c r="F97" s="791"/>
      <c r="G97" s="1963"/>
      <c r="H97" s="1964"/>
      <c r="I97" s="700"/>
      <c r="J97" s="746"/>
      <c r="K97" s="701"/>
      <c r="L97" s="702"/>
      <c r="M97" s="702"/>
      <c r="N97" s="702"/>
      <c r="O97" s="702"/>
      <c r="P97" s="702"/>
      <c r="Q97" s="876"/>
      <c r="R97" s="1039"/>
      <c r="S97" s="1074"/>
      <c r="T97" s="703"/>
      <c r="U97" s="747"/>
      <c r="V97" s="748"/>
      <c r="W97" s="738"/>
      <c r="X97" s="797"/>
      <c r="Y97" s="798"/>
      <c r="Z97" s="794"/>
      <c r="AA97" s="705">
        <f t="shared" si="21"/>
        <v>0</v>
      </c>
      <c r="AB97" s="705">
        <f t="shared" si="36"/>
        <v>0</v>
      </c>
      <c r="AC97" s="705">
        <f t="shared" si="37"/>
        <v>0</v>
      </c>
      <c r="AD97" s="705">
        <f>IF(AA97=0,,VLOOKUP(AA97,リスト!DH:DI,2,0))</f>
        <v>0</v>
      </c>
      <c r="AE97" s="705">
        <f t="shared" si="22"/>
        <v>0</v>
      </c>
      <c r="AF97" s="706">
        <f>IF(AE97=0,,VLOOKUP(AE97,リスト!DK:DL,2,0))</f>
        <v>0</v>
      </c>
      <c r="AG97" s="705">
        <f>IF(AA97=0,,
IF(OR(リスト!$C$21="小麦",リスト!$C$21="二条大麦",リスト!$C$21="六条大麦",リスト!$C$21="はだか麦",リスト!$C$21="なたね"),IF(K97&lt;9,調査年-J97,調査年-J97-1),
IF(リスト!$C$21="さとうきび",IF(K97&gt;=4,調査年-J97,調査年-J97+1),
調査年-J97)))</f>
        <v>0</v>
      </c>
      <c r="AH97" s="408">
        <f t="shared" si="23"/>
        <v>0</v>
      </c>
      <c r="AI97" s="408">
        <f t="shared" si="24"/>
        <v>0</v>
      </c>
      <c r="AJ97" s="408">
        <f t="shared" si="25"/>
        <v>0</v>
      </c>
      <c r="AK97" s="408">
        <f t="shared" si="26"/>
        <v>0</v>
      </c>
      <c r="AL97" s="408">
        <f t="shared" si="27"/>
        <v>0</v>
      </c>
      <c r="AM97" s="408">
        <f t="shared" si="35"/>
        <v>0</v>
      </c>
      <c r="AN97" s="417"/>
      <c r="AO97" s="408">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408">
        <f t="shared" si="28"/>
        <v>0</v>
      </c>
      <c r="AQ97" s="408">
        <f t="shared" si="29"/>
        <v>0</v>
      </c>
      <c r="AR97" s="408">
        <f t="shared" si="30"/>
        <v>0</v>
      </c>
      <c r="AS97" s="408">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408">
        <f t="shared" si="31"/>
        <v>0</v>
      </c>
      <c r="AU97" s="408">
        <f t="shared" si="32"/>
        <v>0</v>
      </c>
      <c r="AV97" s="408">
        <f t="shared" si="33"/>
        <v>0</v>
      </c>
      <c r="AW97" s="408">
        <f t="shared" si="33"/>
        <v>0</v>
      </c>
      <c r="AX97" s="408">
        <f t="shared" si="33"/>
        <v>0</v>
      </c>
      <c r="AY97" s="742">
        <f t="shared" si="34"/>
        <v>0</v>
      </c>
      <c r="AZ97" s="707"/>
      <c r="BA97" s="707"/>
      <c r="BB97" s="707"/>
      <c r="BC97" s="707"/>
    </row>
    <row r="98" spans="3:55" s="46" customFormat="1" ht="30.75" hidden="1" customHeight="1" outlineLevel="1">
      <c r="C98" s="761">
        <v>82</v>
      </c>
      <c r="D98" s="708"/>
      <c r="E98" s="795"/>
      <c r="F98" s="791"/>
      <c r="G98" s="1963"/>
      <c r="H98" s="1964"/>
      <c r="I98" s="700"/>
      <c r="J98" s="746"/>
      <c r="K98" s="701"/>
      <c r="L98" s="702"/>
      <c r="M98" s="702"/>
      <c r="N98" s="702"/>
      <c r="O98" s="702"/>
      <c r="P98" s="702"/>
      <c r="Q98" s="876"/>
      <c r="R98" s="1039"/>
      <c r="S98" s="1074"/>
      <c r="T98" s="703"/>
      <c r="U98" s="747"/>
      <c r="V98" s="748"/>
      <c r="W98" s="738"/>
      <c r="X98" s="797"/>
      <c r="Y98" s="798"/>
      <c r="Z98" s="794"/>
      <c r="AA98" s="705">
        <f t="shared" si="21"/>
        <v>0</v>
      </c>
      <c r="AB98" s="705">
        <f t="shared" si="36"/>
        <v>0</v>
      </c>
      <c r="AC98" s="705">
        <f t="shared" si="37"/>
        <v>0</v>
      </c>
      <c r="AD98" s="705">
        <f>IF(AA98=0,,VLOOKUP(AA98,リスト!DH:DI,2,0))</f>
        <v>0</v>
      </c>
      <c r="AE98" s="705">
        <f t="shared" si="22"/>
        <v>0</v>
      </c>
      <c r="AF98" s="706">
        <f>IF(AE98=0,,VLOOKUP(AE98,リスト!DK:DL,2,0))</f>
        <v>0</v>
      </c>
      <c r="AG98" s="705">
        <f>IF(AA98=0,,
IF(OR(リスト!$C$21="小麦",リスト!$C$21="二条大麦",リスト!$C$21="六条大麦",リスト!$C$21="はだか麦",リスト!$C$21="なたね"),IF(K98&lt;9,調査年-J98,調査年-J98-1),
IF(リスト!$C$21="さとうきび",IF(K98&gt;=4,調査年-J98,調査年-J98+1),
調査年-J98)))</f>
        <v>0</v>
      </c>
      <c r="AH98" s="408">
        <f t="shared" si="23"/>
        <v>0</v>
      </c>
      <c r="AI98" s="408">
        <f t="shared" si="24"/>
        <v>0</v>
      </c>
      <c r="AJ98" s="408">
        <f t="shared" si="25"/>
        <v>0</v>
      </c>
      <c r="AK98" s="408">
        <f t="shared" si="26"/>
        <v>0</v>
      </c>
      <c r="AL98" s="408">
        <f t="shared" si="27"/>
        <v>0</v>
      </c>
      <c r="AM98" s="408">
        <f t="shared" si="35"/>
        <v>0</v>
      </c>
      <c r="AN98" s="417"/>
      <c r="AO98" s="408">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408">
        <f t="shared" si="28"/>
        <v>0</v>
      </c>
      <c r="AQ98" s="408">
        <f t="shared" si="29"/>
        <v>0</v>
      </c>
      <c r="AR98" s="408">
        <f t="shared" si="30"/>
        <v>0</v>
      </c>
      <c r="AS98" s="408">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408">
        <f t="shared" si="31"/>
        <v>0</v>
      </c>
      <c r="AU98" s="408">
        <f t="shared" si="32"/>
        <v>0</v>
      </c>
      <c r="AV98" s="408">
        <f t="shared" si="33"/>
        <v>0</v>
      </c>
      <c r="AW98" s="408">
        <f t="shared" si="33"/>
        <v>0</v>
      </c>
      <c r="AX98" s="408">
        <f t="shared" si="33"/>
        <v>0</v>
      </c>
      <c r="AY98" s="742">
        <f t="shared" si="34"/>
        <v>0</v>
      </c>
      <c r="AZ98" s="707"/>
      <c r="BA98" s="707"/>
      <c r="BB98" s="707"/>
      <c r="BC98" s="707"/>
    </row>
    <row r="99" spans="3:55" s="46" customFormat="1" ht="30.75" hidden="1" customHeight="1" outlineLevel="1">
      <c r="C99" s="761">
        <v>83</v>
      </c>
      <c r="D99" s="708"/>
      <c r="E99" s="795"/>
      <c r="F99" s="791"/>
      <c r="G99" s="1963"/>
      <c r="H99" s="1964"/>
      <c r="I99" s="700"/>
      <c r="J99" s="746"/>
      <c r="K99" s="701"/>
      <c r="L99" s="702"/>
      <c r="M99" s="702"/>
      <c r="N99" s="702"/>
      <c r="O99" s="702"/>
      <c r="P99" s="702"/>
      <c r="Q99" s="876"/>
      <c r="R99" s="1039"/>
      <c r="S99" s="1074"/>
      <c r="T99" s="703"/>
      <c r="U99" s="747"/>
      <c r="V99" s="748"/>
      <c r="W99" s="738"/>
      <c r="X99" s="797"/>
      <c r="Y99" s="798"/>
      <c r="Z99" s="794"/>
      <c r="AA99" s="705">
        <f t="shared" si="21"/>
        <v>0</v>
      </c>
      <c r="AB99" s="705">
        <f t="shared" si="36"/>
        <v>0</v>
      </c>
      <c r="AC99" s="705">
        <f t="shared" si="37"/>
        <v>0</v>
      </c>
      <c r="AD99" s="705">
        <f>IF(AA99=0,,VLOOKUP(AA99,リスト!DH:DI,2,0))</f>
        <v>0</v>
      </c>
      <c r="AE99" s="705">
        <f t="shared" si="22"/>
        <v>0</v>
      </c>
      <c r="AF99" s="706">
        <f>IF(AE99=0,,VLOOKUP(AE99,リスト!DK:DL,2,0))</f>
        <v>0</v>
      </c>
      <c r="AG99" s="705">
        <f>IF(AA99=0,,
IF(OR(リスト!$C$21="小麦",リスト!$C$21="二条大麦",リスト!$C$21="六条大麦",リスト!$C$21="はだか麦",リスト!$C$21="なたね"),IF(K99&lt;9,調査年-J99,調査年-J99-1),
IF(リスト!$C$21="さとうきび",IF(K99&gt;=4,調査年-J99,調査年-J99+1),
調査年-J99)))</f>
        <v>0</v>
      </c>
      <c r="AH99" s="408">
        <f t="shared" si="23"/>
        <v>0</v>
      </c>
      <c r="AI99" s="408">
        <f t="shared" si="24"/>
        <v>0</v>
      </c>
      <c r="AJ99" s="408">
        <f t="shared" si="25"/>
        <v>0</v>
      </c>
      <c r="AK99" s="408">
        <f t="shared" si="26"/>
        <v>0</v>
      </c>
      <c r="AL99" s="408">
        <f t="shared" si="27"/>
        <v>0</v>
      </c>
      <c r="AM99" s="408">
        <f t="shared" si="35"/>
        <v>0</v>
      </c>
      <c r="AN99" s="417"/>
      <c r="AO99" s="408">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408">
        <f t="shared" si="28"/>
        <v>0</v>
      </c>
      <c r="AQ99" s="408">
        <f t="shared" si="29"/>
        <v>0</v>
      </c>
      <c r="AR99" s="408">
        <f t="shared" si="30"/>
        <v>0</v>
      </c>
      <c r="AS99" s="408">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408">
        <f t="shared" si="31"/>
        <v>0</v>
      </c>
      <c r="AU99" s="408">
        <f t="shared" si="32"/>
        <v>0</v>
      </c>
      <c r="AV99" s="408">
        <f t="shared" si="33"/>
        <v>0</v>
      </c>
      <c r="AW99" s="408">
        <f t="shared" si="33"/>
        <v>0</v>
      </c>
      <c r="AX99" s="408">
        <f t="shared" si="33"/>
        <v>0</v>
      </c>
      <c r="AY99" s="742">
        <f t="shared" si="34"/>
        <v>0</v>
      </c>
      <c r="AZ99" s="707"/>
      <c r="BA99" s="707"/>
      <c r="BB99" s="707"/>
      <c r="BC99" s="707"/>
    </row>
    <row r="100" spans="3:55" s="46" customFormat="1" ht="30.75" hidden="1" customHeight="1" outlineLevel="1">
      <c r="C100" s="761">
        <v>84</v>
      </c>
      <c r="D100" s="708"/>
      <c r="E100" s="795"/>
      <c r="F100" s="791"/>
      <c r="G100" s="1963"/>
      <c r="H100" s="1964"/>
      <c r="I100" s="700"/>
      <c r="J100" s="746"/>
      <c r="K100" s="701"/>
      <c r="L100" s="702"/>
      <c r="M100" s="702"/>
      <c r="N100" s="702"/>
      <c r="O100" s="702"/>
      <c r="P100" s="702"/>
      <c r="Q100" s="876"/>
      <c r="R100" s="1039"/>
      <c r="S100" s="1074"/>
      <c r="T100" s="703"/>
      <c r="U100" s="747"/>
      <c r="V100" s="748"/>
      <c r="W100" s="738"/>
      <c r="X100" s="797"/>
      <c r="Y100" s="798"/>
      <c r="Z100" s="794"/>
      <c r="AA100" s="705">
        <f t="shared" si="21"/>
        <v>0</v>
      </c>
      <c r="AB100" s="705">
        <f t="shared" si="36"/>
        <v>0</v>
      </c>
      <c r="AC100" s="705">
        <f t="shared" si="37"/>
        <v>0</v>
      </c>
      <c r="AD100" s="705">
        <f>IF(AA100=0,,VLOOKUP(AA100,リスト!DH:DI,2,0))</f>
        <v>0</v>
      </c>
      <c r="AE100" s="705">
        <f t="shared" si="22"/>
        <v>0</v>
      </c>
      <c r="AF100" s="706">
        <f>IF(AE100=0,,VLOOKUP(AE100,リスト!DK:DL,2,0))</f>
        <v>0</v>
      </c>
      <c r="AG100" s="705">
        <f>IF(AA100=0,,
IF(OR(リスト!$C$21="小麦",リスト!$C$21="二条大麦",リスト!$C$21="六条大麦",リスト!$C$21="はだか麦",リスト!$C$21="なたね"),IF(K100&lt;9,調査年-J100,調査年-J100-1),
IF(リスト!$C$21="さとうきび",IF(K100&gt;=4,調査年-J100,調査年-J100+1),
調査年-J100)))</f>
        <v>0</v>
      </c>
      <c r="AH100" s="408">
        <f t="shared" si="23"/>
        <v>0</v>
      </c>
      <c r="AI100" s="408">
        <f t="shared" si="24"/>
        <v>0</v>
      </c>
      <c r="AJ100" s="408">
        <f t="shared" si="25"/>
        <v>0</v>
      </c>
      <c r="AK100" s="408">
        <f t="shared" si="26"/>
        <v>0</v>
      </c>
      <c r="AL100" s="408">
        <f t="shared" si="27"/>
        <v>0</v>
      </c>
      <c r="AM100" s="408">
        <f t="shared" si="35"/>
        <v>0</v>
      </c>
      <c r="AN100" s="417"/>
      <c r="AO100" s="408">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408">
        <f t="shared" si="28"/>
        <v>0</v>
      </c>
      <c r="AQ100" s="408">
        <f t="shared" si="29"/>
        <v>0</v>
      </c>
      <c r="AR100" s="408">
        <f t="shared" si="30"/>
        <v>0</v>
      </c>
      <c r="AS100" s="408">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408">
        <f t="shared" si="31"/>
        <v>0</v>
      </c>
      <c r="AU100" s="408">
        <f t="shared" si="32"/>
        <v>0</v>
      </c>
      <c r="AV100" s="408">
        <f t="shared" si="33"/>
        <v>0</v>
      </c>
      <c r="AW100" s="408">
        <f t="shared" si="33"/>
        <v>0</v>
      </c>
      <c r="AX100" s="408">
        <f t="shared" si="33"/>
        <v>0</v>
      </c>
      <c r="AY100" s="742">
        <f t="shared" si="34"/>
        <v>0</v>
      </c>
      <c r="AZ100" s="707"/>
      <c r="BA100" s="707"/>
      <c r="BB100" s="707"/>
      <c r="BC100" s="707"/>
    </row>
    <row r="101" spans="3:55" s="46" customFormat="1" ht="30.75" hidden="1" customHeight="1" outlineLevel="1">
      <c r="C101" s="761">
        <v>85</v>
      </c>
      <c r="D101" s="708"/>
      <c r="E101" s="795"/>
      <c r="F101" s="791"/>
      <c r="G101" s="1963"/>
      <c r="H101" s="1964"/>
      <c r="I101" s="700"/>
      <c r="J101" s="746"/>
      <c r="K101" s="701"/>
      <c r="L101" s="702"/>
      <c r="M101" s="702"/>
      <c r="N101" s="702"/>
      <c r="O101" s="702"/>
      <c r="P101" s="702"/>
      <c r="Q101" s="876"/>
      <c r="R101" s="1039"/>
      <c r="S101" s="1074"/>
      <c r="T101" s="703"/>
      <c r="U101" s="747"/>
      <c r="V101" s="748"/>
      <c r="W101" s="738"/>
      <c r="X101" s="797"/>
      <c r="Y101" s="798"/>
      <c r="Z101" s="794"/>
      <c r="AA101" s="705">
        <f t="shared" si="21"/>
        <v>0</v>
      </c>
      <c r="AB101" s="705">
        <f t="shared" si="36"/>
        <v>0</v>
      </c>
      <c r="AC101" s="705">
        <f t="shared" si="37"/>
        <v>0</v>
      </c>
      <c r="AD101" s="705">
        <f>IF(AA101=0,,VLOOKUP(AA101,リスト!DH:DI,2,0))</f>
        <v>0</v>
      </c>
      <c r="AE101" s="705">
        <f t="shared" si="22"/>
        <v>0</v>
      </c>
      <c r="AF101" s="706">
        <f>IF(AE101=0,,VLOOKUP(AE101,リスト!DK:DL,2,0))</f>
        <v>0</v>
      </c>
      <c r="AG101" s="705">
        <f>IF(AA101=0,,
IF(OR(リスト!$C$21="小麦",リスト!$C$21="二条大麦",リスト!$C$21="六条大麦",リスト!$C$21="はだか麦",リスト!$C$21="なたね"),IF(K101&lt;9,調査年-J101,調査年-J101-1),
IF(リスト!$C$21="さとうきび",IF(K101&gt;=4,調査年-J101,調査年-J101+1),
調査年-J101)))</f>
        <v>0</v>
      </c>
      <c r="AH101" s="408">
        <f t="shared" si="23"/>
        <v>0</v>
      </c>
      <c r="AI101" s="408">
        <f t="shared" si="24"/>
        <v>0</v>
      </c>
      <c r="AJ101" s="408">
        <f t="shared" si="25"/>
        <v>0</v>
      </c>
      <c r="AK101" s="408">
        <f t="shared" si="26"/>
        <v>0</v>
      </c>
      <c r="AL101" s="408">
        <f t="shared" si="27"/>
        <v>0</v>
      </c>
      <c r="AM101" s="408">
        <f t="shared" si="35"/>
        <v>0</v>
      </c>
      <c r="AN101" s="417"/>
      <c r="AO101" s="408">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408">
        <f t="shared" si="28"/>
        <v>0</v>
      </c>
      <c r="AQ101" s="408">
        <f t="shared" si="29"/>
        <v>0</v>
      </c>
      <c r="AR101" s="408">
        <f t="shared" si="30"/>
        <v>0</v>
      </c>
      <c r="AS101" s="408">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408">
        <f t="shared" si="31"/>
        <v>0</v>
      </c>
      <c r="AU101" s="408">
        <f t="shared" si="32"/>
        <v>0</v>
      </c>
      <c r="AV101" s="408">
        <f t="shared" si="33"/>
        <v>0</v>
      </c>
      <c r="AW101" s="408">
        <f t="shared" si="33"/>
        <v>0</v>
      </c>
      <c r="AX101" s="408">
        <f t="shared" si="33"/>
        <v>0</v>
      </c>
      <c r="AY101" s="742">
        <f t="shared" si="34"/>
        <v>0</v>
      </c>
      <c r="AZ101" s="707"/>
      <c r="BA101" s="707"/>
      <c r="BB101" s="707"/>
      <c r="BC101" s="707"/>
    </row>
    <row r="102" spans="3:55" s="46" customFormat="1" ht="30.75" hidden="1" customHeight="1" outlineLevel="1">
      <c r="C102" s="761">
        <v>86</v>
      </c>
      <c r="D102" s="708"/>
      <c r="E102" s="795"/>
      <c r="F102" s="791"/>
      <c r="G102" s="1963"/>
      <c r="H102" s="1964"/>
      <c r="I102" s="700"/>
      <c r="J102" s="746"/>
      <c r="K102" s="701"/>
      <c r="L102" s="702"/>
      <c r="M102" s="702"/>
      <c r="N102" s="702"/>
      <c r="O102" s="702"/>
      <c r="P102" s="702"/>
      <c r="Q102" s="876"/>
      <c r="R102" s="1039"/>
      <c r="S102" s="1074"/>
      <c r="T102" s="703"/>
      <c r="U102" s="747"/>
      <c r="V102" s="748"/>
      <c r="W102" s="738"/>
      <c r="X102" s="797"/>
      <c r="Y102" s="798"/>
      <c r="Z102" s="794"/>
      <c r="AA102" s="705">
        <f t="shared" si="21"/>
        <v>0</v>
      </c>
      <c r="AB102" s="705">
        <f t="shared" si="36"/>
        <v>0</v>
      </c>
      <c r="AC102" s="705">
        <f t="shared" si="37"/>
        <v>0</v>
      </c>
      <c r="AD102" s="705">
        <f>IF(AA102=0,,VLOOKUP(AA102,リスト!DH:DI,2,0))</f>
        <v>0</v>
      </c>
      <c r="AE102" s="705">
        <f t="shared" si="22"/>
        <v>0</v>
      </c>
      <c r="AF102" s="706">
        <f>IF(AE102=0,,VLOOKUP(AE102,リスト!DK:DL,2,0))</f>
        <v>0</v>
      </c>
      <c r="AG102" s="705">
        <f>IF(AA102=0,,
IF(OR(リスト!$C$21="小麦",リスト!$C$21="二条大麦",リスト!$C$21="六条大麦",リスト!$C$21="はだか麦",リスト!$C$21="なたね"),IF(K102&lt;9,調査年-J102,調査年-J102-1),
IF(リスト!$C$21="さとうきび",IF(K102&gt;=4,調査年-J102,調査年-J102+1),
調査年-J102)))</f>
        <v>0</v>
      </c>
      <c r="AH102" s="408">
        <f t="shared" si="23"/>
        <v>0</v>
      </c>
      <c r="AI102" s="408">
        <f t="shared" si="24"/>
        <v>0</v>
      </c>
      <c r="AJ102" s="408">
        <f t="shared" si="25"/>
        <v>0</v>
      </c>
      <c r="AK102" s="408">
        <f t="shared" si="26"/>
        <v>0</v>
      </c>
      <c r="AL102" s="408">
        <f t="shared" si="27"/>
        <v>0</v>
      </c>
      <c r="AM102" s="408">
        <f t="shared" si="35"/>
        <v>0</v>
      </c>
      <c r="AN102" s="417"/>
      <c r="AO102" s="408">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408">
        <f t="shared" si="28"/>
        <v>0</v>
      </c>
      <c r="AQ102" s="408">
        <f t="shared" si="29"/>
        <v>0</v>
      </c>
      <c r="AR102" s="408">
        <f t="shared" si="30"/>
        <v>0</v>
      </c>
      <c r="AS102" s="408">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408">
        <f t="shared" si="31"/>
        <v>0</v>
      </c>
      <c r="AU102" s="408">
        <f t="shared" si="32"/>
        <v>0</v>
      </c>
      <c r="AV102" s="408">
        <f t="shared" si="33"/>
        <v>0</v>
      </c>
      <c r="AW102" s="408">
        <f t="shared" si="33"/>
        <v>0</v>
      </c>
      <c r="AX102" s="408">
        <f t="shared" si="33"/>
        <v>0</v>
      </c>
      <c r="AY102" s="742">
        <f t="shared" si="34"/>
        <v>0</v>
      </c>
      <c r="AZ102" s="707"/>
      <c r="BA102" s="707"/>
      <c r="BB102" s="707"/>
      <c r="BC102" s="707"/>
    </row>
    <row r="103" spans="3:55" s="46" customFormat="1" ht="30.75" hidden="1" customHeight="1" outlineLevel="1">
      <c r="C103" s="761">
        <v>87</v>
      </c>
      <c r="D103" s="708"/>
      <c r="E103" s="795"/>
      <c r="F103" s="791"/>
      <c r="G103" s="1963"/>
      <c r="H103" s="1964"/>
      <c r="I103" s="700"/>
      <c r="J103" s="746"/>
      <c r="K103" s="701"/>
      <c r="L103" s="702"/>
      <c r="M103" s="702"/>
      <c r="N103" s="702"/>
      <c r="O103" s="702"/>
      <c r="P103" s="702"/>
      <c r="Q103" s="876"/>
      <c r="R103" s="1039"/>
      <c r="S103" s="1074"/>
      <c r="T103" s="703"/>
      <c r="U103" s="747"/>
      <c r="V103" s="748"/>
      <c r="W103" s="738"/>
      <c r="X103" s="797"/>
      <c r="Y103" s="798"/>
      <c r="Z103" s="794"/>
      <c r="AA103" s="705">
        <f t="shared" si="21"/>
        <v>0</v>
      </c>
      <c r="AB103" s="705">
        <f t="shared" si="36"/>
        <v>0</v>
      </c>
      <c r="AC103" s="705">
        <f t="shared" si="37"/>
        <v>0</v>
      </c>
      <c r="AD103" s="705">
        <f>IF(AA103=0,,VLOOKUP(AA103,リスト!DH:DI,2,0))</f>
        <v>0</v>
      </c>
      <c r="AE103" s="705">
        <f t="shared" si="22"/>
        <v>0</v>
      </c>
      <c r="AF103" s="706">
        <f>IF(AE103=0,,VLOOKUP(AE103,リスト!DK:DL,2,0))</f>
        <v>0</v>
      </c>
      <c r="AG103" s="705">
        <f>IF(AA103=0,,
IF(OR(リスト!$C$21="小麦",リスト!$C$21="二条大麦",リスト!$C$21="六条大麦",リスト!$C$21="はだか麦",リスト!$C$21="なたね"),IF(K103&lt;9,調査年-J103,調査年-J103-1),
IF(リスト!$C$21="さとうきび",IF(K103&gt;=4,調査年-J103,調査年-J103+1),
調査年-J103)))</f>
        <v>0</v>
      </c>
      <c r="AH103" s="408">
        <f t="shared" si="23"/>
        <v>0</v>
      </c>
      <c r="AI103" s="408">
        <f t="shared" si="24"/>
        <v>0</v>
      </c>
      <c r="AJ103" s="408">
        <f t="shared" si="25"/>
        <v>0</v>
      </c>
      <c r="AK103" s="408">
        <f t="shared" si="26"/>
        <v>0</v>
      </c>
      <c r="AL103" s="408">
        <f t="shared" si="27"/>
        <v>0</v>
      </c>
      <c r="AM103" s="408">
        <f t="shared" si="35"/>
        <v>0</v>
      </c>
      <c r="AN103" s="417"/>
      <c r="AO103" s="408">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408">
        <f t="shared" si="28"/>
        <v>0</v>
      </c>
      <c r="AQ103" s="408">
        <f t="shared" si="29"/>
        <v>0</v>
      </c>
      <c r="AR103" s="408">
        <f t="shared" si="30"/>
        <v>0</v>
      </c>
      <c r="AS103" s="408">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408">
        <f t="shared" si="31"/>
        <v>0</v>
      </c>
      <c r="AU103" s="408">
        <f t="shared" si="32"/>
        <v>0</v>
      </c>
      <c r="AV103" s="408">
        <f t="shared" si="33"/>
        <v>0</v>
      </c>
      <c r="AW103" s="408">
        <f t="shared" si="33"/>
        <v>0</v>
      </c>
      <c r="AX103" s="408">
        <f t="shared" si="33"/>
        <v>0</v>
      </c>
      <c r="AY103" s="742">
        <f t="shared" si="34"/>
        <v>0</v>
      </c>
      <c r="AZ103" s="707"/>
      <c r="BA103" s="707"/>
      <c r="BB103" s="707"/>
      <c r="BC103" s="707"/>
    </row>
    <row r="104" spans="3:55" s="46" customFormat="1" ht="30.75" hidden="1" customHeight="1" outlineLevel="1">
      <c r="C104" s="761">
        <v>88</v>
      </c>
      <c r="D104" s="708"/>
      <c r="E104" s="795"/>
      <c r="F104" s="791"/>
      <c r="G104" s="1963"/>
      <c r="H104" s="1964"/>
      <c r="I104" s="700"/>
      <c r="J104" s="746"/>
      <c r="K104" s="701"/>
      <c r="L104" s="702"/>
      <c r="M104" s="702"/>
      <c r="N104" s="702"/>
      <c r="O104" s="702"/>
      <c r="P104" s="702"/>
      <c r="Q104" s="876"/>
      <c r="R104" s="1039"/>
      <c r="S104" s="1074"/>
      <c r="T104" s="703"/>
      <c r="U104" s="747"/>
      <c r="V104" s="748"/>
      <c r="W104" s="738"/>
      <c r="X104" s="797"/>
      <c r="Y104" s="798"/>
      <c r="Z104" s="794"/>
      <c r="AA104" s="705">
        <f t="shared" si="21"/>
        <v>0</v>
      </c>
      <c r="AB104" s="705">
        <f t="shared" si="36"/>
        <v>0</v>
      </c>
      <c r="AC104" s="705">
        <f t="shared" si="37"/>
        <v>0</v>
      </c>
      <c r="AD104" s="705">
        <f>IF(AA104=0,,VLOOKUP(AA104,リスト!DH:DI,2,0))</f>
        <v>0</v>
      </c>
      <c r="AE104" s="705">
        <f t="shared" si="22"/>
        <v>0</v>
      </c>
      <c r="AF104" s="706">
        <f>IF(AE104=0,,VLOOKUP(AE104,リスト!DK:DL,2,0))</f>
        <v>0</v>
      </c>
      <c r="AG104" s="705">
        <f>IF(AA104=0,,
IF(OR(リスト!$C$21="小麦",リスト!$C$21="二条大麦",リスト!$C$21="六条大麦",リスト!$C$21="はだか麦",リスト!$C$21="なたね"),IF(K104&lt;9,調査年-J104,調査年-J104-1),
IF(リスト!$C$21="さとうきび",IF(K104&gt;=4,調査年-J104,調査年-J104+1),
調査年-J104)))</f>
        <v>0</v>
      </c>
      <c r="AH104" s="408">
        <f t="shared" si="23"/>
        <v>0</v>
      </c>
      <c r="AI104" s="408">
        <f t="shared" si="24"/>
        <v>0</v>
      </c>
      <c r="AJ104" s="408">
        <f t="shared" si="25"/>
        <v>0</v>
      </c>
      <c r="AK104" s="408">
        <f t="shared" si="26"/>
        <v>0</v>
      </c>
      <c r="AL104" s="408">
        <f t="shared" si="27"/>
        <v>0</v>
      </c>
      <c r="AM104" s="408">
        <f t="shared" si="35"/>
        <v>0</v>
      </c>
      <c r="AN104" s="417"/>
      <c r="AO104" s="408">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408">
        <f t="shared" si="28"/>
        <v>0</v>
      </c>
      <c r="AQ104" s="408">
        <f t="shared" si="29"/>
        <v>0</v>
      </c>
      <c r="AR104" s="408">
        <f t="shared" si="30"/>
        <v>0</v>
      </c>
      <c r="AS104" s="408">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408">
        <f t="shared" si="31"/>
        <v>0</v>
      </c>
      <c r="AU104" s="408">
        <f t="shared" si="32"/>
        <v>0</v>
      </c>
      <c r="AV104" s="408">
        <f t="shared" si="33"/>
        <v>0</v>
      </c>
      <c r="AW104" s="408">
        <f t="shared" si="33"/>
        <v>0</v>
      </c>
      <c r="AX104" s="408">
        <f t="shared" si="33"/>
        <v>0</v>
      </c>
      <c r="AY104" s="742">
        <f t="shared" si="34"/>
        <v>0</v>
      </c>
      <c r="AZ104" s="707"/>
      <c r="BA104" s="707"/>
      <c r="BB104" s="707"/>
      <c r="BC104" s="707"/>
    </row>
    <row r="105" spans="3:55" s="46" customFormat="1" ht="30.75" hidden="1" customHeight="1" outlineLevel="1">
      <c r="C105" s="761">
        <v>89</v>
      </c>
      <c r="D105" s="708"/>
      <c r="E105" s="795"/>
      <c r="F105" s="791"/>
      <c r="G105" s="1963"/>
      <c r="H105" s="1964"/>
      <c r="I105" s="700"/>
      <c r="J105" s="746"/>
      <c r="K105" s="701"/>
      <c r="L105" s="702"/>
      <c r="M105" s="702"/>
      <c r="N105" s="702"/>
      <c r="O105" s="702"/>
      <c r="P105" s="702"/>
      <c r="Q105" s="876"/>
      <c r="R105" s="1039"/>
      <c r="S105" s="1074"/>
      <c r="T105" s="703"/>
      <c r="U105" s="747"/>
      <c r="V105" s="748"/>
      <c r="W105" s="738"/>
      <c r="X105" s="797"/>
      <c r="Y105" s="798"/>
      <c r="Z105" s="794"/>
      <c r="AA105" s="705">
        <f t="shared" si="21"/>
        <v>0</v>
      </c>
      <c r="AB105" s="705">
        <f t="shared" si="36"/>
        <v>0</v>
      </c>
      <c r="AC105" s="705">
        <f t="shared" si="37"/>
        <v>0</v>
      </c>
      <c r="AD105" s="705">
        <f>IF(AA105=0,,VLOOKUP(AA105,リスト!DH:DI,2,0))</f>
        <v>0</v>
      </c>
      <c r="AE105" s="705">
        <f t="shared" si="22"/>
        <v>0</v>
      </c>
      <c r="AF105" s="706">
        <f>IF(AE105=0,,VLOOKUP(AE105,リスト!DK:DL,2,0))</f>
        <v>0</v>
      </c>
      <c r="AG105" s="705">
        <f>IF(AA105=0,,
IF(OR(リスト!$C$21="小麦",リスト!$C$21="二条大麦",リスト!$C$21="六条大麦",リスト!$C$21="はだか麦",リスト!$C$21="なたね"),IF(K105&lt;9,調査年-J105,調査年-J105-1),
IF(リスト!$C$21="さとうきび",IF(K105&gt;=4,調査年-J105,調査年-J105+1),
調査年-J105)))</f>
        <v>0</v>
      </c>
      <c r="AH105" s="408">
        <f t="shared" si="23"/>
        <v>0</v>
      </c>
      <c r="AI105" s="408">
        <f t="shared" si="24"/>
        <v>0</v>
      </c>
      <c r="AJ105" s="408">
        <f t="shared" si="25"/>
        <v>0</v>
      </c>
      <c r="AK105" s="408">
        <f t="shared" si="26"/>
        <v>0</v>
      </c>
      <c r="AL105" s="408">
        <f t="shared" si="27"/>
        <v>0</v>
      </c>
      <c r="AM105" s="408">
        <f t="shared" si="35"/>
        <v>0</v>
      </c>
      <c r="AN105" s="417"/>
      <c r="AO105" s="408">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408">
        <f t="shared" si="28"/>
        <v>0</v>
      </c>
      <c r="AQ105" s="408">
        <f t="shared" si="29"/>
        <v>0</v>
      </c>
      <c r="AR105" s="408">
        <f t="shared" si="30"/>
        <v>0</v>
      </c>
      <c r="AS105" s="408">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408">
        <f t="shared" si="31"/>
        <v>0</v>
      </c>
      <c r="AU105" s="408">
        <f t="shared" si="32"/>
        <v>0</v>
      </c>
      <c r="AV105" s="408">
        <f t="shared" si="33"/>
        <v>0</v>
      </c>
      <c r="AW105" s="408">
        <f t="shared" si="33"/>
        <v>0</v>
      </c>
      <c r="AX105" s="408">
        <f t="shared" si="33"/>
        <v>0</v>
      </c>
      <c r="AY105" s="742">
        <f t="shared" si="34"/>
        <v>0</v>
      </c>
      <c r="AZ105" s="707"/>
      <c r="BA105" s="707"/>
      <c r="BB105" s="707"/>
      <c r="BC105" s="707"/>
    </row>
    <row r="106" spans="3:55" s="46" customFormat="1" ht="30.75" hidden="1" customHeight="1" outlineLevel="1">
      <c r="C106" s="761">
        <v>90</v>
      </c>
      <c r="D106" s="708"/>
      <c r="E106" s="795"/>
      <c r="F106" s="791"/>
      <c r="G106" s="1963"/>
      <c r="H106" s="1964"/>
      <c r="I106" s="700"/>
      <c r="J106" s="746"/>
      <c r="K106" s="701"/>
      <c r="L106" s="702"/>
      <c r="M106" s="702"/>
      <c r="N106" s="702"/>
      <c r="O106" s="702"/>
      <c r="P106" s="702"/>
      <c r="Q106" s="876"/>
      <c r="R106" s="1039"/>
      <c r="S106" s="1074"/>
      <c r="T106" s="703"/>
      <c r="U106" s="747"/>
      <c r="V106" s="748"/>
      <c r="W106" s="738"/>
      <c r="X106" s="797"/>
      <c r="Y106" s="798"/>
      <c r="Z106" s="794"/>
      <c r="AA106" s="705">
        <f t="shared" si="21"/>
        <v>0</v>
      </c>
      <c r="AB106" s="705">
        <f t="shared" si="36"/>
        <v>0</v>
      </c>
      <c r="AC106" s="705">
        <f t="shared" si="37"/>
        <v>0</v>
      </c>
      <c r="AD106" s="705">
        <f>IF(AA106=0,,VLOOKUP(AA106,リスト!DH:DI,2,0))</f>
        <v>0</v>
      </c>
      <c r="AE106" s="705">
        <f t="shared" si="22"/>
        <v>0</v>
      </c>
      <c r="AF106" s="706">
        <f>IF(AE106=0,,VLOOKUP(AE106,リスト!DK:DL,2,0))</f>
        <v>0</v>
      </c>
      <c r="AG106" s="705">
        <f>IF(AA106=0,,
IF(OR(リスト!$C$21="小麦",リスト!$C$21="二条大麦",リスト!$C$21="六条大麦",リスト!$C$21="はだか麦",リスト!$C$21="なたね"),IF(K106&lt;9,調査年-J106,調査年-J106-1),
IF(リスト!$C$21="さとうきび",IF(K106&gt;=4,調査年-J106,調査年-J106+1),
調査年-J106)))</f>
        <v>0</v>
      </c>
      <c r="AH106" s="408">
        <f t="shared" si="23"/>
        <v>0</v>
      </c>
      <c r="AI106" s="408">
        <f t="shared" si="24"/>
        <v>0</v>
      </c>
      <c r="AJ106" s="408">
        <f t="shared" si="25"/>
        <v>0</v>
      </c>
      <c r="AK106" s="408">
        <f t="shared" si="26"/>
        <v>0</v>
      </c>
      <c r="AL106" s="408">
        <f t="shared" si="27"/>
        <v>0</v>
      </c>
      <c r="AM106" s="408">
        <f t="shared" si="35"/>
        <v>0</v>
      </c>
      <c r="AN106" s="417"/>
      <c r="AO106" s="408">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408">
        <f t="shared" si="28"/>
        <v>0</v>
      </c>
      <c r="AQ106" s="408">
        <f t="shared" si="29"/>
        <v>0</v>
      </c>
      <c r="AR106" s="408">
        <f t="shared" si="30"/>
        <v>0</v>
      </c>
      <c r="AS106" s="408">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408">
        <f t="shared" si="31"/>
        <v>0</v>
      </c>
      <c r="AU106" s="408">
        <f t="shared" si="32"/>
        <v>0</v>
      </c>
      <c r="AV106" s="408">
        <f t="shared" si="33"/>
        <v>0</v>
      </c>
      <c r="AW106" s="408">
        <f t="shared" si="33"/>
        <v>0</v>
      </c>
      <c r="AX106" s="408">
        <f t="shared" si="33"/>
        <v>0</v>
      </c>
      <c r="AY106" s="742">
        <f t="shared" si="34"/>
        <v>0</v>
      </c>
      <c r="AZ106" s="707"/>
      <c r="BA106" s="707"/>
      <c r="BB106" s="707"/>
      <c r="BC106" s="707"/>
    </row>
    <row r="107" spans="3:55" s="46" customFormat="1" ht="30.75" hidden="1" customHeight="1" outlineLevel="1">
      <c r="C107" s="761">
        <v>91</v>
      </c>
      <c r="D107" s="708"/>
      <c r="E107" s="795"/>
      <c r="F107" s="791"/>
      <c r="G107" s="1963"/>
      <c r="H107" s="1964"/>
      <c r="I107" s="700"/>
      <c r="J107" s="746"/>
      <c r="K107" s="701"/>
      <c r="L107" s="702"/>
      <c r="M107" s="702"/>
      <c r="N107" s="702"/>
      <c r="O107" s="702"/>
      <c r="P107" s="702"/>
      <c r="Q107" s="876"/>
      <c r="R107" s="1039"/>
      <c r="S107" s="1074"/>
      <c r="T107" s="703"/>
      <c r="U107" s="747"/>
      <c r="V107" s="748"/>
      <c r="W107" s="738"/>
      <c r="X107" s="797"/>
      <c r="Y107" s="798"/>
      <c r="Z107" s="794"/>
      <c r="AA107" s="705">
        <f t="shared" si="21"/>
        <v>0</v>
      </c>
      <c r="AB107" s="705">
        <f t="shared" si="36"/>
        <v>0</v>
      </c>
      <c r="AC107" s="705">
        <f t="shared" si="37"/>
        <v>0</v>
      </c>
      <c r="AD107" s="705">
        <f>IF(AA107=0,,VLOOKUP(AA107,リスト!DH:DI,2,0))</f>
        <v>0</v>
      </c>
      <c r="AE107" s="705">
        <f t="shared" si="22"/>
        <v>0</v>
      </c>
      <c r="AF107" s="706">
        <f>IF(AE107=0,,VLOOKUP(AE107,リスト!DK:DL,2,0))</f>
        <v>0</v>
      </c>
      <c r="AG107" s="705">
        <f>IF(AA107=0,,
IF(OR(リスト!$C$21="小麦",リスト!$C$21="二条大麦",リスト!$C$21="六条大麦",リスト!$C$21="はだか麦",リスト!$C$21="なたね"),IF(K107&lt;9,調査年-J107,調査年-J107-1),
IF(リスト!$C$21="さとうきび",IF(K107&gt;=4,調査年-J107,調査年-J107+1),
調査年-J107)))</f>
        <v>0</v>
      </c>
      <c r="AH107" s="408">
        <f t="shared" si="23"/>
        <v>0</v>
      </c>
      <c r="AI107" s="408">
        <f t="shared" si="24"/>
        <v>0</v>
      </c>
      <c r="AJ107" s="408">
        <f t="shared" si="25"/>
        <v>0</v>
      </c>
      <c r="AK107" s="408">
        <f t="shared" si="26"/>
        <v>0</v>
      </c>
      <c r="AL107" s="408">
        <f t="shared" si="27"/>
        <v>0</v>
      </c>
      <c r="AM107" s="408">
        <f t="shared" si="35"/>
        <v>0</v>
      </c>
      <c r="AN107" s="417"/>
      <c r="AO107" s="408">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408">
        <f t="shared" si="28"/>
        <v>0</v>
      </c>
      <c r="AQ107" s="408">
        <f t="shared" si="29"/>
        <v>0</v>
      </c>
      <c r="AR107" s="408">
        <f t="shared" si="30"/>
        <v>0</v>
      </c>
      <c r="AS107" s="408">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408">
        <f t="shared" si="31"/>
        <v>0</v>
      </c>
      <c r="AU107" s="408">
        <f t="shared" si="32"/>
        <v>0</v>
      </c>
      <c r="AV107" s="408">
        <f t="shared" si="33"/>
        <v>0</v>
      </c>
      <c r="AW107" s="408">
        <f t="shared" si="33"/>
        <v>0</v>
      </c>
      <c r="AX107" s="408">
        <f t="shared" si="33"/>
        <v>0</v>
      </c>
      <c r="AY107" s="742">
        <f t="shared" si="34"/>
        <v>0</v>
      </c>
      <c r="AZ107" s="707"/>
      <c r="BA107" s="707"/>
      <c r="BB107" s="707"/>
      <c r="BC107" s="707"/>
    </row>
    <row r="108" spans="3:55" s="46" customFormat="1" ht="30.75" hidden="1" customHeight="1" outlineLevel="1">
      <c r="C108" s="761">
        <v>92</v>
      </c>
      <c r="D108" s="708"/>
      <c r="E108" s="795"/>
      <c r="F108" s="791"/>
      <c r="G108" s="1963"/>
      <c r="H108" s="1964"/>
      <c r="I108" s="700"/>
      <c r="J108" s="746"/>
      <c r="K108" s="701"/>
      <c r="L108" s="702"/>
      <c r="M108" s="702"/>
      <c r="N108" s="702"/>
      <c r="O108" s="702"/>
      <c r="P108" s="702"/>
      <c r="Q108" s="876"/>
      <c r="R108" s="1039"/>
      <c r="S108" s="1074"/>
      <c r="T108" s="703"/>
      <c r="U108" s="747"/>
      <c r="V108" s="748"/>
      <c r="W108" s="738"/>
      <c r="X108" s="797"/>
      <c r="Y108" s="798"/>
      <c r="Z108" s="794"/>
      <c r="AA108" s="705">
        <f t="shared" si="21"/>
        <v>0</v>
      </c>
      <c r="AB108" s="705">
        <f t="shared" si="36"/>
        <v>0</v>
      </c>
      <c r="AC108" s="705">
        <f t="shared" si="37"/>
        <v>0</v>
      </c>
      <c r="AD108" s="705">
        <f>IF(AA108=0,,VLOOKUP(AA108,リスト!DH:DI,2,0))</f>
        <v>0</v>
      </c>
      <c r="AE108" s="705">
        <f t="shared" si="22"/>
        <v>0</v>
      </c>
      <c r="AF108" s="706">
        <f>IF(AE108=0,,VLOOKUP(AE108,リスト!DK:DL,2,0))</f>
        <v>0</v>
      </c>
      <c r="AG108" s="705">
        <f>IF(AA108=0,,
IF(OR(リスト!$C$21="小麦",リスト!$C$21="二条大麦",リスト!$C$21="六条大麦",リスト!$C$21="はだか麦",リスト!$C$21="なたね"),IF(K108&lt;9,調査年-J108,調査年-J108-1),
IF(リスト!$C$21="さとうきび",IF(K108&gt;=4,調査年-J108,調査年-J108+1),
調査年-J108)))</f>
        <v>0</v>
      </c>
      <c r="AH108" s="408">
        <f t="shared" si="23"/>
        <v>0</v>
      </c>
      <c r="AI108" s="408">
        <f t="shared" si="24"/>
        <v>0</v>
      </c>
      <c r="AJ108" s="408">
        <f t="shared" si="25"/>
        <v>0</v>
      </c>
      <c r="AK108" s="408">
        <f t="shared" si="26"/>
        <v>0</v>
      </c>
      <c r="AL108" s="408">
        <f t="shared" si="27"/>
        <v>0</v>
      </c>
      <c r="AM108" s="408">
        <f t="shared" si="35"/>
        <v>0</v>
      </c>
      <c r="AN108" s="417"/>
      <c r="AO108" s="408">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408">
        <f t="shared" si="28"/>
        <v>0</v>
      </c>
      <c r="AQ108" s="408">
        <f t="shared" si="29"/>
        <v>0</v>
      </c>
      <c r="AR108" s="408">
        <f t="shared" si="30"/>
        <v>0</v>
      </c>
      <c r="AS108" s="408">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408">
        <f t="shared" si="31"/>
        <v>0</v>
      </c>
      <c r="AU108" s="408">
        <f t="shared" si="32"/>
        <v>0</v>
      </c>
      <c r="AV108" s="408">
        <f t="shared" si="33"/>
        <v>0</v>
      </c>
      <c r="AW108" s="408">
        <f t="shared" si="33"/>
        <v>0</v>
      </c>
      <c r="AX108" s="408">
        <f t="shared" si="33"/>
        <v>0</v>
      </c>
      <c r="AY108" s="742">
        <f t="shared" si="34"/>
        <v>0</v>
      </c>
      <c r="AZ108" s="707"/>
      <c r="BA108" s="707"/>
      <c r="BB108" s="707"/>
      <c r="BC108" s="707"/>
    </row>
    <row r="109" spans="3:55" s="46" customFormat="1" ht="30.75" hidden="1" customHeight="1" outlineLevel="1">
      <c r="C109" s="761">
        <v>93</v>
      </c>
      <c r="D109" s="708"/>
      <c r="E109" s="795"/>
      <c r="F109" s="791"/>
      <c r="G109" s="1963"/>
      <c r="H109" s="1964"/>
      <c r="I109" s="700"/>
      <c r="J109" s="746"/>
      <c r="K109" s="701"/>
      <c r="L109" s="702"/>
      <c r="M109" s="702"/>
      <c r="N109" s="702"/>
      <c r="O109" s="702"/>
      <c r="P109" s="702"/>
      <c r="Q109" s="876"/>
      <c r="R109" s="1039"/>
      <c r="S109" s="1074"/>
      <c r="T109" s="703"/>
      <c r="U109" s="747"/>
      <c r="V109" s="748"/>
      <c r="W109" s="738"/>
      <c r="X109" s="797"/>
      <c r="Y109" s="798"/>
      <c r="Z109" s="794"/>
      <c r="AA109" s="705">
        <f t="shared" si="21"/>
        <v>0</v>
      </c>
      <c r="AB109" s="705">
        <f t="shared" si="36"/>
        <v>0</v>
      </c>
      <c r="AC109" s="705">
        <f t="shared" si="37"/>
        <v>0</v>
      </c>
      <c r="AD109" s="705">
        <f>IF(AA109=0,,VLOOKUP(AA109,リスト!DH:DI,2,0))</f>
        <v>0</v>
      </c>
      <c r="AE109" s="705">
        <f t="shared" si="22"/>
        <v>0</v>
      </c>
      <c r="AF109" s="706">
        <f>IF(AE109=0,,VLOOKUP(AE109,リスト!DK:DL,2,0))</f>
        <v>0</v>
      </c>
      <c r="AG109" s="705">
        <f>IF(AA109=0,,
IF(OR(リスト!$C$21="小麦",リスト!$C$21="二条大麦",リスト!$C$21="六条大麦",リスト!$C$21="はだか麦",リスト!$C$21="なたね"),IF(K109&lt;9,調査年-J109,調査年-J109-1),
IF(リスト!$C$21="さとうきび",IF(K109&gt;=4,調査年-J109,調査年-J109+1),
調査年-J109)))</f>
        <v>0</v>
      </c>
      <c r="AH109" s="408">
        <f t="shared" si="23"/>
        <v>0</v>
      </c>
      <c r="AI109" s="408">
        <f t="shared" si="24"/>
        <v>0</v>
      </c>
      <c r="AJ109" s="408">
        <f t="shared" si="25"/>
        <v>0</v>
      </c>
      <c r="AK109" s="408">
        <f t="shared" si="26"/>
        <v>0</v>
      </c>
      <c r="AL109" s="408">
        <f t="shared" si="27"/>
        <v>0</v>
      </c>
      <c r="AM109" s="408">
        <f t="shared" si="35"/>
        <v>0</v>
      </c>
      <c r="AN109" s="417"/>
      <c r="AO109" s="408">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408">
        <f t="shared" si="28"/>
        <v>0</v>
      </c>
      <c r="AQ109" s="408">
        <f t="shared" si="29"/>
        <v>0</v>
      </c>
      <c r="AR109" s="408">
        <f t="shared" si="30"/>
        <v>0</v>
      </c>
      <c r="AS109" s="408">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408">
        <f t="shared" si="31"/>
        <v>0</v>
      </c>
      <c r="AU109" s="408">
        <f t="shared" si="32"/>
        <v>0</v>
      </c>
      <c r="AV109" s="408">
        <f t="shared" si="33"/>
        <v>0</v>
      </c>
      <c r="AW109" s="408">
        <f t="shared" si="33"/>
        <v>0</v>
      </c>
      <c r="AX109" s="408">
        <f t="shared" si="33"/>
        <v>0</v>
      </c>
      <c r="AY109" s="742">
        <f t="shared" si="34"/>
        <v>0</v>
      </c>
      <c r="AZ109" s="707"/>
      <c r="BA109" s="707"/>
      <c r="BB109" s="707"/>
      <c r="BC109" s="707"/>
    </row>
    <row r="110" spans="3:55" s="46" customFormat="1" ht="30.75" hidden="1" customHeight="1" outlineLevel="1">
      <c r="C110" s="761">
        <v>94</v>
      </c>
      <c r="D110" s="708"/>
      <c r="E110" s="795"/>
      <c r="F110" s="791"/>
      <c r="G110" s="1963"/>
      <c r="H110" s="1964"/>
      <c r="I110" s="700"/>
      <c r="J110" s="746"/>
      <c r="K110" s="701"/>
      <c r="L110" s="702"/>
      <c r="M110" s="702"/>
      <c r="N110" s="702"/>
      <c r="O110" s="702"/>
      <c r="P110" s="702"/>
      <c r="Q110" s="876"/>
      <c r="R110" s="1039"/>
      <c r="S110" s="1074"/>
      <c r="T110" s="703"/>
      <c r="U110" s="747"/>
      <c r="V110" s="748"/>
      <c r="W110" s="738"/>
      <c r="X110" s="797"/>
      <c r="Y110" s="798"/>
      <c r="Z110" s="794"/>
      <c r="AA110" s="705">
        <f t="shared" si="21"/>
        <v>0</v>
      </c>
      <c r="AB110" s="705">
        <f t="shared" si="36"/>
        <v>0</v>
      </c>
      <c r="AC110" s="705">
        <f t="shared" si="37"/>
        <v>0</v>
      </c>
      <c r="AD110" s="705">
        <f>IF(AA110=0,,VLOOKUP(AA110,リスト!DH:DI,2,0))</f>
        <v>0</v>
      </c>
      <c r="AE110" s="705">
        <f t="shared" si="22"/>
        <v>0</v>
      </c>
      <c r="AF110" s="706">
        <f>IF(AE110=0,,VLOOKUP(AE110,リスト!DK:DL,2,0))</f>
        <v>0</v>
      </c>
      <c r="AG110" s="705">
        <f>IF(AA110=0,,
IF(OR(リスト!$C$21="小麦",リスト!$C$21="二条大麦",リスト!$C$21="六条大麦",リスト!$C$21="はだか麦",リスト!$C$21="なたね"),IF(K110&lt;9,調査年-J110,調査年-J110-1),
IF(リスト!$C$21="さとうきび",IF(K110&gt;=4,調査年-J110,調査年-J110+1),
調査年-J110)))</f>
        <v>0</v>
      </c>
      <c r="AH110" s="408">
        <f t="shared" si="23"/>
        <v>0</v>
      </c>
      <c r="AI110" s="408">
        <f t="shared" si="24"/>
        <v>0</v>
      </c>
      <c r="AJ110" s="408">
        <f t="shared" si="25"/>
        <v>0</v>
      </c>
      <c r="AK110" s="408">
        <f t="shared" si="26"/>
        <v>0</v>
      </c>
      <c r="AL110" s="408">
        <f t="shared" si="27"/>
        <v>0</v>
      </c>
      <c r="AM110" s="408">
        <f t="shared" si="35"/>
        <v>0</v>
      </c>
      <c r="AN110" s="417"/>
      <c r="AO110" s="408">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408">
        <f t="shared" si="28"/>
        <v>0</v>
      </c>
      <c r="AQ110" s="408">
        <f t="shared" si="29"/>
        <v>0</v>
      </c>
      <c r="AR110" s="408">
        <f t="shared" si="30"/>
        <v>0</v>
      </c>
      <c r="AS110" s="408">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408">
        <f t="shared" si="31"/>
        <v>0</v>
      </c>
      <c r="AU110" s="408">
        <f t="shared" si="32"/>
        <v>0</v>
      </c>
      <c r="AV110" s="408">
        <f t="shared" si="33"/>
        <v>0</v>
      </c>
      <c r="AW110" s="408">
        <f t="shared" si="33"/>
        <v>0</v>
      </c>
      <c r="AX110" s="408">
        <f t="shared" si="33"/>
        <v>0</v>
      </c>
      <c r="AY110" s="742">
        <f t="shared" si="34"/>
        <v>0</v>
      </c>
      <c r="AZ110" s="707"/>
      <c r="BA110" s="707"/>
      <c r="BB110" s="707"/>
      <c r="BC110" s="707"/>
    </row>
    <row r="111" spans="3:55" s="46" customFormat="1" ht="30.75" hidden="1" customHeight="1" outlineLevel="1">
      <c r="C111" s="761">
        <v>95</v>
      </c>
      <c r="D111" s="708"/>
      <c r="E111" s="795"/>
      <c r="F111" s="791"/>
      <c r="G111" s="1963"/>
      <c r="H111" s="1964"/>
      <c r="I111" s="700"/>
      <c r="J111" s="746"/>
      <c r="K111" s="701"/>
      <c r="L111" s="702"/>
      <c r="M111" s="702"/>
      <c r="N111" s="702"/>
      <c r="O111" s="702"/>
      <c r="P111" s="702"/>
      <c r="Q111" s="876"/>
      <c r="R111" s="1039"/>
      <c r="S111" s="1074"/>
      <c r="T111" s="703"/>
      <c r="U111" s="747"/>
      <c r="V111" s="748"/>
      <c r="W111" s="738"/>
      <c r="X111" s="797"/>
      <c r="Y111" s="798"/>
      <c r="Z111" s="794"/>
      <c r="AA111" s="705">
        <f t="shared" si="21"/>
        <v>0</v>
      </c>
      <c r="AB111" s="705">
        <f t="shared" si="36"/>
        <v>0</v>
      </c>
      <c r="AC111" s="705">
        <f t="shared" si="37"/>
        <v>0</v>
      </c>
      <c r="AD111" s="705">
        <f>IF(AA111=0,,VLOOKUP(AA111,リスト!DH:DI,2,0))</f>
        <v>0</v>
      </c>
      <c r="AE111" s="705">
        <f t="shared" si="22"/>
        <v>0</v>
      </c>
      <c r="AF111" s="706">
        <f>IF(AE111=0,,VLOOKUP(AE111,リスト!DK:DL,2,0))</f>
        <v>0</v>
      </c>
      <c r="AG111" s="705">
        <f>IF(AA111=0,,
IF(OR(リスト!$C$21="小麦",リスト!$C$21="二条大麦",リスト!$C$21="六条大麦",リスト!$C$21="はだか麦",リスト!$C$21="なたね"),IF(K111&lt;9,調査年-J111,調査年-J111-1),
IF(リスト!$C$21="さとうきび",IF(K111&gt;=4,調査年-J111,調査年-J111+1),
調査年-J111)))</f>
        <v>0</v>
      </c>
      <c r="AH111" s="408">
        <f t="shared" si="23"/>
        <v>0</v>
      </c>
      <c r="AI111" s="408">
        <f t="shared" si="24"/>
        <v>0</v>
      </c>
      <c r="AJ111" s="408">
        <f t="shared" si="25"/>
        <v>0</v>
      </c>
      <c r="AK111" s="408">
        <f t="shared" si="26"/>
        <v>0</v>
      </c>
      <c r="AL111" s="408">
        <f t="shared" si="27"/>
        <v>0</v>
      </c>
      <c r="AM111" s="408">
        <f t="shared" si="35"/>
        <v>0</v>
      </c>
      <c r="AN111" s="417"/>
      <c r="AO111" s="408">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408">
        <f t="shared" si="28"/>
        <v>0</v>
      </c>
      <c r="AQ111" s="408">
        <f t="shared" si="29"/>
        <v>0</v>
      </c>
      <c r="AR111" s="408">
        <f t="shared" si="30"/>
        <v>0</v>
      </c>
      <c r="AS111" s="408">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408">
        <f t="shared" si="31"/>
        <v>0</v>
      </c>
      <c r="AU111" s="408">
        <f t="shared" si="32"/>
        <v>0</v>
      </c>
      <c r="AV111" s="408">
        <f t="shared" si="33"/>
        <v>0</v>
      </c>
      <c r="AW111" s="408">
        <f t="shared" si="33"/>
        <v>0</v>
      </c>
      <c r="AX111" s="408">
        <f t="shared" si="33"/>
        <v>0</v>
      </c>
      <c r="AY111" s="742">
        <f t="shared" si="34"/>
        <v>0</v>
      </c>
      <c r="AZ111" s="707"/>
      <c r="BA111" s="707"/>
      <c r="BB111" s="707"/>
      <c r="BC111" s="707"/>
    </row>
    <row r="112" spans="3:55" s="46" customFormat="1" ht="30.75" hidden="1" customHeight="1" outlineLevel="1">
      <c r="C112" s="761">
        <v>96</v>
      </c>
      <c r="D112" s="708"/>
      <c r="E112" s="795"/>
      <c r="F112" s="791"/>
      <c r="G112" s="1963"/>
      <c r="H112" s="1964"/>
      <c r="I112" s="700"/>
      <c r="J112" s="746"/>
      <c r="K112" s="701"/>
      <c r="L112" s="702"/>
      <c r="M112" s="702"/>
      <c r="N112" s="702"/>
      <c r="O112" s="702"/>
      <c r="P112" s="702"/>
      <c r="Q112" s="876"/>
      <c r="R112" s="1039"/>
      <c r="S112" s="1074"/>
      <c r="T112" s="703"/>
      <c r="U112" s="747"/>
      <c r="V112" s="748"/>
      <c r="W112" s="738"/>
      <c r="X112" s="797"/>
      <c r="Y112" s="798"/>
      <c r="Z112" s="794"/>
      <c r="AA112" s="705">
        <f t="shared" si="21"/>
        <v>0</v>
      </c>
      <c r="AB112" s="705">
        <f t="shared" si="36"/>
        <v>0</v>
      </c>
      <c r="AC112" s="705">
        <f t="shared" si="37"/>
        <v>0</v>
      </c>
      <c r="AD112" s="705">
        <f>IF(AA112=0,,VLOOKUP(AA112,リスト!DH:DI,2,0))</f>
        <v>0</v>
      </c>
      <c r="AE112" s="705">
        <f t="shared" si="22"/>
        <v>0</v>
      </c>
      <c r="AF112" s="706">
        <f>IF(AE112=0,,VLOOKUP(AE112,リスト!DK:DL,2,0))</f>
        <v>0</v>
      </c>
      <c r="AG112" s="705">
        <f>IF(AA112=0,,
IF(OR(リスト!$C$21="小麦",リスト!$C$21="二条大麦",リスト!$C$21="六条大麦",リスト!$C$21="はだか麦",リスト!$C$21="なたね"),IF(K112&lt;9,調査年-J112,調査年-J112-1),
IF(リスト!$C$21="さとうきび",IF(K112&gt;=4,調査年-J112,調査年-J112+1),
調査年-J112)))</f>
        <v>0</v>
      </c>
      <c r="AH112" s="408">
        <f t="shared" si="23"/>
        <v>0</v>
      </c>
      <c r="AI112" s="408">
        <f t="shared" si="24"/>
        <v>0</v>
      </c>
      <c r="AJ112" s="408">
        <f t="shared" si="25"/>
        <v>0</v>
      </c>
      <c r="AK112" s="408">
        <f t="shared" si="26"/>
        <v>0</v>
      </c>
      <c r="AL112" s="408">
        <f t="shared" si="27"/>
        <v>0</v>
      </c>
      <c r="AM112" s="408">
        <f t="shared" si="35"/>
        <v>0</v>
      </c>
      <c r="AN112" s="417"/>
      <c r="AO112" s="408">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408">
        <f t="shared" si="28"/>
        <v>0</v>
      </c>
      <c r="AQ112" s="408">
        <f t="shared" si="29"/>
        <v>0</v>
      </c>
      <c r="AR112" s="408">
        <f t="shared" si="30"/>
        <v>0</v>
      </c>
      <c r="AS112" s="408">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408">
        <f t="shared" si="31"/>
        <v>0</v>
      </c>
      <c r="AU112" s="408">
        <f t="shared" si="32"/>
        <v>0</v>
      </c>
      <c r="AV112" s="408">
        <f t="shared" si="33"/>
        <v>0</v>
      </c>
      <c r="AW112" s="408">
        <f t="shared" si="33"/>
        <v>0</v>
      </c>
      <c r="AX112" s="408">
        <f t="shared" si="33"/>
        <v>0</v>
      </c>
      <c r="AY112" s="742">
        <f t="shared" si="34"/>
        <v>0</v>
      </c>
      <c r="AZ112" s="707"/>
      <c r="BA112" s="707"/>
      <c r="BB112" s="707"/>
      <c r="BC112" s="707"/>
    </row>
    <row r="113" spans="3:55" s="46" customFormat="1" ht="30.75" hidden="1" customHeight="1" outlineLevel="1">
      <c r="C113" s="761">
        <v>97</v>
      </c>
      <c r="D113" s="708"/>
      <c r="E113" s="795"/>
      <c r="F113" s="791"/>
      <c r="G113" s="1963"/>
      <c r="H113" s="1964"/>
      <c r="I113" s="700"/>
      <c r="J113" s="746"/>
      <c r="K113" s="701"/>
      <c r="L113" s="702"/>
      <c r="M113" s="702"/>
      <c r="N113" s="702"/>
      <c r="O113" s="702"/>
      <c r="P113" s="702"/>
      <c r="Q113" s="876"/>
      <c r="R113" s="1039"/>
      <c r="S113" s="1074"/>
      <c r="T113" s="703"/>
      <c r="U113" s="747"/>
      <c r="V113" s="748"/>
      <c r="W113" s="738"/>
      <c r="X113" s="797"/>
      <c r="Y113" s="798"/>
      <c r="Z113" s="794"/>
      <c r="AA113" s="705">
        <f t="shared" si="21"/>
        <v>0</v>
      </c>
      <c r="AB113" s="705">
        <f t="shared" si="36"/>
        <v>0</v>
      </c>
      <c r="AC113" s="705">
        <f t="shared" si="37"/>
        <v>0</v>
      </c>
      <c r="AD113" s="705">
        <f>IF(AA113=0,,VLOOKUP(AA113,リスト!DH:DI,2,0))</f>
        <v>0</v>
      </c>
      <c r="AE113" s="705">
        <f t="shared" si="22"/>
        <v>0</v>
      </c>
      <c r="AF113" s="706">
        <f>IF(AE113=0,,VLOOKUP(AE113,リスト!DK:DL,2,0))</f>
        <v>0</v>
      </c>
      <c r="AG113" s="705">
        <f>IF(AA113=0,,
IF(OR(リスト!$C$21="小麦",リスト!$C$21="二条大麦",リスト!$C$21="六条大麦",リスト!$C$21="はだか麦",リスト!$C$21="なたね"),IF(K113&lt;9,調査年-J113,調査年-J113-1),
IF(リスト!$C$21="さとうきび",IF(K113&gt;=4,調査年-J113,調査年-J113+1),
調査年-J113)))</f>
        <v>0</v>
      </c>
      <c r="AH113" s="408">
        <f t="shared" ref="AH113:AH116" si="38">IF(OR(AA113=0,AB113=1),,
IF(AND(AE113&gt;0,AG113&lt;AE113,AI113&lt;=ROUND((L113-1)*AF113,0)),ROUND(AI113,0),
IF(AND(AE113&gt;0,AG113&lt;AE113),ROUND((L113-1)*AF113,0),)))</f>
        <v>0</v>
      </c>
      <c r="AI113" s="408">
        <f t="shared" si="24"/>
        <v>0</v>
      </c>
      <c r="AJ113" s="408">
        <f t="shared" si="25"/>
        <v>0</v>
      </c>
      <c r="AK113" s="408">
        <f t="shared" si="26"/>
        <v>0</v>
      </c>
      <c r="AL113" s="408">
        <f t="shared" si="27"/>
        <v>0</v>
      </c>
      <c r="AM113" s="408">
        <f t="shared" si="35"/>
        <v>0</v>
      </c>
      <c r="AN113" s="417"/>
      <c r="AO113" s="408">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408">
        <f t="shared" si="28"/>
        <v>0</v>
      </c>
      <c r="AQ113" s="408">
        <f t="shared" si="29"/>
        <v>0</v>
      </c>
      <c r="AR113" s="408">
        <f t="shared" si="30"/>
        <v>0</v>
      </c>
      <c r="AS113" s="408">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408">
        <f t="shared" si="31"/>
        <v>0</v>
      </c>
      <c r="AU113" s="408">
        <f t="shared" si="32"/>
        <v>0</v>
      </c>
      <c r="AV113" s="408">
        <f t="shared" si="33"/>
        <v>0</v>
      </c>
      <c r="AW113" s="408">
        <f t="shared" si="33"/>
        <v>0</v>
      </c>
      <c r="AX113" s="408">
        <f t="shared" si="33"/>
        <v>0</v>
      </c>
      <c r="AY113" s="742">
        <f t="shared" si="34"/>
        <v>0</v>
      </c>
      <c r="AZ113" s="707"/>
      <c r="BA113" s="707"/>
      <c r="BB113" s="707"/>
      <c r="BC113" s="707"/>
    </row>
    <row r="114" spans="3:55" s="46" customFormat="1" ht="30.75" hidden="1" customHeight="1" outlineLevel="1">
      <c r="C114" s="761">
        <v>98</v>
      </c>
      <c r="D114" s="708"/>
      <c r="E114" s="795"/>
      <c r="F114" s="791"/>
      <c r="G114" s="1963"/>
      <c r="H114" s="1964"/>
      <c r="I114" s="700"/>
      <c r="J114" s="746"/>
      <c r="K114" s="701"/>
      <c r="L114" s="702"/>
      <c r="M114" s="702"/>
      <c r="N114" s="702"/>
      <c r="O114" s="702"/>
      <c r="P114" s="702"/>
      <c r="Q114" s="876"/>
      <c r="R114" s="1039"/>
      <c r="S114" s="1074"/>
      <c r="T114" s="703"/>
      <c r="U114" s="747"/>
      <c r="V114" s="748"/>
      <c r="W114" s="738"/>
      <c r="X114" s="797"/>
      <c r="Y114" s="798"/>
      <c r="Z114" s="794"/>
      <c r="AA114" s="705">
        <f t="shared" si="21"/>
        <v>0</v>
      </c>
      <c r="AB114" s="705">
        <f t="shared" si="36"/>
        <v>0</v>
      </c>
      <c r="AC114" s="705">
        <f t="shared" si="37"/>
        <v>0</v>
      </c>
      <c r="AD114" s="705">
        <f>IF(AA114=0,,VLOOKUP(AA114,リスト!DH:DI,2,0))</f>
        <v>0</v>
      </c>
      <c r="AE114" s="705">
        <f t="shared" si="22"/>
        <v>0</v>
      </c>
      <c r="AF114" s="706">
        <f>IF(AE114=0,,VLOOKUP(AE114,リスト!DK:DL,2,0))</f>
        <v>0</v>
      </c>
      <c r="AG114" s="705">
        <f>IF(AA114=0,,
IF(OR(リスト!$C$21="小麦",リスト!$C$21="二条大麦",リスト!$C$21="六条大麦",リスト!$C$21="はだか麦",リスト!$C$21="なたね"),IF(K114&lt;9,調査年-J114,調査年-J114-1),
IF(リスト!$C$21="さとうきび",IF(K114&gt;=4,調査年-J114,調査年-J114+1),
調査年-J114)))</f>
        <v>0</v>
      </c>
      <c r="AH114" s="408">
        <f t="shared" si="38"/>
        <v>0</v>
      </c>
      <c r="AI114" s="408">
        <f t="shared" si="24"/>
        <v>0</v>
      </c>
      <c r="AJ114" s="408">
        <f t="shared" si="25"/>
        <v>0</v>
      </c>
      <c r="AK114" s="408">
        <f t="shared" si="26"/>
        <v>0</v>
      </c>
      <c r="AL114" s="408">
        <f t="shared" si="27"/>
        <v>0</v>
      </c>
      <c r="AM114" s="408">
        <f t="shared" si="35"/>
        <v>0</v>
      </c>
      <c r="AN114" s="417"/>
      <c r="AO114" s="408">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408">
        <f t="shared" si="28"/>
        <v>0</v>
      </c>
      <c r="AQ114" s="408">
        <f t="shared" si="29"/>
        <v>0</v>
      </c>
      <c r="AR114" s="408">
        <f t="shared" si="30"/>
        <v>0</v>
      </c>
      <c r="AS114" s="408">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408">
        <f t="shared" si="31"/>
        <v>0</v>
      </c>
      <c r="AU114" s="408">
        <f t="shared" si="32"/>
        <v>0</v>
      </c>
      <c r="AV114" s="408">
        <f t="shared" si="33"/>
        <v>0</v>
      </c>
      <c r="AW114" s="408">
        <f t="shared" si="33"/>
        <v>0</v>
      </c>
      <c r="AX114" s="408">
        <f t="shared" si="33"/>
        <v>0</v>
      </c>
      <c r="AY114" s="742">
        <f t="shared" si="34"/>
        <v>0</v>
      </c>
      <c r="AZ114" s="707"/>
      <c r="BA114" s="707"/>
      <c r="BB114" s="707"/>
      <c r="BC114" s="707"/>
    </row>
    <row r="115" spans="3:55" s="46" customFormat="1" ht="30.75" hidden="1" customHeight="1" outlineLevel="1">
      <c r="C115" s="761">
        <v>99</v>
      </c>
      <c r="D115" s="708"/>
      <c r="E115" s="795"/>
      <c r="F115" s="791"/>
      <c r="G115" s="1963"/>
      <c r="H115" s="1964"/>
      <c r="I115" s="700"/>
      <c r="J115" s="746"/>
      <c r="K115" s="701"/>
      <c r="L115" s="702"/>
      <c r="M115" s="702"/>
      <c r="N115" s="702"/>
      <c r="O115" s="702"/>
      <c r="P115" s="702"/>
      <c r="Q115" s="876"/>
      <c r="R115" s="1039"/>
      <c r="S115" s="1074"/>
      <c r="T115" s="703"/>
      <c r="U115" s="747"/>
      <c r="V115" s="748"/>
      <c r="W115" s="738"/>
      <c r="X115" s="797"/>
      <c r="Y115" s="798"/>
      <c r="Z115" s="794"/>
      <c r="AA115" s="705">
        <f t="shared" si="21"/>
        <v>0</v>
      </c>
      <c r="AB115" s="705">
        <f t="shared" si="36"/>
        <v>0</v>
      </c>
      <c r="AC115" s="705">
        <f t="shared" si="37"/>
        <v>0</v>
      </c>
      <c r="AD115" s="705">
        <f>IF(AA115=0,,VLOOKUP(AA115,リスト!DH:DI,2,0))</f>
        <v>0</v>
      </c>
      <c r="AE115" s="705">
        <f t="shared" si="22"/>
        <v>0</v>
      </c>
      <c r="AF115" s="706">
        <f>IF(AE115=0,,VLOOKUP(AE115,リスト!DK:DL,2,0))</f>
        <v>0</v>
      </c>
      <c r="AG115" s="705">
        <f>IF(AA115=0,,
IF(OR(リスト!$C$21="小麦",リスト!$C$21="二条大麦",リスト!$C$21="六条大麦",リスト!$C$21="はだか麦",リスト!$C$21="なたね"),IF(K115&lt;9,調査年-J115,調査年-J115-1),
IF(リスト!$C$21="さとうきび",IF(K115&gt;=4,調査年-J115,調査年-J115+1),
調査年-J115)))</f>
        <v>0</v>
      </c>
      <c r="AH115" s="408">
        <f t="shared" si="38"/>
        <v>0</v>
      </c>
      <c r="AI115" s="408">
        <f t="shared" si="24"/>
        <v>0</v>
      </c>
      <c r="AJ115" s="408">
        <f t="shared" si="25"/>
        <v>0</v>
      </c>
      <c r="AK115" s="408">
        <f t="shared" si="26"/>
        <v>0</v>
      </c>
      <c r="AL115" s="408">
        <f t="shared" si="27"/>
        <v>0</v>
      </c>
      <c r="AM115" s="408">
        <f t="shared" si="35"/>
        <v>0</v>
      </c>
      <c r="AN115" s="417"/>
      <c r="AO115" s="408">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408">
        <f t="shared" si="28"/>
        <v>0</v>
      </c>
      <c r="AQ115" s="408">
        <f t="shared" si="29"/>
        <v>0</v>
      </c>
      <c r="AR115" s="408">
        <f t="shared" si="30"/>
        <v>0</v>
      </c>
      <c r="AS115" s="408">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408">
        <f t="shared" si="31"/>
        <v>0</v>
      </c>
      <c r="AU115" s="408">
        <f t="shared" si="32"/>
        <v>0</v>
      </c>
      <c r="AV115" s="408">
        <f t="shared" si="33"/>
        <v>0</v>
      </c>
      <c r="AW115" s="408">
        <f t="shared" si="33"/>
        <v>0</v>
      </c>
      <c r="AX115" s="408">
        <f t="shared" si="33"/>
        <v>0</v>
      </c>
      <c r="AY115" s="742">
        <f t="shared" si="34"/>
        <v>0</v>
      </c>
      <c r="AZ115" s="707"/>
      <c r="BA115" s="707"/>
      <c r="BB115" s="707"/>
      <c r="BC115" s="707"/>
    </row>
    <row r="116" spans="3:55" s="46" customFormat="1" ht="30.75" hidden="1" customHeight="1" outlineLevel="1" thickBot="1">
      <c r="C116" s="761">
        <v>100</v>
      </c>
      <c r="D116" s="710"/>
      <c r="E116" s="799"/>
      <c r="F116" s="800"/>
      <c r="G116" s="1969"/>
      <c r="H116" s="1970"/>
      <c r="I116" s="714"/>
      <c r="J116" s="764"/>
      <c r="K116" s="715"/>
      <c r="L116" s="716"/>
      <c r="M116" s="716"/>
      <c r="N116" s="716"/>
      <c r="O116" s="716"/>
      <c r="P116" s="716"/>
      <c r="Q116" s="876"/>
      <c r="R116" s="1039"/>
      <c r="S116" s="1075"/>
      <c r="T116" s="717"/>
      <c r="U116" s="765"/>
      <c r="V116" s="766"/>
      <c r="W116" s="738"/>
      <c r="X116" s="767"/>
      <c r="Y116" s="768"/>
      <c r="Z116" s="794"/>
      <c r="AA116" s="705">
        <f t="shared" si="21"/>
        <v>0</v>
      </c>
      <c r="AB116" s="705">
        <f t="shared" si="36"/>
        <v>0</v>
      </c>
      <c r="AC116" s="705">
        <f t="shared" si="37"/>
        <v>0</v>
      </c>
      <c r="AD116" s="705">
        <f>IF(AA116=0,,VLOOKUP(AA116,リスト!DH:DI,2,0))</f>
        <v>0</v>
      </c>
      <c r="AE116" s="705">
        <f t="shared" si="22"/>
        <v>0</v>
      </c>
      <c r="AF116" s="706">
        <f>IF(AE116=0,,VLOOKUP(AE116,リスト!DK:DL,2,0))</f>
        <v>0</v>
      </c>
      <c r="AG116" s="705">
        <f>IF(AA116=0,,
IF(OR(リスト!$C$21="小麦",リスト!$C$21="二条大麦",リスト!$C$21="六条大麦",リスト!$C$21="はだか麦",リスト!$C$21="なたね"),IF(K116&lt;9,調査年-J116,調査年-J116-1),
IF(リスト!$C$21="さとうきび",IF(K116&gt;=4,調査年-J116,調査年-J116+1),
調査年-J116)))</f>
        <v>0</v>
      </c>
      <c r="AH116" s="408">
        <f t="shared" si="38"/>
        <v>0</v>
      </c>
      <c r="AI116" s="408">
        <f t="shared" si="24"/>
        <v>0</v>
      </c>
      <c r="AJ116" s="408">
        <f t="shared" si="25"/>
        <v>0</v>
      </c>
      <c r="AK116" s="408">
        <f t="shared" si="26"/>
        <v>0</v>
      </c>
      <c r="AL116" s="408">
        <f t="shared" si="27"/>
        <v>0</v>
      </c>
      <c r="AM116" s="408">
        <f t="shared" si="35"/>
        <v>0</v>
      </c>
      <c r="AN116" s="417"/>
      <c r="AO116" s="408">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408">
        <f t="shared" si="28"/>
        <v>0</v>
      </c>
      <c r="AQ116" s="408">
        <f t="shared" si="29"/>
        <v>0</v>
      </c>
      <c r="AR116" s="408">
        <f t="shared" si="30"/>
        <v>0</v>
      </c>
      <c r="AS116" s="408">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408">
        <f t="shared" si="31"/>
        <v>0</v>
      </c>
      <c r="AU116" s="408">
        <f t="shared" si="32"/>
        <v>0</v>
      </c>
      <c r="AV116" s="408">
        <f t="shared" si="33"/>
        <v>0</v>
      </c>
      <c r="AW116" s="408">
        <f t="shared" si="33"/>
        <v>0</v>
      </c>
      <c r="AX116" s="408">
        <f t="shared" si="33"/>
        <v>0</v>
      </c>
      <c r="AY116" s="742">
        <f t="shared" si="34"/>
        <v>0</v>
      </c>
      <c r="AZ116" s="707"/>
      <c r="BA116" s="707"/>
      <c r="BB116" s="707"/>
      <c r="BC116" s="707"/>
    </row>
    <row r="117" spans="3:55" ht="14.25" customHeight="1" thickTop="1">
      <c r="C117" s="404"/>
      <c r="D117" s="404"/>
      <c r="E117" s="405"/>
      <c r="F117" s="405"/>
      <c r="G117" s="405"/>
      <c r="H117" s="405"/>
      <c r="I117" s="405"/>
      <c r="J117" s="405"/>
      <c r="K117" s="405"/>
      <c r="L117" s="405"/>
      <c r="M117" s="405"/>
      <c r="N117" s="405"/>
      <c r="O117" s="405"/>
      <c r="P117" s="405"/>
      <c r="Q117" s="405"/>
      <c r="R117" s="405"/>
      <c r="S117" s="405"/>
      <c r="T117" s="405"/>
      <c r="U117" s="405"/>
      <c r="V117" s="405"/>
      <c r="X117" s="720"/>
      <c r="Y117" s="720"/>
      <c r="AA117" s="801"/>
      <c r="AB117" s="802"/>
      <c r="AC117" s="802"/>
      <c r="AD117" s="802"/>
      <c r="AE117" s="802"/>
      <c r="AF117" s="802"/>
      <c r="AG117" s="802"/>
      <c r="AH117" s="802"/>
      <c r="AK117" s="802"/>
      <c r="AL117" s="802"/>
      <c r="AM117" s="802"/>
      <c r="AN117" s="802"/>
      <c r="AO117" s="802"/>
      <c r="AP117" s="802"/>
      <c r="AQ117" s="802"/>
      <c r="AR117" s="802"/>
      <c r="AS117" s="802"/>
      <c r="AT117" s="802"/>
      <c r="AU117" s="802"/>
      <c r="AV117" s="802"/>
      <c r="AW117" s="802"/>
      <c r="AX117" s="802"/>
      <c r="AY117" s="145"/>
    </row>
    <row r="118" spans="3:55" ht="14.25" customHeight="1">
      <c r="AA118" s="802"/>
      <c r="AB118" s="802"/>
      <c r="AC118" s="802"/>
      <c r="AD118" s="802"/>
      <c r="AE118" s="802"/>
      <c r="AF118" s="802"/>
      <c r="AG118" s="802"/>
      <c r="AH118" s="802"/>
      <c r="AK118" s="802"/>
      <c r="AL118" s="802"/>
      <c r="AM118" s="802"/>
      <c r="AN118" s="802"/>
      <c r="AO118" s="802"/>
      <c r="AP118" s="802"/>
      <c r="AQ118" s="802"/>
      <c r="AR118" s="802"/>
      <c r="AS118" s="802"/>
      <c r="AT118" s="802"/>
      <c r="AU118" s="802"/>
      <c r="AV118" s="802"/>
      <c r="AW118" s="802"/>
      <c r="AX118" s="802"/>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8" r:id="rId5" name="Label1">
          <controlPr defaultSize="0" print="0" autoLine="0" r:id="rId6">
            <anchor moveWithCells="1">
              <from>
                <xdr:col>4</xdr:col>
                <xdr:colOff>9525</xdr:colOff>
                <xdr:row>5</xdr:row>
                <xdr:rowOff>161925</xdr:rowOff>
              </from>
              <to>
                <xdr:col>5</xdr:col>
                <xdr:colOff>28575</xdr:colOff>
                <xdr:row>7</xdr:row>
                <xdr:rowOff>19050</xdr:rowOff>
              </to>
            </anchor>
          </controlPr>
        </control>
      </mc:Choice>
      <mc:Fallback>
        <control shapeId="16388" r:id="rId5" name="Label1"/>
      </mc:Fallback>
    </mc:AlternateContent>
    <mc:AlternateContent xmlns:mc="http://schemas.openxmlformats.org/markup-compatibility/2006">
      <mc:Choice Requires="x14">
        <control shapeId="16389" r:id="rId7" name="txt_hyouji">
          <controlPr locked="0" defaultSize="0" print="0" autoLine="0" r:id="rId8">
            <anchor moveWithCells="1">
              <from>
                <xdr:col>4</xdr:col>
                <xdr:colOff>9525</xdr:colOff>
                <xdr:row>7</xdr:row>
                <xdr:rowOff>19050</xdr:rowOff>
              </from>
              <to>
                <xdr:col>5</xdr:col>
                <xdr:colOff>28575</xdr:colOff>
                <xdr:row>8</xdr:row>
                <xdr:rowOff>47625</xdr:rowOff>
              </to>
            </anchor>
          </controlPr>
        </control>
      </mc:Choice>
      <mc:Fallback>
        <control shapeId="16389" r:id="rId7" name="txt_hyouji"/>
      </mc:Fallback>
    </mc:AlternateContent>
    <mc:AlternateContent xmlns:mc="http://schemas.openxmlformats.org/markup-compatibility/2006">
      <mc:Choice Requires="x14">
        <control shapeId="16390" r:id="rId9" name="btnKoushin1">
          <controlPr defaultSize="0" print="0" autoLine="0" r:id="rId10">
            <anchor moveWithCells="1">
              <from>
                <xdr:col>5</xdr:col>
                <xdr:colOff>133350</xdr:colOff>
                <xdr:row>5</xdr:row>
                <xdr:rowOff>161925</xdr:rowOff>
              </from>
              <to>
                <xdr:col>6</xdr:col>
                <xdr:colOff>85725</xdr:colOff>
                <xdr:row>8</xdr:row>
                <xdr:rowOff>47625</xdr:rowOff>
              </to>
            </anchor>
          </controlPr>
        </control>
      </mc:Choice>
      <mc:Fallback>
        <control shapeId="16390"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5"/>
    <col min="2" max="13" width="3.25" style="657"/>
    <col min="14" max="15" width="20" style="145" customWidth="1"/>
    <col min="16" max="16384" width="3.25" style="145"/>
  </cols>
  <sheetData>
    <row r="1" spans="2:15" ht="28.5" customHeight="1">
      <c r="B1" s="803" t="s">
        <v>382</v>
      </c>
    </row>
    <row r="2" spans="2:15" s="657" customFormat="1" ht="21" customHeight="1">
      <c r="B2" s="1995" t="s">
        <v>584</v>
      </c>
      <c r="C2" s="1995"/>
      <c r="D2" s="1995"/>
      <c r="E2" s="1995"/>
      <c r="F2" s="1995"/>
      <c r="G2" s="1995"/>
      <c r="H2" s="1995"/>
      <c r="I2" s="1995"/>
      <c r="J2" s="1995"/>
      <c r="K2" s="1995"/>
      <c r="L2" s="1995"/>
      <c r="M2" s="1995"/>
      <c r="N2" s="1995"/>
      <c r="O2" s="1995"/>
    </row>
    <row r="3" spans="2:15" s="657" customFormat="1" ht="21" customHeight="1">
      <c r="B3" s="1996"/>
      <c r="C3" s="1997"/>
      <c r="D3" s="1997"/>
      <c r="E3" s="1997"/>
      <c r="F3" s="1997"/>
      <c r="G3" s="1997"/>
      <c r="H3" s="1997"/>
      <c r="I3" s="1997"/>
      <c r="J3" s="1997"/>
      <c r="K3" s="1997"/>
      <c r="L3" s="1997"/>
      <c r="M3" s="1998"/>
      <c r="N3" s="804" t="s">
        <v>585</v>
      </c>
      <c r="O3" s="805" t="s">
        <v>586</v>
      </c>
    </row>
    <row r="4" spans="2:15" ht="30" customHeight="1">
      <c r="B4" s="1999" t="s">
        <v>587</v>
      </c>
      <c r="C4" s="1999"/>
      <c r="D4" s="2000" t="s">
        <v>588</v>
      </c>
      <c r="E4" s="2000"/>
      <c r="F4" s="2000"/>
      <c r="G4" s="2000"/>
      <c r="H4" s="2000"/>
      <c r="I4" s="2000"/>
      <c r="J4" s="2000"/>
      <c r="K4" s="2000"/>
      <c r="L4" s="2000"/>
      <c r="M4" s="2000"/>
      <c r="N4" s="806"/>
      <c r="O4" s="807">
        <f>SUMIFS(【７】建物及び構築物!$AP$16:$AP$115,【７】建物及び構築物!$E$16:$E$115,"[01]住宅")</f>
        <v>0</v>
      </c>
    </row>
    <row r="5" spans="2:15" ht="30" customHeight="1">
      <c r="B5" s="1999"/>
      <c r="C5" s="1999"/>
      <c r="D5" s="2000" t="s">
        <v>589</v>
      </c>
      <c r="E5" s="2000"/>
      <c r="F5" s="2000"/>
      <c r="G5" s="2000"/>
      <c r="H5" s="2000"/>
      <c r="I5" s="2000"/>
      <c r="J5" s="2000"/>
      <c r="K5" s="2000"/>
      <c r="L5" s="2000"/>
      <c r="M5" s="2000"/>
      <c r="N5" s="806"/>
      <c r="O5" s="807">
        <f>SUMIFS(【７】建物及び構築物!$AP$16:$AP$115,【７】建物及び構築物!$E$16:$E$115,"[03]納屋・倉庫")</f>
        <v>0</v>
      </c>
    </row>
    <row r="6" spans="2:15" ht="30" customHeight="1">
      <c r="B6" s="1999"/>
      <c r="C6" s="1999"/>
      <c r="D6" s="2000" t="s">
        <v>590</v>
      </c>
      <c r="E6" s="2000"/>
      <c r="F6" s="2000"/>
      <c r="G6" s="2000"/>
      <c r="H6" s="2000"/>
      <c r="I6" s="2000"/>
      <c r="J6" s="2000"/>
      <c r="K6" s="2000"/>
      <c r="L6" s="2000"/>
      <c r="M6" s="2000"/>
      <c r="N6" s="806"/>
      <c r="O6" s="807">
        <f>SUMIFS(【７】建物及び構築物!$AP$16:$AP$115,【７】建物及び構築物!$E$16:$E$115,"[19]用水路")</f>
        <v>0</v>
      </c>
    </row>
    <row r="7" spans="2:15" ht="30" customHeight="1">
      <c r="B7" s="1999"/>
      <c r="C7" s="1999"/>
      <c r="D7" s="2000" t="s">
        <v>591</v>
      </c>
      <c r="E7" s="2000"/>
      <c r="F7" s="2000"/>
      <c r="G7" s="2000"/>
      <c r="H7" s="2000"/>
      <c r="I7" s="2000"/>
      <c r="J7" s="2000"/>
      <c r="K7" s="2000"/>
      <c r="L7" s="2000"/>
      <c r="M7" s="2000"/>
      <c r="N7" s="806"/>
      <c r="O7" s="807">
        <f>SUMIFS(【７】建物及び構築物!$AP$16:$AP$115,【７】建物及び構築物!$E$16:$E$115,"[16]暗きょ排水施設")</f>
        <v>0</v>
      </c>
    </row>
    <row r="8" spans="2:15" ht="30" customHeight="1">
      <c r="B8" s="1999"/>
      <c r="C8" s="1999"/>
      <c r="D8" s="2000" t="s">
        <v>592</v>
      </c>
      <c r="E8" s="2000"/>
      <c r="F8" s="2000"/>
      <c r="G8" s="2000"/>
      <c r="H8" s="2000"/>
      <c r="I8" s="2000"/>
      <c r="J8" s="2000"/>
      <c r="K8" s="2000"/>
      <c r="L8" s="2000"/>
      <c r="M8" s="2000"/>
      <c r="N8" s="806"/>
      <c r="O8" s="807">
        <f>SUMIFS(【７】建物及び構築物!$AP$16:$AP$115,【７】建物及び構築物!$E$16:$E$115,"[15]コンクリートけい畔")</f>
        <v>0</v>
      </c>
    </row>
    <row r="9" spans="2:15" ht="30" customHeight="1">
      <c r="B9" s="1999"/>
      <c r="C9" s="1999"/>
      <c r="D9" s="2000" t="s">
        <v>593</v>
      </c>
      <c r="E9" s="2000"/>
      <c r="F9" s="2000"/>
      <c r="G9" s="2000"/>
      <c r="H9" s="2000"/>
      <c r="I9" s="2000"/>
      <c r="J9" s="2000"/>
      <c r="K9" s="2000"/>
      <c r="L9" s="2000"/>
      <c r="M9" s="2000"/>
      <c r="N9" s="806"/>
      <c r="O9" s="807">
        <f>SUMIFS(【７】建物及び構築物!$AP$16:$AP$115,【７】建物及び構築物!$E$16:$E$115,"[17]客土")</f>
        <v>0</v>
      </c>
    </row>
    <row r="10" spans="2:15" ht="30" customHeight="1">
      <c r="B10" s="1999"/>
      <c r="C10" s="1999"/>
      <c r="D10" s="2000" t="s">
        <v>594</v>
      </c>
      <c r="E10" s="2000"/>
      <c r="F10" s="2000"/>
      <c r="G10" s="2000"/>
      <c r="H10" s="2000"/>
      <c r="I10" s="2000"/>
      <c r="J10" s="2000"/>
      <c r="K10" s="2000"/>
      <c r="L10" s="2000"/>
      <c r="M10" s="2000"/>
      <c r="N10" s="806"/>
      <c r="O10" s="807">
        <f>SUMIFS(【７】建物及び構築物!$AP$16:$AP$115,【７】建物及び構築物!$E$16:$E$115,"[25]たい肥盤")</f>
        <v>0</v>
      </c>
    </row>
    <row r="11" spans="2:15" ht="30" customHeight="1">
      <c r="B11" s="1999"/>
      <c r="C11" s="1999"/>
      <c r="D11" s="2000" t="s">
        <v>595</v>
      </c>
      <c r="E11" s="2000"/>
      <c r="F11" s="2000"/>
      <c r="G11" s="2000"/>
      <c r="H11" s="2000"/>
      <c r="I11" s="2000"/>
      <c r="J11" s="2000"/>
      <c r="K11" s="2000"/>
      <c r="L11" s="2000"/>
      <c r="M11" s="2000"/>
      <c r="N11" s="806"/>
      <c r="O11" s="807">
        <f>SUM(SUMIFS(【７】建物及び構築物!$AP$16:$AP$115,【７】建物及び構築物!$E$16:$E$115,{"[02]事務所","[04]作業場","[08]車庫","[11]ライスセンター","[12]育苗ハウス","[13]その他の建築物","[14]稲架","[18]作業道","[31]その他の構築物"}))</f>
        <v>0</v>
      </c>
    </row>
    <row r="12" spans="2:15" ht="30" customHeight="1">
      <c r="B12" s="1999"/>
      <c r="C12" s="1999"/>
      <c r="D12" s="2001" t="s">
        <v>596</v>
      </c>
      <c r="E12" s="2002"/>
      <c r="F12" s="2002"/>
      <c r="G12" s="2002"/>
      <c r="H12" s="2002"/>
      <c r="I12" s="2002"/>
      <c r="J12" s="2002"/>
      <c r="K12" s="2002"/>
      <c r="L12" s="2002"/>
      <c r="M12" s="2003"/>
      <c r="N12" s="806"/>
      <c r="O12" s="807">
        <f>SUM(O4:O11)</f>
        <v>0</v>
      </c>
    </row>
    <row r="13" spans="2:15" ht="30" customHeight="1">
      <c r="B13" s="1999"/>
      <c r="C13" s="1999"/>
      <c r="D13" s="808"/>
      <c r="E13" s="808"/>
      <c r="F13" s="808"/>
      <c r="G13" s="2004" t="s">
        <v>597</v>
      </c>
      <c r="H13" s="2005"/>
      <c r="I13" s="2005"/>
      <c r="J13" s="2005"/>
      <c r="K13" s="2005"/>
      <c r="L13" s="2005"/>
      <c r="M13" s="2006"/>
      <c r="N13" s="806"/>
      <c r="O13" s="807">
        <f>【７】建物及び構築物!AQ13</f>
        <v>0</v>
      </c>
    </row>
    <row r="14" spans="2:15" ht="30" customHeight="1">
      <c r="B14" s="1999" t="s">
        <v>598</v>
      </c>
      <c r="C14" s="1999"/>
      <c r="D14" s="2000" t="s">
        <v>599</v>
      </c>
      <c r="E14" s="2000"/>
      <c r="F14" s="2000"/>
      <c r="G14" s="2000"/>
      <c r="H14" s="2000"/>
      <c r="I14" s="2000"/>
      <c r="J14" s="2000"/>
      <c r="K14" s="2000"/>
      <c r="L14" s="2000"/>
      <c r="M14" s="2000"/>
      <c r="N14" s="809">
        <f>SUMIFS(【８】自動車!$AW$18:$AW$117,【８】自動車!$E$18:$E$117,"[1]貨物自動車")</f>
        <v>0</v>
      </c>
      <c r="O14" s="807">
        <f>SUMIFS(【８】自動車!$AM$18:$AM$117,【８】自動車!$E$18:$E$117,"[1]貨物自動車")</f>
        <v>0</v>
      </c>
    </row>
    <row r="15" spans="2:15" ht="30" customHeight="1">
      <c r="B15" s="1999"/>
      <c r="C15" s="1999"/>
      <c r="D15" s="2000" t="s">
        <v>595</v>
      </c>
      <c r="E15" s="2000"/>
      <c r="F15" s="2000"/>
      <c r="G15" s="2000"/>
      <c r="H15" s="2000"/>
      <c r="I15" s="2000"/>
      <c r="J15" s="2000"/>
      <c r="K15" s="2000"/>
      <c r="L15" s="2000"/>
      <c r="M15" s="2000"/>
      <c r="N15" s="806"/>
      <c r="O15" s="807">
        <f>SUMIFS(【８】自動車!$AM$18:$AM$117,【８】自動車!$E$18:$E$117,"[2]その他の自動車")</f>
        <v>0</v>
      </c>
    </row>
    <row r="16" spans="2:15" ht="30" customHeight="1">
      <c r="B16" s="1999"/>
      <c r="C16" s="1999"/>
      <c r="D16" s="2001" t="s">
        <v>596</v>
      </c>
      <c r="E16" s="2002"/>
      <c r="F16" s="2002"/>
      <c r="G16" s="2002"/>
      <c r="H16" s="2002"/>
      <c r="I16" s="2002"/>
      <c r="J16" s="2002"/>
      <c r="K16" s="2002"/>
      <c r="L16" s="2002"/>
      <c r="M16" s="2003"/>
      <c r="N16" s="806"/>
      <c r="O16" s="807">
        <f>SUM(O14:O15)</f>
        <v>0</v>
      </c>
    </row>
    <row r="17" spans="2:15" ht="30" customHeight="1">
      <c r="B17" s="1999"/>
      <c r="C17" s="1999"/>
      <c r="D17" s="808"/>
      <c r="E17" s="808"/>
      <c r="F17" s="808"/>
      <c r="G17" s="2007" t="s">
        <v>600</v>
      </c>
      <c r="H17" s="2008"/>
      <c r="I17" s="2008"/>
      <c r="J17" s="2008"/>
      <c r="K17" s="2008"/>
      <c r="L17" s="2008"/>
      <c r="M17" s="2009"/>
      <c r="N17" s="806"/>
      <c r="O17" s="807">
        <f>【８】自動車!AN17</f>
        <v>0</v>
      </c>
    </row>
    <row r="18" spans="2:15" ht="30" hidden="1" customHeight="1">
      <c r="B18" s="1999" t="s">
        <v>601</v>
      </c>
      <c r="C18" s="1999"/>
      <c r="D18" s="2000" t="s">
        <v>602</v>
      </c>
      <c r="E18" s="2000"/>
      <c r="F18" s="2000"/>
      <c r="G18" s="2000"/>
      <c r="H18" s="2000"/>
      <c r="I18" s="2000"/>
      <c r="J18" s="2000"/>
      <c r="K18" s="2000"/>
      <c r="L18" s="2000"/>
      <c r="M18" s="2000"/>
      <c r="N18" s="809">
        <f>SUMIFS(【９】農業機械!$AY$17:$AY$116,【９】農業機械!$E$17:$E$116,"[01]電動機")</f>
        <v>0</v>
      </c>
      <c r="O18" s="807">
        <f>SUMIFS(【９】農業機械!$AP$17:$AP$116,【９】農業機械!$E$17:$E$116,"[01]電動機")</f>
        <v>0</v>
      </c>
    </row>
    <row r="19" spans="2:15" ht="30" hidden="1" customHeight="1">
      <c r="B19" s="1999"/>
      <c r="C19" s="1999"/>
      <c r="D19" s="2000" t="s">
        <v>603</v>
      </c>
      <c r="E19" s="2000"/>
      <c r="F19" s="2000"/>
      <c r="G19" s="2000"/>
      <c r="H19" s="2000"/>
      <c r="I19" s="2000"/>
      <c r="J19" s="2000"/>
      <c r="K19" s="2000"/>
      <c r="L19" s="2000"/>
      <c r="M19" s="2000"/>
      <c r="N19" s="809">
        <f>SUMIFS(【９】農業機械!$AY$17:$AY$116,【９】農業機械!$E$17:$E$116,"[02]発動機")</f>
        <v>0</v>
      </c>
      <c r="O19" s="807">
        <f>SUMIFS(【９】農業機械!$AP$17:$AP$116,【９】農業機械!$E$17:$E$116,"[02]発動機")</f>
        <v>0</v>
      </c>
    </row>
    <row r="20" spans="2:15" ht="30" hidden="1" customHeight="1">
      <c r="B20" s="1999"/>
      <c r="C20" s="1999"/>
      <c r="D20" s="2000" t="s">
        <v>604</v>
      </c>
      <c r="E20" s="2000"/>
      <c r="F20" s="2000"/>
      <c r="G20" s="2000"/>
      <c r="H20" s="2000"/>
      <c r="I20" s="2000"/>
      <c r="J20" s="2000"/>
      <c r="K20" s="2000"/>
      <c r="L20" s="2000"/>
      <c r="M20" s="2000"/>
      <c r="N20" s="809">
        <f>SUMIFS(【９】農業機械!$AY$17:$AY$116,【９】農業機械!$E$17:$E$116,"[15]揚水ポンプ")</f>
        <v>0</v>
      </c>
      <c r="O20" s="807">
        <f>SUMIFS(【９】農業機械!$AP$17:$AP$116,【９】農業機械!$E$17:$E$116,"[15]揚水ポンプ")</f>
        <v>0</v>
      </c>
    </row>
    <row r="21" spans="2:15" ht="30" customHeight="1">
      <c r="B21" s="1999"/>
      <c r="C21" s="1999"/>
      <c r="D21" s="2011" t="s">
        <v>605</v>
      </c>
      <c r="E21" s="2011"/>
      <c r="F21" s="2011"/>
      <c r="G21" s="2000" t="s">
        <v>606</v>
      </c>
      <c r="H21" s="2000"/>
      <c r="I21" s="2000"/>
      <c r="J21" s="2000"/>
      <c r="K21" s="2000"/>
      <c r="L21" s="2000"/>
      <c r="M21" s="2000"/>
      <c r="N21" s="809">
        <f>SUM(SUMIFS(【９】農業機械!$AY$17:$AY$116,【９】農業機械!$E$17:$E$116,"[04]乗用トラクター",【９】農業機械!$F$17:$F$116,"[1]２０馬力未満"))</f>
        <v>0</v>
      </c>
      <c r="O21" s="807">
        <f>SUM(SUMIFS(【９】農業機械!$AP$17:$AP$116,【９】農業機械!$E$17:$E$116,"[04]乗用トラクター",【９】農業機械!$F$17:$F$116,"[1]２０馬力未満"))</f>
        <v>0</v>
      </c>
    </row>
    <row r="22" spans="2:15" ht="30" customHeight="1">
      <c r="B22" s="1999"/>
      <c r="C22" s="1999"/>
      <c r="D22" s="2011"/>
      <c r="E22" s="2011"/>
      <c r="F22" s="2011"/>
      <c r="G22" s="2000" t="s">
        <v>607</v>
      </c>
      <c r="H22" s="2000"/>
      <c r="I22" s="2000"/>
      <c r="J22" s="2000"/>
      <c r="K22" s="2000"/>
      <c r="L22" s="2000"/>
      <c r="M22" s="2000"/>
      <c r="N22" s="809">
        <f>SUM(SUMIFS(【９】農業機械!$AY$17:$AY$116,【９】農業機械!$E$17:$E$116,"[04]乗用トラクター",【９】農業機械!$F$17:$F$116,"[2]２０～５０馬力未満"))</f>
        <v>0</v>
      </c>
      <c r="O22" s="807">
        <f>SUM(SUMIFS(【９】農業機械!$AP$17:$AP$116,【９】農業機械!$E$17:$E$116,"[04]乗用トラクター",【９】農業機械!$F$17:$F$116,"[2]２０～５０馬力未満"))</f>
        <v>0</v>
      </c>
    </row>
    <row r="23" spans="2:15" ht="30" customHeight="1">
      <c r="B23" s="1999"/>
      <c r="C23" s="1999"/>
      <c r="D23" s="2011"/>
      <c r="E23" s="2011"/>
      <c r="F23" s="2011"/>
      <c r="G23" s="2000" t="s">
        <v>608</v>
      </c>
      <c r="H23" s="2000"/>
      <c r="I23" s="2000"/>
      <c r="J23" s="2000"/>
      <c r="K23" s="2000"/>
      <c r="L23" s="2000"/>
      <c r="M23" s="2000"/>
      <c r="N23" s="809">
        <f>SUM(SUMIFS(【９】農業機械!$AY$17:$AY$116,【９】農業機械!$E$17:$E$116,"[04]乗用トラクター",【９】農業機械!$F$17:$F$116,"[3]５０馬力以上"))</f>
        <v>0</v>
      </c>
      <c r="O23" s="807">
        <f>SUM(SUMIFS(【９】農業機械!$AP$17:$AP$116,【９】農業機械!$E$17:$E$116,"[04]乗用トラクター",【９】農業機械!$F$17:$F$116,"[3]５０馬力以上"))</f>
        <v>0</v>
      </c>
    </row>
    <row r="24" spans="2:15" ht="30" customHeight="1">
      <c r="B24" s="1999"/>
      <c r="C24" s="1999"/>
      <c r="D24" s="2011" t="s">
        <v>609</v>
      </c>
      <c r="E24" s="2011"/>
      <c r="F24" s="2011"/>
      <c r="G24" s="2011"/>
      <c r="H24" s="2011"/>
      <c r="I24" s="2011"/>
      <c r="J24" s="2011"/>
      <c r="K24" s="2011"/>
      <c r="L24" s="2011"/>
      <c r="M24" s="2011"/>
      <c r="N24" s="809">
        <f>SUMIFS(【９】農業機械!$AY$17:$AY$116,【９】農業機械!$E$17:$E$116,"[03]歩行用トラクター")</f>
        <v>0</v>
      </c>
      <c r="O24" s="807">
        <f>SUMIFS(【９】農業機械!$AP$17:$AP$116,【９】農業機械!$E$17:$E$116,"[03]歩行用トラクター")</f>
        <v>0</v>
      </c>
    </row>
    <row r="25" spans="2:15" ht="30" hidden="1" customHeight="1">
      <c r="B25" s="1999"/>
      <c r="C25" s="1999"/>
      <c r="D25" s="2000" t="s">
        <v>610</v>
      </c>
      <c r="E25" s="2000"/>
      <c r="F25" s="2000"/>
      <c r="G25" s="2000"/>
      <c r="H25" s="2000"/>
      <c r="I25" s="2000"/>
      <c r="J25" s="2000"/>
      <c r="K25" s="2000"/>
      <c r="L25" s="2000"/>
      <c r="M25" s="2000"/>
      <c r="N25" s="809">
        <f>SUMIFS(【９】農業機械!$AY$17:$AY$116,【９】農業機械!$E$17:$E$116,"[12]電熱育苗機")</f>
        <v>0</v>
      </c>
      <c r="O25" s="807">
        <f>SUMIFS(【９】農業機械!$AP$17:$AP$116,【９】農業機械!$E$17:$E$116,"[12]電熱育苗機")</f>
        <v>0</v>
      </c>
    </row>
    <row r="26" spans="2:15" ht="30" hidden="1" customHeight="1">
      <c r="B26" s="1999"/>
      <c r="C26" s="1999"/>
      <c r="D26" s="2000" t="s">
        <v>611</v>
      </c>
      <c r="E26" s="2000"/>
      <c r="F26" s="2000"/>
      <c r="G26" s="2000" t="s">
        <v>612</v>
      </c>
      <c r="H26" s="2000"/>
      <c r="I26" s="2000"/>
      <c r="J26" s="2000"/>
      <c r="K26" s="2000"/>
      <c r="L26" s="2000"/>
      <c r="M26" s="2000"/>
      <c r="N26" s="809">
        <f>SUM(SUMIFS(【９】農業機械!$AY$17:$AY$116,【９】農業機械!$E$17:$E$116,"[13]田植機",【９】農業機械!$F$17:$F$116,"[1]２条植"))</f>
        <v>0</v>
      </c>
      <c r="O26" s="807">
        <f>SUM(SUMIFS(【９】農業機械!$AP$17:$AP$116,【９】農業機械!$E$17:$E$116,"[13]田植機",【９】農業機械!$F$17:$F$116,"[1]２条植"))</f>
        <v>0</v>
      </c>
    </row>
    <row r="27" spans="2:15" ht="30" hidden="1" customHeight="1">
      <c r="B27" s="1999"/>
      <c r="C27" s="1999"/>
      <c r="D27" s="2000"/>
      <c r="E27" s="2000"/>
      <c r="F27" s="2000"/>
      <c r="G27" s="2000" t="s">
        <v>613</v>
      </c>
      <c r="H27" s="2000"/>
      <c r="I27" s="2000"/>
      <c r="J27" s="2000"/>
      <c r="K27" s="2000"/>
      <c r="L27" s="2000"/>
      <c r="M27" s="2000"/>
      <c r="N27" s="809">
        <f>SUM(SUMIFS(【９】農業機械!$AY$17:$AY$116,【９】農業機械!$E$17:$E$116,"[13]田植機",【９】農業機械!$F$17:$F$116,"[2]３～５条植"))</f>
        <v>0</v>
      </c>
      <c r="O27" s="807">
        <f>SUM(SUMIFS(【９】農業機械!$AP$17:$AP$116,【９】農業機械!$E$17:$E$116,"[13]田植機",【９】農業機械!$F$17:$F$116,"[2]３～５条植"))</f>
        <v>0</v>
      </c>
    </row>
    <row r="28" spans="2:15" ht="30" hidden="1" customHeight="1">
      <c r="B28" s="1999"/>
      <c r="C28" s="1999"/>
      <c r="D28" s="2000"/>
      <c r="E28" s="2000"/>
      <c r="F28" s="2000"/>
      <c r="G28" s="2000" t="s">
        <v>614</v>
      </c>
      <c r="H28" s="2000"/>
      <c r="I28" s="2000"/>
      <c r="J28" s="2000"/>
      <c r="K28" s="2000"/>
      <c r="L28" s="2000"/>
      <c r="M28" s="2000"/>
      <c r="N28" s="809">
        <f>SUM(SUMIFS(【９】農業機械!$AY$17:$AY$116,【９】農業機械!$E$17:$E$116,"[13]田植機",【９】農業機械!$F$17:$F$116,"[3]６条植以上"))</f>
        <v>0</v>
      </c>
      <c r="O28" s="807">
        <f>SUM(SUMIFS(【９】農業機械!$AP$17:$AP$116,【９】農業機械!$E$17:$E$116,"[13]田植機",【９】農業機械!$F$17:$F$116,"[3]６条植以上"))</f>
        <v>0</v>
      </c>
    </row>
    <row r="29" spans="2:15" ht="30" customHeight="1">
      <c r="B29" s="1999"/>
      <c r="C29" s="1999"/>
      <c r="D29" s="2000" t="s">
        <v>615</v>
      </c>
      <c r="E29" s="2000"/>
      <c r="F29" s="2000"/>
      <c r="G29" s="2000"/>
      <c r="H29" s="2000"/>
      <c r="I29" s="2000"/>
      <c r="J29" s="2000"/>
      <c r="K29" s="2000"/>
      <c r="L29" s="2000"/>
      <c r="M29" s="2000"/>
      <c r="N29" s="809">
        <f>SUMIFS(【９】農業機械!$AY$17:$AY$116,【９】農業機械!$E$17:$E$116,"[08]たい肥等散布機")</f>
        <v>0</v>
      </c>
      <c r="O29" s="807">
        <f>SUMIFS(【９】農業機械!$AP$17:$AP$116,【９】農業機械!$E$17:$E$116,"[08]たい肥等散布機")</f>
        <v>0</v>
      </c>
    </row>
    <row r="30" spans="2:15" ht="30" customHeight="1">
      <c r="B30" s="1999"/>
      <c r="C30" s="1999"/>
      <c r="D30" s="2000" t="s">
        <v>616</v>
      </c>
      <c r="E30" s="2000"/>
      <c r="F30" s="2000"/>
      <c r="G30" s="2000"/>
      <c r="H30" s="2000"/>
      <c r="I30" s="2000"/>
      <c r="J30" s="2000"/>
      <c r="K30" s="2000"/>
      <c r="L30" s="2000"/>
      <c r="M30" s="2000"/>
      <c r="N30" s="809">
        <f>SUMIFS(【９】農業機械!$AY$17:$AY$116,【９】農業機械!$E$17:$E$116,"[10]総合は種機")</f>
        <v>0</v>
      </c>
      <c r="O30" s="807">
        <f>SUMIFS(【９】農業機械!$AP$17:$AP$116,【９】農業機械!$E$17:$E$116,"[10]総合は種機")</f>
        <v>0</v>
      </c>
    </row>
    <row r="31" spans="2:15" ht="30" hidden="1" customHeight="1">
      <c r="B31" s="1999"/>
      <c r="C31" s="1999"/>
      <c r="D31" s="2000" t="s">
        <v>617</v>
      </c>
      <c r="E31" s="2000"/>
      <c r="F31" s="2000"/>
      <c r="G31" s="2000"/>
      <c r="H31" s="2000"/>
      <c r="I31" s="2000"/>
      <c r="J31" s="2000"/>
      <c r="K31" s="2000"/>
      <c r="L31" s="2000"/>
      <c r="M31" s="2000"/>
      <c r="N31" s="809">
        <f>SUMIFS(【９】農業機械!$AY$17:$AY$116,【９】農業機械!$E$17:$E$116,"[14]移植機")</f>
        <v>0</v>
      </c>
      <c r="O31" s="807">
        <f>SUMIFS(【９】農業機械!$AP$17:$AP$116,【９】農業機械!$E$17:$E$116,"[14]移植機")</f>
        <v>0</v>
      </c>
    </row>
    <row r="32" spans="2:15" ht="30" customHeight="1">
      <c r="B32" s="1999"/>
      <c r="C32" s="1999"/>
      <c r="D32" s="2000" t="s">
        <v>618</v>
      </c>
      <c r="E32" s="2000"/>
      <c r="F32" s="2000"/>
      <c r="G32" s="2000"/>
      <c r="H32" s="2000"/>
      <c r="I32" s="2000"/>
      <c r="J32" s="2000"/>
      <c r="K32" s="2000"/>
      <c r="L32" s="2000"/>
      <c r="M32" s="2000"/>
      <c r="N32" s="809">
        <f>SUMIFS(【９】農業機械!$AY$17:$AY$116,【９】農業機械!$E$17:$E$116,"[16]中耕除草機")</f>
        <v>0</v>
      </c>
      <c r="O32" s="807">
        <f>SUMIFS(【９】農業機械!$AP$17:$AP$116,【９】農業機械!$E$17:$E$116,"[16]中耕除草機")</f>
        <v>0</v>
      </c>
    </row>
    <row r="33" spans="2:15" ht="30" customHeight="1">
      <c r="B33" s="1999"/>
      <c r="C33" s="1999"/>
      <c r="D33" s="2000" t="s">
        <v>619</v>
      </c>
      <c r="E33" s="2000"/>
      <c r="F33" s="2000"/>
      <c r="G33" s="2000"/>
      <c r="H33" s="2000"/>
      <c r="I33" s="2000"/>
      <c r="J33" s="2000"/>
      <c r="K33" s="2000"/>
      <c r="L33" s="2000"/>
      <c r="M33" s="2000"/>
      <c r="N33" s="809">
        <f>SUMIFS(【９】農業機械!$AY$17:$AY$116,【９】農業機械!$E$17:$E$116,"[09]肥料散布機")</f>
        <v>0</v>
      </c>
      <c r="O33" s="807">
        <f>SUMIFS(【９】農業機械!$AP$17:$AP$116,【９】農業機械!$E$17:$E$116,"[09]肥料散布機")</f>
        <v>0</v>
      </c>
    </row>
    <row r="34" spans="2:15" ht="30" customHeight="1">
      <c r="B34" s="1999"/>
      <c r="C34" s="1999"/>
      <c r="D34" s="2000" t="s">
        <v>620</v>
      </c>
      <c r="E34" s="2000"/>
      <c r="F34" s="2000"/>
      <c r="G34" s="2000"/>
      <c r="H34" s="2000"/>
      <c r="I34" s="2000"/>
      <c r="J34" s="2000"/>
      <c r="K34" s="2000"/>
      <c r="L34" s="2000"/>
      <c r="M34" s="2000"/>
      <c r="N34" s="809">
        <f>SUMIFS(【９】農業機械!$AY$17:$AY$116,【９】農業機械!$E$17:$E$116,"[17]動力噴霧機")</f>
        <v>0</v>
      </c>
      <c r="O34" s="807">
        <f>SUMIFS(【９】農業機械!$AP$17:$AP$116,【９】農業機械!$E$17:$E$116,"[17]動力噴霧機")</f>
        <v>0</v>
      </c>
    </row>
    <row r="35" spans="2:15" ht="30" customHeight="1">
      <c r="B35" s="1999"/>
      <c r="C35" s="1999"/>
      <c r="D35" s="2000" t="s">
        <v>621</v>
      </c>
      <c r="E35" s="2000"/>
      <c r="F35" s="2000"/>
      <c r="G35" s="2000"/>
      <c r="H35" s="2000"/>
      <c r="I35" s="2000"/>
      <c r="J35" s="2000"/>
      <c r="K35" s="2000"/>
      <c r="L35" s="2000"/>
      <c r="M35" s="2000"/>
      <c r="N35" s="809">
        <f>SUMIFS(【９】農業機械!$AY$17:$AY$116,【９】農業機械!$E$17:$E$116,"[18]動力散粉機")</f>
        <v>0</v>
      </c>
      <c r="O35" s="807">
        <f>SUMIFS(【９】農業機械!$AP$17:$AP$116,【９】農業機械!$E$17:$E$116,"[18]動力散粉機")</f>
        <v>0</v>
      </c>
    </row>
    <row r="36" spans="2:15" ht="30" hidden="1" customHeight="1">
      <c r="B36" s="1999"/>
      <c r="C36" s="1999"/>
      <c r="D36" s="2000" t="s">
        <v>622</v>
      </c>
      <c r="E36" s="2000"/>
      <c r="F36" s="2000"/>
      <c r="G36" s="2000"/>
      <c r="H36" s="2000"/>
      <c r="I36" s="2000"/>
      <c r="J36" s="2000"/>
      <c r="K36" s="2000"/>
      <c r="L36" s="2000"/>
      <c r="M36" s="2000"/>
      <c r="N36" s="809">
        <f>SUMIFS(【９】農業機械!$AY$17:$AY$116,【９】農業機械!$E$17:$E$116,"[19]バインダー")</f>
        <v>0</v>
      </c>
      <c r="O36" s="807">
        <f>SUMIFS(【９】農業機械!$AP$17:$AP$116,【９】農業機械!$E$17:$E$116,"[19]バインダー")</f>
        <v>0</v>
      </c>
    </row>
    <row r="37" spans="2:15" ht="30" customHeight="1">
      <c r="B37" s="1999"/>
      <c r="C37" s="1999"/>
      <c r="D37" s="2012" t="s">
        <v>623</v>
      </c>
      <c r="E37" s="2013"/>
      <c r="F37" s="2013"/>
      <c r="G37" s="2000" t="s">
        <v>624</v>
      </c>
      <c r="H37" s="2000"/>
      <c r="I37" s="2000"/>
      <c r="J37" s="2000"/>
      <c r="K37" s="2000"/>
      <c r="L37" s="2000"/>
      <c r="M37" s="2000"/>
      <c r="N37" s="809">
        <f>SUM(SUMIFS(【９】農業機械!$AY$17:$AY$116,【９】農業機械!$E$17:$E$116,"[20]自脱型コンバイン",【９】農業機械!$F$17:$F$116,"[1]３条刈以下"))</f>
        <v>0</v>
      </c>
      <c r="O37" s="807">
        <f>SUM(SUMIFS(【９】農業機械!$AP$17:$AP$116,【９】農業機械!$E$17:$E$116,"[20]自脱型コンバイン",【９】農業機械!$F$17:$F$116,"[1]３条刈以下"))</f>
        <v>0</v>
      </c>
    </row>
    <row r="38" spans="2:15" ht="30" customHeight="1">
      <c r="B38" s="1999"/>
      <c r="C38" s="1999"/>
      <c r="D38" s="2013"/>
      <c r="E38" s="2013"/>
      <c r="F38" s="2013"/>
      <c r="G38" s="2000" t="s">
        <v>625</v>
      </c>
      <c r="H38" s="2000"/>
      <c r="I38" s="2000"/>
      <c r="J38" s="2000"/>
      <c r="K38" s="2000"/>
      <c r="L38" s="2000"/>
      <c r="M38" s="2000"/>
      <c r="N38" s="809">
        <f>SUM(SUMIFS(【９】農業機械!$AY$17:$AY$116,【９】農業機械!$E$17:$E$116,"[20]自脱型コンバイン",【９】農業機械!$F$17:$F$116,"[2]４条刈以上"))</f>
        <v>0</v>
      </c>
      <c r="O38" s="807">
        <f>SUM(SUMIFS(【９】農業機械!$AP$17:$AP$116,【９】農業機械!$E$17:$E$116,"[20]自脱型コンバイン",【９】農業機械!$F$17:$F$116,"[2]４条刈以上"))</f>
        <v>0</v>
      </c>
    </row>
    <row r="39" spans="2:15" ht="30" customHeight="1">
      <c r="B39" s="1999"/>
      <c r="C39" s="1999"/>
      <c r="D39" s="2000" t="s">
        <v>626</v>
      </c>
      <c r="E39" s="2000"/>
      <c r="F39" s="2000"/>
      <c r="G39" s="2000"/>
      <c r="H39" s="2000"/>
      <c r="I39" s="2000"/>
      <c r="J39" s="2000"/>
      <c r="K39" s="2000"/>
      <c r="L39" s="2000"/>
      <c r="M39" s="2000"/>
      <c r="N39" s="809">
        <f>SUMIFS(【９】農業機械!$AY$17:$AY$116,【９】農業機械!$E$17:$E$116,"[21]普通型コンバイン")</f>
        <v>0</v>
      </c>
      <c r="O39" s="807">
        <f>SUMIFS(【９】農業機械!$AP$17:$AP$116,【９】農業機械!$E$17:$E$116,"[21]普通型コンバイン")</f>
        <v>0</v>
      </c>
    </row>
    <row r="40" spans="2:15" ht="30" customHeight="1">
      <c r="B40" s="1999"/>
      <c r="C40" s="1999"/>
      <c r="D40" s="2000" t="s">
        <v>627</v>
      </c>
      <c r="E40" s="2000"/>
      <c r="F40" s="2000"/>
      <c r="G40" s="2000"/>
      <c r="H40" s="2000"/>
      <c r="I40" s="2000"/>
      <c r="J40" s="2000"/>
      <c r="K40" s="2000"/>
      <c r="L40" s="2000"/>
      <c r="M40" s="2000"/>
      <c r="N40" s="809">
        <f>SUM(SUMIFS(【９】農業機械!$AY$17:$AY$116,【９】農業機械!$E$17:$E$116,{"[22]そば収穫機","[23]大豆収穫機","[24]かんしょ収穫機","[25]ばれいしょ収穫機","[26]なたね収穫機","[27]てんさい収穫機","[28]さとうきび収穫機"}))</f>
        <v>0</v>
      </c>
      <c r="O40" s="807">
        <f>SUM(SUMIFS(【９】農業機械!$AP$17:$AP$116,【９】農業機械!$E$17:$E$116,{"[22]そば収穫機","[23]大豆収穫機","[24]かんしょ収穫機","[25]ばれいしょ収穫機","[26]なたね収穫機","[27]てんさい収穫機","[28]さとうきび収穫機"}))</f>
        <v>0</v>
      </c>
    </row>
    <row r="41" spans="2:15" ht="30" customHeight="1">
      <c r="B41" s="1999"/>
      <c r="C41" s="1999"/>
      <c r="D41" s="2000" t="s">
        <v>628</v>
      </c>
      <c r="E41" s="2000"/>
      <c r="F41" s="2000"/>
      <c r="G41" s="2000"/>
      <c r="H41" s="2000"/>
      <c r="I41" s="2000"/>
      <c r="J41" s="2000"/>
      <c r="K41" s="2000"/>
      <c r="L41" s="2000"/>
      <c r="M41" s="2000"/>
      <c r="N41" s="809">
        <f>SUMIFS(【９】農業機械!$AY$17:$AY$116,【９】農業機械!$E$17:$E$116,"[29]脱穀機")</f>
        <v>0</v>
      </c>
      <c r="O41" s="807">
        <f>SUMIFS(【９】農業機械!$AP$17:$AP$116,【９】農業機械!$E$17:$E$116,"[29]脱穀機")</f>
        <v>0</v>
      </c>
    </row>
    <row r="42" spans="2:15" ht="30" hidden="1" customHeight="1">
      <c r="B42" s="1999"/>
      <c r="C42" s="1999"/>
      <c r="D42" s="2000" t="s">
        <v>629</v>
      </c>
      <c r="E42" s="2000"/>
      <c r="F42" s="2000"/>
      <c r="G42" s="2000"/>
      <c r="H42" s="2000"/>
      <c r="I42" s="2000"/>
      <c r="J42" s="2000"/>
      <c r="K42" s="2000"/>
      <c r="L42" s="2000"/>
      <c r="M42" s="2000"/>
      <c r="N42" s="809">
        <f>SUMIFS(【９】農業機械!$AY$17:$AY$116,【９】農業機械!$E$17:$E$116,"[30]きび脱葉機")</f>
        <v>0</v>
      </c>
      <c r="O42" s="807">
        <f>SUMIFS(【９】農業機械!$AP$17:$AP$116,【９】農業機械!$E$17:$E$116,"[30]きび脱葉機")</f>
        <v>0</v>
      </c>
    </row>
    <row r="43" spans="2:15" ht="30" hidden="1" customHeight="1">
      <c r="B43" s="1999"/>
      <c r="C43" s="1999"/>
      <c r="D43" s="2000" t="s">
        <v>630</v>
      </c>
      <c r="E43" s="2000"/>
      <c r="F43" s="2000"/>
      <c r="G43" s="2000"/>
      <c r="H43" s="2000"/>
      <c r="I43" s="2000"/>
      <c r="J43" s="2000"/>
      <c r="K43" s="2000"/>
      <c r="L43" s="2000"/>
      <c r="M43" s="2000"/>
      <c r="N43" s="809">
        <f>SUMIFS(【９】農業機械!$AY$17:$AY$116,【９】農業機械!$E$17:$E$116,"[32]もみすり機")</f>
        <v>0</v>
      </c>
      <c r="O43" s="807">
        <f>SUMIFS(【９】農業機械!$AP$17:$AP$116,【９】農業機械!$E$17:$E$116,"[32]もみすり機")</f>
        <v>0</v>
      </c>
    </row>
    <row r="44" spans="2:15" ht="30" hidden="1" customHeight="1">
      <c r="B44" s="1999"/>
      <c r="C44" s="1999"/>
      <c r="D44" s="2000" t="s">
        <v>631</v>
      </c>
      <c r="E44" s="2000"/>
      <c r="F44" s="2000"/>
      <c r="G44" s="2000" t="s">
        <v>632</v>
      </c>
      <c r="H44" s="2000"/>
      <c r="I44" s="2000"/>
      <c r="J44" s="2000"/>
      <c r="K44" s="2000"/>
      <c r="L44" s="2000"/>
      <c r="M44" s="2000"/>
      <c r="N44" s="809">
        <f>SUM(SUMIFS(【９】農業機械!$AY$17:$AY$116,【９】農業機械!$E$17:$E$116,"[31]乾燥機",【９】農業機械!$F$17:$F$116,"[1]静置式"))</f>
        <v>0</v>
      </c>
      <c r="O44" s="807">
        <f>SUM(SUMIFS(【９】農業機械!$AP$17:$AP$116,【９】農業機械!$E$17:$E$116,"[31]乾燥機",【９】農業機械!$F$17:$F$116,"[1]静置式"))</f>
        <v>0</v>
      </c>
    </row>
    <row r="45" spans="2:15" ht="30" hidden="1" customHeight="1">
      <c r="B45" s="1999"/>
      <c r="C45" s="1999"/>
      <c r="D45" s="2000"/>
      <c r="E45" s="2000"/>
      <c r="F45" s="2000"/>
      <c r="G45" s="2000" t="s">
        <v>633</v>
      </c>
      <c r="H45" s="2000"/>
      <c r="I45" s="2000"/>
      <c r="J45" s="2000"/>
      <c r="K45" s="2000"/>
      <c r="L45" s="2000"/>
      <c r="M45" s="2000"/>
      <c r="N45" s="809">
        <f>SUM(SUMIFS(【９】農業機械!$AY$17:$AY$116,【９】農業機械!$E$17:$E$116,"[31]乾燥機",【９】農業機械!$F$17:$F$116,"[2]循環式"))</f>
        <v>0</v>
      </c>
      <c r="O45" s="807">
        <f>SUM(SUMIFS(【９】農業機械!$AP$17:$AP$116,【９】農業機械!$E$17:$E$116,"[31]乾燥機",【９】農業機械!$F$17:$F$116,"[2]循環式"))</f>
        <v>0</v>
      </c>
    </row>
    <row r="46" spans="2:15" ht="30" customHeight="1">
      <c r="B46" s="1999"/>
      <c r="C46" s="1999"/>
      <c r="D46" s="2000" t="s">
        <v>631</v>
      </c>
      <c r="E46" s="2000"/>
      <c r="F46" s="2000"/>
      <c r="G46" s="2000"/>
      <c r="H46" s="2000"/>
      <c r="I46" s="2000"/>
      <c r="J46" s="2000"/>
      <c r="K46" s="2000"/>
      <c r="L46" s="2000"/>
      <c r="M46" s="2000"/>
      <c r="N46" s="809">
        <f>SUMIFS(【９】農業機械!$AY$17:$AY$116,【９】農業機械!$E$17:$E$116,"[31]乾燥機")</f>
        <v>0</v>
      </c>
      <c r="O46" s="807">
        <f>SUMIFS(【９】農業機械!$AP$17:$AP$116,【９】農業機械!$E$17:$E$116,"[31]乾燥機")</f>
        <v>0</v>
      </c>
    </row>
    <row r="47" spans="2:15" ht="30" customHeight="1">
      <c r="B47" s="1999"/>
      <c r="C47" s="1999"/>
      <c r="D47" s="2000" t="s">
        <v>634</v>
      </c>
      <c r="E47" s="2000"/>
      <c r="F47" s="2000"/>
      <c r="G47" s="2000"/>
      <c r="H47" s="2000"/>
      <c r="I47" s="2000"/>
      <c r="J47" s="2000"/>
      <c r="K47" s="2000"/>
      <c r="L47" s="2000"/>
      <c r="M47" s="2000"/>
      <c r="N47" s="809">
        <f>SUMIFS(【９】農業機械!$AY$17:$AY$116,【９】農業機械!$E$17:$E$116,"[54]トレーラー")</f>
        <v>0</v>
      </c>
      <c r="O47" s="807">
        <f>SUMIFS(【９】農業機械!$AP$17:$AP$116,【９】農業機械!$E$17:$E$116,"[54]トレーラー")</f>
        <v>0</v>
      </c>
    </row>
    <row r="48" spans="2:15" ht="30" customHeight="1">
      <c r="B48" s="1999"/>
      <c r="C48" s="1999"/>
      <c r="D48" s="2000" t="s">
        <v>595</v>
      </c>
      <c r="E48" s="2000"/>
      <c r="F48" s="2000"/>
      <c r="G48" s="2000"/>
      <c r="H48" s="2000"/>
      <c r="I48" s="2000"/>
      <c r="J48" s="2000"/>
      <c r="K48" s="2000"/>
      <c r="L48" s="2000"/>
      <c r="M48" s="2000"/>
      <c r="N48" s="806"/>
      <c r="O48" s="807">
        <f>SUM(SUMIFS(【９】農業機械!$AP$17:$AP$116,【９】農業機械!$E$17:$E$116,"[56]その他の農機具"))</f>
        <v>0</v>
      </c>
    </row>
    <row r="49" spans="2:15" ht="30" customHeight="1">
      <c r="B49" s="1999"/>
      <c r="C49" s="1999"/>
      <c r="D49" s="2001" t="s">
        <v>596</v>
      </c>
      <c r="E49" s="2002"/>
      <c r="F49" s="2002"/>
      <c r="G49" s="2002"/>
      <c r="H49" s="2002"/>
      <c r="I49" s="2002"/>
      <c r="J49" s="2002"/>
      <c r="K49" s="2002"/>
      <c r="L49" s="2002"/>
      <c r="M49" s="2003"/>
      <c r="N49" s="806"/>
      <c r="O49" s="807">
        <f>SUBTOTAL(109,O18:O48)</f>
        <v>0</v>
      </c>
    </row>
    <row r="50" spans="2:15" ht="30" customHeight="1">
      <c r="B50" s="2010"/>
      <c r="C50" s="2010"/>
      <c r="D50" s="808"/>
      <c r="E50" s="808"/>
      <c r="F50" s="808"/>
      <c r="G50" s="2004" t="s">
        <v>597</v>
      </c>
      <c r="H50" s="2005"/>
      <c r="I50" s="2005"/>
      <c r="J50" s="2005"/>
      <c r="K50" s="2005"/>
      <c r="L50" s="2005"/>
      <c r="M50" s="2014"/>
      <c r="N50" s="806"/>
      <c r="O50" s="807">
        <f>【９】農業機械!AQ15</f>
        <v>0</v>
      </c>
    </row>
    <row r="51" spans="2:15" ht="30" customHeight="1">
      <c r="B51" s="2015" t="s">
        <v>635</v>
      </c>
      <c r="C51" s="2016"/>
      <c r="D51" s="2016"/>
      <c r="E51" s="2016"/>
      <c r="F51" s="2016"/>
      <c r="G51" s="2016"/>
      <c r="H51" s="2016"/>
      <c r="I51" s="2016"/>
      <c r="J51" s="2016"/>
      <c r="K51" s="2016"/>
      <c r="L51" s="2016"/>
      <c r="M51" s="2017"/>
      <c r="N51" s="806"/>
      <c r="O51" s="807">
        <f>【９】農業機械!AP16</f>
        <v>0</v>
      </c>
    </row>
    <row r="52" spans="2:15" ht="30" customHeight="1">
      <c r="B52" s="810"/>
      <c r="C52" s="811"/>
      <c r="D52" s="2004" t="s">
        <v>600</v>
      </c>
      <c r="E52" s="2005"/>
      <c r="F52" s="2005"/>
      <c r="G52" s="2005"/>
      <c r="H52" s="2005"/>
      <c r="I52" s="2005"/>
      <c r="J52" s="2005"/>
      <c r="K52" s="2005"/>
      <c r="L52" s="2005"/>
      <c r="M52" s="2014"/>
      <c r="N52" s="806"/>
      <c r="O52" s="807">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70"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382</v>
      </c>
    </row>
    <row r="2" spans="1:81" ht="14.25" customHeight="1">
      <c r="A2" s="107" t="s">
        <v>636</v>
      </c>
      <c r="AO2" s="107"/>
      <c r="CA2" s="107" t="s">
        <v>636</v>
      </c>
    </row>
    <row r="3" spans="1:81" s="46" customFormat="1" ht="14.25" customHeight="1">
      <c r="B3" s="46" t="s">
        <v>637</v>
      </c>
      <c r="AJ3" s="707"/>
      <c r="AO3" s="2"/>
      <c r="AP3" s="812"/>
      <c r="AQ3" s="812"/>
      <c r="AR3" s="769"/>
      <c r="AS3" s="2"/>
      <c r="AT3" s="2"/>
      <c r="AU3" s="769"/>
      <c r="AV3" s="769"/>
      <c r="AW3" s="769"/>
      <c r="AX3" s="769"/>
      <c r="AY3" s="769"/>
      <c r="AZ3" s="627"/>
      <c r="BA3" s="627"/>
      <c r="BB3" s="627"/>
      <c r="BC3" s="627"/>
      <c r="BD3" s="627"/>
      <c r="BE3" s="627"/>
      <c r="BF3" s="627"/>
      <c r="BG3" s="627"/>
      <c r="BH3" s="627"/>
      <c r="BI3" s="627"/>
      <c r="BJ3" s="627"/>
      <c r="BK3" s="627"/>
      <c r="BL3" s="627"/>
      <c r="BM3" s="627"/>
      <c r="BN3" s="627"/>
      <c r="BO3" s="627"/>
      <c r="BP3" s="627"/>
      <c r="BQ3" s="2"/>
      <c r="BR3" s="2"/>
      <c r="BS3" s="2"/>
      <c r="BT3" s="2"/>
      <c r="BU3" s="2"/>
      <c r="BV3" s="2"/>
      <c r="BW3" s="2"/>
      <c r="BX3" s="707"/>
    </row>
    <row r="4" spans="1:81" s="46" customFormat="1" ht="14.25" customHeight="1">
      <c r="B4" s="58" t="s">
        <v>638</v>
      </c>
      <c r="AJ4" s="707"/>
      <c r="AO4" s="2"/>
      <c r="AP4" s="812"/>
      <c r="AQ4" s="812"/>
      <c r="AR4" s="769"/>
      <c r="AS4" s="2"/>
      <c r="AT4" s="2"/>
      <c r="AU4" s="769"/>
      <c r="AV4" s="769"/>
      <c r="AW4" s="769"/>
      <c r="AX4" s="769"/>
      <c r="AY4" s="769"/>
      <c r="AZ4" s="627"/>
      <c r="BA4" s="627"/>
      <c r="BB4" s="627"/>
      <c r="BC4" s="627"/>
      <c r="BD4" s="627"/>
      <c r="BE4" s="627"/>
      <c r="BF4" s="627"/>
      <c r="BG4" s="627"/>
      <c r="BH4" s="627"/>
      <c r="BI4" s="627"/>
      <c r="BJ4" s="627"/>
      <c r="BK4" s="627"/>
      <c r="BL4" s="627"/>
      <c r="BM4" s="627"/>
      <c r="BN4" s="627"/>
      <c r="BO4" s="627"/>
      <c r="BP4" s="627"/>
      <c r="BQ4" s="2"/>
      <c r="BR4" s="2"/>
      <c r="BS4" s="2"/>
      <c r="BT4" s="2"/>
      <c r="BU4" s="2"/>
      <c r="BV4" s="2"/>
      <c r="BW4" s="2"/>
      <c r="BX4" s="707"/>
    </row>
    <row r="5" spans="1:81" s="46" customFormat="1" ht="14.25" customHeight="1">
      <c r="AJ5" s="707"/>
      <c r="AO5" s="2"/>
      <c r="AP5" s="812"/>
      <c r="AQ5" s="812"/>
      <c r="AR5" s="769"/>
      <c r="AS5" s="2"/>
      <c r="AT5" s="2"/>
      <c r="AU5" s="769"/>
      <c r="AV5" s="769"/>
      <c r="AW5" s="769"/>
      <c r="AX5" s="769"/>
      <c r="AY5" s="769"/>
      <c r="AZ5" s="627"/>
      <c r="BA5" s="627"/>
      <c r="BB5" s="627"/>
      <c r="BC5" s="627"/>
      <c r="BD5" s="627"/>
      <c r="BE5" s="627"/>
      <c r="BF5" s="627"/>
      <c r="BG5" s="627"/>
      <c r="BH5" s="627"/>
      <c r="BI5" s="627"/>
      <c r="BJ5" s="627"/>
      <c r="BK5" s="627"/>
      <c r="BL5" s="627"/>
      <c r="BM5" s="627"/>
      <c r="BN5" s="627"/>
      <c r="BO5" s="627"/>
      <c r="BP5" s="627"/>
      <c r="BQ5" s="2"/>
      <c r="BR5" s="2"/>
      <c r="BS5" s="2"/>
      <c r="BT5" s="2"/>
      <c r="BU5" s="2"/>
      <c r="BV5" s="2"/>
      <c r="BW5" s="2"/>
      <c r="BX5" s="707"/>
    </row>
    <row r="6" spans="1:81" s="46" customFormat="1" ht="14.25" customHeight="1">
      <c r="AJ6" s="707"/>
      <c r="AO6" s="2"/>
      <c r="AP6" s="812"/>
      <c r="AQ6" s="812"/>
      <c r="AR6" s="769"/>
      <c r="AS6" s="769"/>
      <c r="AT6" s="769"/>
      <c r="AU6" s="769"/>
      <c r="AV6" s="769"/>
      <c r="AW6" s="769"/>
      <c r="AX6" s="769"/>
      <c r="AY6" s="769"/>
      <c r="AZ6" s="627"/>
      <c r="BA6" s="627"/>
      <c r="BB6" s="627"/>
      <c r="BC6" s="627"/>
      <c r="BD6" s="627"/>
      <c r="BE6" s="627"/>
      <c r="BF6" s="627"/>
      <c r="BG6" s="627"/>
      <c r="BH6" s="627"/>
      <c r="BI6" s="627"/>
      <c r="BJ6" s="627"/>
      <c r="BK6" s="627"/>
      <c r="BL6" s="627"/>
      <c r="BM6" s="627"/>
      <c r="BN6" s="627"/>
      <c r="BO6" s="627"/>
      <c r="BP6" s="627"/>
      <c r="BQ6" s="2"/>
      <c r="BR6" s="2"/>
      <c r="BS6" s="2"/>
      <c r="BT6" s="2"/>
      <c r="BU6" s="2"/>
      <c r="BV6" s="2"/>
      <c r="BW6" s="2"/>
      <c r="BX6" s="707"/>
    </row>
    <row r="7" spans="1:81" s="46" customFormat="1" ht="14.25" customHeight="1">
      <c r="AJ7" s="707"/>
      <c r="AO7" s="2"/>
      <c r="AP7" s="812"/>
      <c r="AQ7" s="812"/>
      <c r="AR7" s="769"/>
      <c r="AS7" s="769"/>
      <c r="AT7" s="769"/>
      <c r="AU7" s="769"/>
      <c r="AV7" s="769"/>
      <c r="AW7" s="769"/>
      <c r="AX7" s="769"/>
      <c r="AY7" s="769"/>
      <c r="AZ7" s="627"/>
      <c r="BA7" s="627"/>
      <c r="BB7" s="627"/>
      <c r="BC7" s="627"/>
      <c r="BD7" s="627"/>
      <c r="BE7" s="627"/>
      <c r="BF7" s="627"/>
      <c r="BG7" s="627"/>
      <c r="BH7" s="627"/>
      <c r="BI7" s="627"/>
      <c r="BJ7" s="627"/>
      <c r="BK7" s="627"/>
      <c r="BL7" s="627"/>
      <c r="BM7" s="627"/>
      <c r="BN7" s="627"/>
      <c r="BO7" s="627"/>
      <c r="BP7" s="627"/>
      <c r="BQ7" s="2"/>
      <c r="BR7" s="2"/>
      <c r="BS7" s="2"/>
      <c r="BT7" s="2"/>
      <c r="BU7" s="2"/>
      <c r="BV7" s="2"/>
      <c r="BW7" s="2"/>
      <c r="BX7" s="707"/>
    </row>
    <row r="8" spans="1:81" s="46" customFormat="1" ht="14.25" customHeight="1">
      <c r="AJ8" s="707"/>
      <c r="AO8" s="2"/>
      <c r="AP8" s="812"/>
      <c r="AQ8" s="812"/>
      <c r="AR8" s="769"/>
      <c r="AS8" s="769"/>
      <c r="AT8" s="769"/>
      <c r="AU8" s="769"/>
      <c r="AV8" s="769"/>
      <c r="AW8" s="769"/>
      <c r="AX8" s="769"/>
      <c r="AY8" s="769"/>
      <c r="AZ8" s="627"/>
      <c r="BA8" s="627"/>
      <c r="BB8" s="627"/>
      <c r="BC8" s="627"/>
      <c r="BD8" s="627"/>
      <c r="BE8" s="627"/>
      <c r="BF8" s="627"/>
      <c r="BG8" s="627"/>
      <c r="BH8" s="627"/>
      <c r="BI8" s="627"/>
      <c r="BJ8" s="627"/>
      <c r="BK8" s="627"/>
      <c r="BL8" s="627"/>
      <c r="BM8" s="627"/>
      <c r="BN8" s="627"/>
      <c r="BO8" s="627"/>
      <c r="BP8" s="627"/>
      <c r="BQ8" s="2"/>
      <c r="BR8" s="2"/>
      <c r="BS8" s="2"/>
      <c r="BT8" s="2"/>
      <c r="BU8" s="2"/>
      <c r="BV8" s="2"/>
      <c r="BW8" s="2"/>
      <c r="BX8" s="707"/>
    </row>
    <row r="9" spans="1:81" ht="14.25" customHeight="1">
      <c r="A9" s="107"/>
      <c r="AP9" s="812"/>
      <c r="AQ9" s="812"/>
      <c r="AR9" s="769"/>
      <c r="AS9" s="769"/>
      <c r="AT9" s="769"/>
      <c r="AU9" s="769"/>
      <c r="AV9" s="769"/>
      <c r="AW9" s="769"/>
      <c r="AX9" s="769"/>
      <c r="AY9" s="769"/>
      <c r="AZ9" s="627"/>
      <c r="BA9" s="627"/>
      <c r="BB9" s="627"/>
      <c r="BC9" s="627"/>
      <c r="BD9" s="627"/>
      <c r="BE9" s="627"/>
      <c r="BF9" s="627"/>
      <c r="BG9" s="627"/>
      <c r="BH9" s="627"/>
      <c r="BI9" s="627"/>
      <c r="BJ9" s="627"/>
      <c r="BK9" s="627"/>
      <c r="BL9" s="627"/>
      <c r="BM9" s="627"/>
      <c r="BN9" s="627"/>
      <c r="BO9" s="627"/>
      <c r="BP9" s="627"/>
    </row>
    <row r="10" spans="1:81" ht="14.25" customHeight="1" thickBot="1">
      <c r="A10" s="107"/>
      <c r="AP10" s="812"/>
      <c r="AQ10" s="812"/>
      <c r="AR10" s="769"/>
      <c r="AS10" s="769"/>
      <c r="AT10" s="769"/>
      <c r="AU10" s="769"/>
      <c r="AV10" s="769"/>
      <c r="AW10" s="769"/>
      <c r="AX10" s="769"/>
      <c r="AY10" s="769"/>
      <c r="AZ10" s="627"/>
      <c r="BA10" s="627"/>
      <c r="BB10" s="627"/>
      <c r="BC10" s="627"/>
      <c r="BD10" s="627"/>
      <c r="BE10" s="627"/>
      <c r="BF10" s="627"/>
      <c r="BG10" s="627"/>
      <c r="BH10" s="627"/>
      <c r="BI10" s="627"/>
      <c r="BJ10" s="627"/>
      <c r="BK10" s="627"/>
      <c r="BL10" s="627"/>
      <c r="BM10" s="627"/>
      <c r="BN10" s="627"/>
      <c r="BO10" s="627"/>
      <c r="BP10" s="627"/>
    </row>
    <row r="11" spans="1:81" ht="14.1" customHeight="1">
      <c r="B11" s="813"/>
      <c r="C11" s="814"/>
      <c r="D11" s="1654" t="s">
        <v>639</v>
      </c>
      <c r="E11" s="1654"/>
      <c r="F11" s="1654"/>
      <c r="G11" s="1654"/>
      <c r="H11" s="1654"/>
      <c r="I11" s="1654"/>
      <c r="J11" s="1654"/>
      <c r="K11" s="1654"/>
      <c r="L11" s="1654"/>
      <c r="M11" s="1654"/>
      <c r="N11" s="815"/>
      <c r="O11" s="816"/>
      <c r="P11" s="2028" t="s">
        <v>211</v>
      </c>
      <c r="Q11" s="2028"/>
      <c r="R11" s="2028"/>
      <c r="S11" s="2028"/>
      <c r="T11" s="2028"/>
      <c r="U11" s="2028"/>
      <c r="V11" s="817"/>
      <c r="W11" s="1154" t="s">
        <v>301</v>
      </c>
      <c r="X11" s="1543"/>
      <c r="Y11" s="1544"/>
      <c r="Z11" s="1213" t="s">
        <v>210</v>
      </c>
      <c r="AA11" s="1213"/>
      <c r="AB11" s="1213"/>
      <c r="AC11" s="1213"/>
      <c r="AD11" s="1213"/>
      <c r="AE11" s="1213"/>
      <c r="AF11" s="1213"/>
      <c r="AG11" s="1213"/>
      <c r="AH11" s="1213"/>
      <c r="AI11" s="1410"/>
      <c r="AJ11" s="818"/>
      <c r="AK11" s="127"/>
      <c r="AL11" s="127"/>
      <c r="AM11" s="127"/>
      <c r="AN11" s="127"/>
      <c r="AP11" s="813"/>
      <c r="AQ11" s="814"/>
      <c r="AR11" s="1654" t="s">
        <v>639</v>
      </c>
      <c r="AS11" s="1654"/>
      <c r="AT11" s="1654"/>
      <c r="AU11" s="1654"/>
      <c r="AV11" s="1654"/>
      <c r="AW11" s="1654"/>
      <c r="AX11" s="1654"/>
      <c r="AY11" s="1654"/>
      <c r="AZ11" s="1654"/>
      <c r="BA11" s="1654"/>
      <c r="BB11" s="815"/>
      <c r="BC11" s="816"/>
      <c r="BD11" s="2028" t="s">
        <v>211</v>
      </c>
      <c r="BE11" s="2028"/>
      <c r="BF11" s="2028"/>
      <c r="BG11" s="2028"/>
      <c r="BH11" s="2028"/>
      <c r="BI11" s="2028"/>
      <c r="BJ11" s="817"/>
      <c r="BK11" s="1154" t="s">
        <v>301</v>
      </c>
      <c r="BL11" s="1543"/>
      <c r="BM11" s="1544"/>
      <c r="BN11" s="1213" t="s">
        <v>210</v>
      </c>
      <c r="BO11" s="1213"/>
      <c r="BP11" s="1213"/>
      <c r="BQ11" s="1213"/>
      <c r="BR11" s="1213"/>
      <c r="BS11" s="1213"/>
      <c r="BT11" s="1213"/>
      <c r="BU11" s="1213"/>
      <c r="BV11" s="1213"/>
      <c r="BW11" s="1410"/>
      <c r="CB11" s="2018" t="s">
        <v>639</v>
      </c>
      <c r="CC11" s="2019" t="s">
        <v>211</v>
      </c>
    </row>
    <row r="12" spans="1:81" ht="14.1" customHeight="1">
      <c r="B12" s="819"/>
      <c r="C12" s="146"/>
      <c r="D12" s="1655"/>
      <c r="E12" s="1655"/>
      <c r="F12" s="1655"/>
      <c r="G12" s="1655"/>
      <c r="H12" s="1655"/>
      <c r="I12" s="1655"/>
      <c r="J12" s="1655"/>
      <c r="K12" s="1655"/>
      <c r="L12" s="1655"/>
      <c r="M12" s="1655"/>
      <c r="N12" s="560"/>
      <c r="O12" s="147"/>
      <c r="P12" s="1096"/>
      <c r="Q12" s="1096"/>
      <c r="R12" s="1096"/>
      <c r="S12" s="1096"/>
      <c r="T12" s="1096"/>
      <c r="U12" s="1096"/>
      <c r="V12" s="820"/>
      <c r="W12" s="1545"/>
      <c r="X12" s="1546"/>
      <c r="Y12" s="1547"/>
      <c r="Z12" s="1216"/>
      <c r="AA12" s="1216"/>
      <c r="AB12" s="1216"/>
      <c r="AC12" s="1216"/>
      <c r="AD12" s="1216"/>
      <c r="AE12" s="1216"/>
      <c r="AF12" s="1216"/>
      <c r="AG12" s="1216"/>
      <c r="AH12" s="1216"/>
      <c r="AI12" s="1256"/>
      <c r="AJ12" s="818"/>
      <c r="AK12" s="127"/>
      <c r="AL12" s="127"/>
      <c r="AM12" s="127"/>
      <c r="AN12" s="127"/>
      <c r="AP12" s="819"/>
      <c r="AQ12" s="146"/>
      <c r="AR12" s="1655"/>
      <c r="AS12" s="1655"/>
      <c r="AT12" s="1655"/>
      <c r="AU12" s="1655"/>
      <c r="AV12" s="1655"/>
      <c r="AW12" s="1655"/>
      <c r="AX12" s="1655"/>
      <c r="AY12" s="1655"/>
      <c r="AZ12" s="1655"/>
      <c r="BA12" s="1655"/>
      <c r="BB12" s="560"/>
      <c r="BC12" s="147"/>
      <c r="BD12" s="1096"/>
      <c r="BE12" s="1096"/>
      <c r="BF12" s="1096"/>
      <c r="BG12" s="1096"/>
      <c r="BH12" s="1096"/>
      <c r="BI12" s="1096"/>
      <c r="BJ12" s="820"/>
      <c r="BK12" s="1545"/>
      <c r="BL12" s="1546"/>
      <c r="BM12" s="1547"/>
      <c r="BN12" s="1216"/>
      <c r="BO12" s="1216"/>
      <c r="BP12" s="1216"/>
      <c r="BQ12" s="1216"/>
      <c r="BR12" s="1216"/>
      <c r="BS12" s="1216"/>
      <c r="BT12" s="1216"/>
      <c r="BU12" s="1216"/>
      <c r="BV12" s="1216"/>
      <c r="BW12" s="1256"/>
      <c r="CB12" s="2018"/>
      <c r="CC12" s="2019"/>
    </row>
    <row r="13" spans="1:81" ht="14.1" customHeight="1" thickBot="1">
      <c r="B13" s="821"/>
      <c r="C13" s="168"/>
      <c r="D13" s="1404"/>
      <c r="E13" s="1404"/>
      <c r="F13" s="1404"/>
      <c r="G13" s="1404"/>
      <c r="H13" s="1404"/>
      <c r="I13" s="1404"/>
      <c r="J13" s="1404"/>
      <c r="K13" s="1404"/>
      <c r="L13" s="1404"/>
      <c r="M13" s="1404"/>
      <c r="N13" s="822"/>
      <c r="O13" s="147"/>
      <c r="P13" s="1096"/>
      <c r="Q13" s="1096"/>
      <c r="R13" s="1096"/>
      <c r="S13" s="1096"/>
      <c r="T13" s="1096"/>
      <c r="U13" s="1096"/>
      <c r="V13" s="820"/>
      <c r="W13" s="2029"/>
      <c r="X13" s="2030"/>
      <c r="Y13" s="2031"/>
      <c r="Z13" s="1219"/>
      <c r="AA13" s="1219"/>
      <c r="AB13" s="1219"/>
      <c r="AC13" s="1219"/>
      <c r="AD13" s="1219"/>
      <c r="AE13" s="1219"/>
      <c r="AF13" s="1219"/>
      <c r="AG13" s="1219"/>
      <c r="AH13" s="1219"/>
      <c r="AI13" s="1248"/>
      <c r="AJ13" s="818"/>
      <c r="AK13" s="127"/>
      <c r="AL13" s="127"/>
      <c r="AM13" s="127"/>
      <c r="AN13" s="127"/>
      <c r="AP13" s="821"/>
      <c r="AQ13" s="168"/>
      <c r="AR13" s="1404"/>
      <c r="AS13" s="1404"/>
      <c r="AT13" s="1404"/>
      <c r="AU13" s="1404"/>
      <c r="AV13" s="1404"/>
      <c r="AW13" s="1404"/>
      <c r="AX13" s="1404"/>
      <c r="AY13" s="1404"/>
      <c r="AZ13" s="1404"/>
      <c r="BA13" s="1404"/>
      <c r="BB13" s="822"/>
      <c r="BC13" s="147"/>
      <c r="BD13" s="1096"/>
      <c r="BE13" s="1096"/>
      <c r="BF13" s="1096"/>
      <c r="BG13" s="1096"/>
      <c r="BH13" s="1096"/>
      <c r="BI13" s="1096"/>
      <c r="BJ13" s="820"/>
      <c r="BK13" s="2029"/>
      <c r="BL13" s="2030"/>
      <c r="BM13" s="2031"/>
      <c r="BN13" s="1219"/>
      <c r="BO13" s="1219"/>
      <c r="BP13" s="1219"/>
      <c r="BQ13" s="1219"/>
      <c r="BR13" s="1219"/>
      <c r="BS13" s="1219"/>
      <c r="BT13" s="1219"/>
      <c r="BU13" s="1219"/>
      <c r="BV13" s="1219"/>
      <c r="BW13" s="1248"/>
      <c r="CB13" s="2018"/>
      <c r="CC13" s="2019"/>
    </row>
    <row r="14" spans="1:81" ht="30" customHeight="1" thickTop="1" thickBot="1">
      <c r="B14" s="2020" t="s">
        <v>640</v>
      </c>
      <c r="C14" s="2021"/>
      <c r="D14" s="823"/>
      <c r="E14" s="816"/>
      <c r="F14" s="816"/>
      <c r="G14" s="1147" t="s">
        <v>272</v>
      </c>
      <c r="H14" s="1147"/>
      <c r="I14" s="1147"/>
      <c r="J14" s="1147"/>
      <c r="K14" s="816"/>
      <c r="L14" s="816"/>
      <c r="M14" s="816"/>
      <c r="N14" s="147"/>
      <c r="O14" s="1758"/>
      <c r="P14" s="1759"/>
      <c r="Q14" s="1759"/>
      <c r="R14" s="1759"/>
      <c r="S14" s="1759"/>
      <c r="T14" s="1759"/>
      <c r="U14" s="1759"/>
      <c r="V14" s="1760"/>
      <c r="W14" s="1761"/>
      <c r="X14" s="1762"/>
      <c r="Y14" s="1763"/>
      <c r="Z14" s="2024" t="s">
        <v>641</v>
      </c>
      <c r="AA14" s="2024"/>
      <c r="AB14" s="2024"/>
      <c r="AC14" s="2024"/>
      <c r="AD14" s="2024"/>
      <c r="AE14" s="2024"/>
      <c r="AF14" s="2024"/>
      <c r="AG14" s="2024"/>
      <c r="AH14" s="2024"/>
      <c r="AI14" s="2025"/>
      <c r="AJ14" s="824"/>
      <c r="AK14" s="128"/>
      <c r="AL14" s="128"/>
      <c r="AM14" s="128"/>
      <c r="AN14" s="128"/>
      <c r="AP14" s="2020" t="s">
        <v>642</v>
      </c>
      <c r="AQ14" s="2021"/>
      <c r="AR14" s="823"/>
      <c r="AS14" s="816"/>
      <c r="AT14" s="816"/>
      <c r="AU14" s="1147" t="s">
        <v>272</v>
      </c>
      <c r="AV14" s="1147"/>
      <c r="AW14" s="1147"/>
      <c r="AX14" s="1147"/>
      <c r="AY14" s="816"/>
      <c r="AZ14" s="816"/>
      <c r="BA14" s="816"/>
      <c r="BB14" s="825"/>
      <c r="BC14" s="1758"/>
      <c r="BD14" s="1759"/>
      <c r="BE14" s="1759"/>
      <c r="BF14" s="1759"/>
      <c r="BG14" s="1759"/>
      <c r="BH14" s="1759"/>
      <c r="BI14" s="1759"/>
      <c r="BJ14" s="1760"/>
      <c r="BK14" s="1761"/>
      <c r="BL14" s="1762"/>
      <c r="BM14" s="1763"/>
      <c r="BN14" s="2024" t="s">
        <v>643</v>
      </c>
      <c r="BO14" s="2024"/>
      <c r="BP14" s="2024"/>
      <c r="BQ14" s="2024"/>
      <c r="BR14" s="2024"/>
      <c r="BS14" s="2024"/>
      <c r="BT14" s="2024"/>
      <c r="BU14" s="2024"/>
      <c r="BV14" s="2024"/>
      <c r="BW14" s="2025"/>
      <c r="BX14" s="824"/>
      <c r="CB14" s="826" t="s">
        <v>644</v>
      </c>
      <c r="CC14" s="233">
        <f>IF(OR(O14="",O14=0),SUMPRODUCT(O15:O114,W15:W114)/100,(O14*W14)/100)</f>
        <v>0</v>
      </c>
    </row>
    <row r="15" spans="1:81" ht="27.95" customHeight="1" thickTop="1">
      <c r="B15" s="1347"/>
      <c r="C15" s="2022"/>
      <c r="D15" s="1615"/>
      <c r="E15" s="1616"/>
      <c r="F15" s="1616"/>
      <c r="G15" s="1616"/>
      <c r="H15" s="1616"/>
      <c r="I15" s="1616"/>
      <c r="J15" s="1616"/>
      <c r="K15" s="1616"/>
      <c r="L15" s="1616"/>
      <c r="M15" s="1616"/>
      <c r="N15" s="1617"/>
      <c r="O15" s="2032"/>
      <c r="P15" s="2033"/>
      <c r="Q15" s="2033"/>
      <c r="R15" s="2033"/>
      <c r="S15" s="2033"/>
      <c r="T15" s="2033"/>
      <c r="U15" s="2033"/>
      <c r="V15" s="2034"/>
      <c r="W15" s="2035"/>
      <c r="X15" s="2036"/>
      <c r="Y15" s="2037"/>
      <c r="Z15" s="1542"/>
      <c r="AA15" s="1542"/>
      <c r="AB15" s="1542"/>
      <c r="AC15" s="1542"/>
      <c r="AD15" s="1542"/>
      <c r="AE15" s="1542"/>
      <c r="AF15" s="1542"/>
      <c r="AG15" s="1542"/>
      <c r="AH15" s="1542"/>
      <c r="AI15" s="2026"/>
      <c r="AJ15" s="824"/>
      <c r="AK15" s="128"/>
      <c r="AL15" s="128"/>
      <c r="AM15" s="128"/>
      <c r="AN15" s="128"/>
      <c r="AP15" s="1347"/>
      <c r="AQ15" s="2022"/>
      <c r="AR15" s="1615"/>
      <c r="AS15" s="1616"/>
      <c r="AT15" s="1616"/>
      <c r="AU15" s="1616"/>
      <c r="AV15" s="1616"/>
      <c r="AW15" s="1616"/>
      <c r="AX15" s="1616"/>
      <c r="AY15" s="1616"/>
      <c r="AZ15" s="1616"/>
      <c r="BA15" s="1616"/>
      <c r="BB15" s="1617"/>
      <c r="BC15" s="2032"/>
      <c r="BD15" s="2033"/>
      <c r="BE15" s="2033"/>
      <c r="BF15" s="2033"/>
      <c r="BG15" s="2033"/>
      <c r="BH15" s="2033"/>
      <c r="BI15" s="2033"/>
      <c r="BJ15" s="2034"/>
      <c r="BK15" s="2035"/>
      <c r="BL15" s="2036"/>
      <c r="BM15" s="2037"/>
      <c r="BN15" s="1542"/>
      <c r="BO15" s="1542"/>
      <c r="BP15" s="1542"/>
      <c r="BQ15" s="1542"/>
      <c r="BR15" s="1542"/>
      <c r="BS15" s="1542"/>
      <c r="BT15" s="1542"/>
      <c r="BU15" s="1542"/>
      <c r="BV15" s="1542"/>
      <c r="BW15" s="2026"/>
      <c r="BX15" s="824"/>
      <c r="CB15" s="826" t="s">
        <v>645</v>
      </c>
      <c r="CC15" s="233">
        <f>IF(OR(BC14="",BC14=0),SUMPRODUCT(BC15:BC114,BK15:BK114)/100,(BC14*BK14)/100)</f>
        <v>0</v>
      </c>
    </row>
    <row r="16" spans="1:81" ht="27.95" customHeight="1">
      <c r="B16" s="1347"/>
      <c r="C16" s="2022"/>
      <c r="D16" s="1615"/>
      <c r="E16" s="1616"/>
      <c r="F16" s="1616"/>
      <c r="G16" s="1616"/>
      <c r="H16" s="1616"/>
      <c r="I16" s="1616"/>
      <c r="J16" s="1616"/>
      <c r="K16" s="1616"/>
      <c r="L16" s="1616"/>
      <c r="M16" s="1616"/>
      <c r="N16" s="1617"/>
      <c r="O16" s="2038"/>
      <c r="P16" s="2039"/>
      <c r="Q16" s="2039"/>
      <c r="R16" s="2039"/>
      <c r="S16" s="2039"/>
      <c r="T16" s="2039"/>
      <c r="U16" s="2039"/>
      <c r="V16" s="2040"/>
      <c r="W16" s="1618"/>
      <c r="X16" s="1619"/>
      <c r="Y16" s="1620"/>
      <c r="Z16" s="1542"/>
      <c r="AA16" s="1542"/>
      <c r="AB16" s="1542"/>
      <c r="AC16" s="1542"/>
      <c r="AD16" s="1542"/>
      <c r="AE16" s="1542"/>
      <c r="AF16" s="1542"/>
      <c r="AG16" s="1542"/>
      <c r="AH16" s="1542"/>
      <c r="AI16" s="2026"/>
      <c r="AJ16" s="824"/>
      <c r="AK16" s="128"/>
      <c r="AL16" s="128"/>
      <c r="AM16" s="128"/>
      <c r="AN16" s="128"/>
      <c r="AP16" s="1347"/>
      <c r="AQ16" s="2022"/>
      <c r="AR16" s="1615"/>
      <c r="AS16" s="1616"/>
      <c r="AT16" s="1616"/>
      <c r="AU16" s="1616"/>
      <c r="AV16" s="1616"/>
      <c r="AW16" s="1616"/>
      <c r="AX16" s="1616"/>
      <c r="AY16" s="1616"/>
      <c r="AZ16" s="1616"/>
      <c r="BA16" s="1616"/>
      <c r="BB16" s="1617"/>
      <c r="BC16" s="2041"/>
      <c r="BD16" s="2042"/>
      <c r="BE16" s="2042"/>
      <c r="BF16" s="2042"/>
      <c r="BG16" s="2042"/>
      <c r="BH16" s="2042"/>
      <c r="BI16" s="2042"/>
      <c r="BJ16" s="2043"/>
      <c r="BK16" s="1618"/>
      <c r="BL16" s="1619"/>
      <c r="BM16" s="1620"/>
      <c r="BN16" s="1542"/>
      <c r="BO16" s="1542"/>
      <c r="BP16" s="1542"/>
      <c r="BQ16" s="1542"/>
      <c r="BR16" s="1542"/>
      <c r="BS16" s="1542"/>
      <c r="BT16" s="1542"/>
      <c r="BU16" s="1542"/>
      <c r="BV16" s="1542"/>
      <c r="BW16" s="2026"/>
      <c r="BX16" s="824"/>
    </row>
    <row r="17" spans="1:76" ht="27.95" customHeight="1">
      <c r="B17" s="1347"/>
      <c r="C17" s="2022"/>
      <c r="D17" s="1615"/>
      <c r="E17" s="1616"/>
      <c r="F17" s="1616"/>
      <c r="G17" s="1616"/>
      <c r="H17" s="1616"/>
      <c r="I17" s="1616"/>
      <c r="J17" s="1616"/>
      <c r="K17" s="1616"/>
      <c r="L17" s="1616"/>
      <c r="M17" s="1616"/>
      <c r="N17" s="1617"/>
      <c r="O17" s="2038"/>
      <c r="P17" s="2039"/>
      <c r="Q17" s="2039"/>
      <c r="R17" s="2039"/>
      <c r="S17" s="2039"/>
      <c r="T17" s="2039"/>
      <c r="U17" s="2039"/>
      <c r="V17" s="2040"/>
      <c r="W17" s="1618"/>
      <c r="X17" s="1619"/>
      <c r="Y17" s="1620"/>
      <c r="Z17" s="1542"/>
      <c r="AA17" s="1542"/>
      <c r="AB17" s="1542"/>
      <c r="AC17" s="1542"/>
      <c r="AD17" s="1542"/>
      <c r="AE17" s="1542"/>
      <c r="AF17" s="1542"/>
      <c r="AG17" s="1542"/>
      <c r="AH17" s="1542"/>
      <c r="AI17" s="2026"/>
      <c r="AJ17" s="824"/>
      <c r="AK17" s="128"/>
      <c r="AL17" s="128"/>
      <c r="AM17" s="128"/>
      <c r="AN17" s="128"/>
      <c r="AP17" s="1347"/>
      <c r="AQ17" s="2022"/>
      <c r="AR17" s="1615"/>
      <c r="AS17" s="1616"/>
      <c r="AT17" s="1616"/>
      <c r="AU17" s="1616"/>
      <c r="AV17" s="1616"/>
      <c r="AW17" s="1616"/>
      <c r="AX17" s="1616"/>
      <c r="AY17" s="1616"/>
      <c r="AZ17" s="1616"/>
      <c r="BA17" s="1616"/>
      <c r="BB17" s="1617"/>
      <c r="BC17" s="2041"/>
      <c r="BD17" s="2042"/>
      <c r="BE17" s="2042"/>
      <c r="BF17" s="2042"/>
      <c r="BG17" s="2042"/>
      <c r="BH17" s="2042"/>
      <c r="BI17" s="2042"/>
      <c r="BJ17" s="2043"/>
      <c r="BK17" s="1618"/>
      <c r="BL17" s="1619"/>
      <c r="BM17" s="1620"/>
      <c r="BN17" s="1542"/>
      <c r="BO17" s="1542"/>
      <c r="BP17" s="1542"/>
      <c r="BQ17" s="1542"/>
      <c r="BR17" s="1542"/>
      <c r="BS17" s="1542"/>
      <c r="BT17" s="1542"/>
      <c r="BU17" s="1542"/>
      <c r="BV17" s="1542"/>
      <c r="BW17" s="2026"/>
      <c r="BX17" s="824"/>
    </row>
    <row r="18" spans="1:76" ht="27.95" customHeight="1">
      <c r="B18" s="1347"/>
      <c r="C18" s="2022"/>
      <c r="D18" s="1615"/>
      <c r="E18" s="1616"/>
      <c r="F18" s="1616"/>
      <c r="G18" s="1616"/>
      <c r="H18" s="1616"/>
      <c r="I18" s="1616"/>
      <c r="J18" s="1616"/>
      <c r="K18" s="1616"/>
      <c r="L18" s="1616"/>
      <c r="M18" s="1616"/>
      <c r="N18" s="1617"/>
      <c r="O18" s="2038"/>
      <c r="P18" s="2039"/>
      <c r="Q18" s="2039"/>
      <c r="R18" s="2039"/>
      <c r="S18" s="2039"/>
      <c r="T18" s="2039"/>
      <c r="U18" s="2039"/>
      <c r="V18" s="2040"/>
      <c r="W18" s="1618"/>
      <c r="X18" s="1619"/>
      <c r="Y18" s="1620"/>
      <c r="Z18" s="1542"/>
      <c r="AA18" s="1542"/>
      <c r="AB18" s="1542"/>
      <c r="AC18" s="1542"/>
      <c r="AD18" s="1542"/>
      <c r="AE18" s="1542"/>
      <c r="AF18" s="1542"/>
      <c r="AG18" s="1542"/>
      <c r="AH18" s="1542"/>
      <c r="AI18" s="2026"/>
      <c r="AJ18" s="824"/>
      <c r="AK18" s="128"/>
      <c r="AL18" s="128"/>
      <c r="AM18" s="128"/>
      <c r="AN18" s="128"/>
      <c r="AP18" s="1347"/>
      <c r="AQ18" s="2022"/>
      <c r="AR18" s="1615"/>
      <c r="AS18" s="1616"/>
      <c r="AT18" s="1616"/>
      <c r="AU18" s="1616"/>
      <c r="AV18" s="1616"/>
      <c r="AW18" s="1616"/>
      <c r="AX18" s="1616"/>
      <c r="AY18" s="1616"/>
      <c r="AZ18" s="1616"/>
      <c r="BA18" s="1616"/>
      <c r="BB18" s="1617"/>
      <c r="BC18" s="2041"/>
      <c r="BD18" s="2042"/>
      <c r="BE18" s="2042"/>
      <c r="BF18" s="2042"/>
      <c r="BG18" s="2042"/>
      <c r="BH18" s="2042"/>
      <c r="BI18" s="2042"/>
      <c r="BJ18" s="2043"/>
      <c r="BK18" s="1618"/>
      <c r="BL18" s="1619"/>
      <c r="BM18" s="1620"/>
      <c r="BN18" s="1542"/>
      <c r="BO18" s="1542"/>
      <c r="BP18" s="1542"/>
      <c r="BQ18" s="1542"/>
      <c r="BR18" s="1542"/>
      <c r="BS18" s="1542"/>
      <c r="BT18" s="1542"/>
      <c r="BU18" s="1542"/>
      <c r="BV18" s="1542"/>
      <c r="BW18" s="2026"/>
      <c r="BX18" s="824"/>
    </row>
    <row r="19" spans="1:76" ht="27.95" customHeight="1">
      <c r="B19" s="1347"/>
      <c r="C19" s="2022"/>
      <c r="D19" s="1615"/>
      <c r="E19" s="1616"/>
      <c r="F19" s="1616"/>
      <c r="G19" s="1616"/>
      <c r="H19" s="1616"/>
      <c r="I19" s="1616"/>
      <c r="J19" s="1616"/>
      <c r="K19" s="1616"/>
      <c r="L19" s="1616"/>
      <c r="M19" s="1616"/>
      <c r="N19" s="1617"/>
      <c r="O19" s="2038"/>
      <c r="P19" s="2039"/>
      <c r="Q19" s="2039"/>
      <c r="R19" s="2039"/>
      <c r="S19" s="2039"/>
      <c r="T19" s="2039"/>
      <c r="U19" s="2039"/>
      <c r="V19" s="2040"/>
      <c r="W19" s="1618"/>
      <c r="X19" s="1619"/>
      <c r="Y19" s="1620"/>
      <c r="Z19" s="1542"/>
      <c r="AA19" s="1542"/>
      <c r="AB19" s="1542"/>
      <c r="AC19" s="1542"/>
      <c r="AD19" s="1542"/>
      <c r="AE19" s="1542"/>
      <c r="AF19" s="1542"/>
      <c r="AG19" s="1542"/>
      <c r="AH19" s="1542"/>
      <c r="AI19" s="2026"/>
      <c r="AJ19" s="824"/>
      <c r="AK19" s="128"/>
      <c r="AL19" s="128"/>
      <c r="AM19" s="128"/>
      <c r="AN19" s="128"/>
      <c r="AP19" s="1347"/>
      <c r="AQ19" s="2022"/>
      <c r="AR19" s="1615"/>
      <c r="AS19" s="1616"/>
      <c r="AT19" s="1616"/>
      <c r="AU19" s="1616"/>
      <c r="AV19" s="1616"/>
      <c r="AW19" s="1616"/>
      <c r="AX19" s="1616"/>
      <c r="AY19" s="1616"/>
      <c r="AZ19" s="1616"/>
      <c r="BA19" s="1616"/>
      <c r="BB19" s="1617"/>
      <c r="BC19" s="2041"/>
      <c r="BD19" s="2042"/>
      <c r="BE19" s="2042"/>
      <c r="BF19" s="2042"/>
      <c r="BG19" s="2042"/>
      <c r="BH19" s="2042"/>
      <c r="BI19" s="2042"/>
      <c r="BJ19" s="2043"/>
      <c r="BK19" s="1618"/>
      <c r="BL19" s="1619"/>
      <c r="BM19" s="1620"/>
      <c r="BN19" s="1542"/>
      <c r="BO19" s="1542"/>
      <c r="BP19" s="1542"/>
      <c r="BQ19" s="1542"/>
      <c r="BR19" s="1542"/>
      <c r="BS19" s="1542"/>
      <c r="BT19" s="1542"/>
      <c r="BU19" s="1542"/>
      <c r="BV19" s="1542"/>
      <c r="BW19" s="2026"/>
      <c r="BX19" s="824"/>
    </row>
    <row r="20" spans="1:76" ht="27.95" customHeight="1">
      <c r="B20" s="1347"/>
      <c r="C20" s="2022"/>
      <c r="D20" s="1615"/>
      <c r="E20" s="1616"/>
      <c r="F20" s="1616"/>
      <c r="G20" s="1616"/>
      <c r="H20" s="1616"/>
      <c r="I20" s="1616"/>
      <c r="J20" s="1616"/>
      <c r="K20" s="1616"/>
      <c r="L20" s="1616"/>
      <c r="M20" s="1616"/>
      <c r="N20" s="1617"/>
      <c r="O20" s="2038"/>
      <c r="P20" s="2039"/>
      <c r="Q20" s="2039"/>
      <c r="R20" s="2039"/>
      <c r="S20" s="2039"/>
      <c r="T20" s="2039"/>
      <c r="U20" s="2039"/>
      <c r="V20" s="2040"/>
      <c r="W20" s="1618"/>
      <c r="X20" s="1619"/>
      <c r="Y20" s="1620"/>
      <c r="Z20" s="1542"/>
      <c r="AA20" s="1542"/>
      <c r="AB20" s="1542"/>
      <c r="AC20" s="1542"/>
      <c r="AD20" s="1542"/>
      <c r="AE20" s="1542"/>
      <c r="AF20" s="1542"/>
      <c r="AG20" s="1542"/>
      <c r="AH20" s="1542"/>
      <c r="AI20" s="2026"/>
      <c r="AJ20" s="824"/>
      <c r="AK20" s="128"/>
      <c r="AL20" s="128"/>
      <c r="AM20" s="128"/>
      <c r="AN20" s="128"/>
      <c r="AP20" s="1347"/>
      <c r="AQ20" s="2022"/>
      <c r="AR20" s="1615"/>
      <c r="AS20" s="1616"/>
      <c r="AT20" s="1616"/>
      <c r="AU20" s="1616"/>
      <c r="AV20" s="1616"/>
      <c r="AW20" s="1616"/>
      <c r="AX20" s="1616"/>
      <c r="AY20" s="1616"/>
      <c r="AZ20" s="1616"/>
      <c r="BA20" s="1616"/>
      <c r="BB20" s="1617"/>
      <c r="BC20" s="2041"/>
      <c r="BD20" s="2042"/>
      <c r="BE20" s="2042"/>
      <c r="BF20" s="2042"/>
      <c r="BG20" s="2042"/>
      <c r="BH20" s="2042"/>
      <c r="BI20" s="2042"/>
      <c r="BJ20" s="2043"/>
      <c r="BK20" s="1618"/>
      <c r="BL20" s="1619"/>
      <c r="BM20" s="1620"/>
      <c r="BN20" s="1542"/>
      <c r="BO20" s="1542"/>
      <c r="BP20" s="1542"/>
      <c r="BQ20" s="1542"/>
      <c r="BR20" s="1542"/>
      <c r="BS20" s="1542"/>
      <c r="BT20" s="1542"/>
      <c r="BU20" s="1542"/>
      <c r="BV20" s="1542"/>
      <c r="BW20" s="2026"/>
      <c r="BX20" s="824"/>
    </row>
    <row r="21" spans="1:76" ht="27.95" customHeight="1">
      <c r="B21" s="1347"/>
      <c r="C21" s="2022"/>
      <c r="D21" s="1615"/>
      <c r="E21" s="1616"/>
      <c r="F21" s="1616"/>
      <c r="G21" s="1616"/>
      <c r="H21" s="1616"/>
      <c r="I21" s="1616"/>
      <c r="J21" s="1616"/>
      <c r="K21" s="1616"/>
      <c r="L21" s="1616"/>
      <c r="M21" s="1616"/>
      <c r="N21" s="1617"/>
      <c r="O21" s="2038"/>
      <c r="P21" s="2039"/>
      <c r="Q21" s="2039"/>
      <c r="R21" s="2039"/>
      <c r="S21" s="2039"/>
      <c r="T21" s="2039"/>
      <c r="U21" s="2039"/>
      <c r="V21" s="2040"/>
      <c r="W21" s="1618"/>
      <c r="X21" s="1619"/>
      <c r="Y21" s="1620"/>
      <c r="Z21" s="1542"/>
      <c r="AA21" s="1542"/>
      <c r="AB21" s="1542"/>
      <c r="AC21" s="1542"/>
      <c r="AD21" s="1542"/>
      <c r="AE21" s="1542"/>
      <c r="AF21" s="1542"/>
      <c r="AG21" s="1542"/>
      <c r="AH21" s="1542"/>
      <c r="AI21" s="2026"/>
      <c r="AJ21" s="824"/>
      <c r="AK21" s="128"/>
      <c r="AL21" s="128"/>
      <c r="AM21" s="128"/>
      <c r="AN21" s="128"/>
      <c r="AP21" s="1347"/>
      <c r="AQ21" s="2022"/>
      <c r="AR21" s="1615"/>
      <c r="AS21" s="1616"/>
      <c r="AT21" s="1616"/>
      <c r="AU21" s="1616"/>
      <c r="AV21" s="1616"/>
      <c r="AW21" s="1616"/>
      <c r="AX21" s="1616"/>
      <c r="AY21" s="1616"/>
      <c r="AZ21" s="1616"/>
      <c r="BA21" s="1616"/>
      <c r="BB21" s="1617"/>
      <c r="BC21" s="2041"/>
      <c r="BD21" s="2042"/>
      <c r="BE21" s="2042"/>
      <c r="BF21" s="2042"/>
      <c r="BG21" s="2042"/>
      <c r="BH21" s="2042"/>
      <c r="BI21" s="2042"/>
      <c r="BJ21" s="2043"/>
      <c r="BK21" s="1618"/>
      <c r="BL21" s="1619"/>
      <c r="BM21" s="1620"/>
      <c r="BN21" s="1542"/>
      <c r="BO21" s="1542"/>
      <c r="BP21" s="1542"/>
      <c r="BQ21" s="1542"/>
      <c r="BR21" s="1542"/>
      <c r="BS21" s="1542"/>
      <c r="BT21" s="1542"/>
      <c r="BU21" s="1542"/>
      <c r="BV21" s="1542"/>
      <c r="BW21" s="2026"/>
      <c r="BX21" s="824"/>
    </row>
    <row r="22" spans="1:76" ht="27.95" customHeight="1">
      <c r="B22" s="1347"/>
      <c r="C22" s="2022"/>
      <c r="D22" s="1615"/>
      <c r="E22" s="1616"/>
      <c r="F22" s="1616"/>
      <c r="G22" s="1616"/>
      <c r="H22" s="1616"/>
      <c r="I22" s="1616"/>
      <c r="J22" s="1616"/>
      <c r="K22" s="1616"/>
      <c r="L22" s="1616"/>
      <c r="M22" s="1616"/>
      <c r="N22" s="1617"/>
      <c r="O22" s="2038"/>
      <c r="P22" s="2039"/>
      <c r="Q22" s="2039"/>
      <c r="R22" s="2039"/>
      <c r="S22" s="2039"/>
      <c r="T22" s="2039"/>
      <c r="U22" s="2039"/>
      <c r="V22" s="2040"/>
      <c r="W22" s="1618"/>
      <c r="X22" s="1619"/>
      <c r="Y22" s="1620"/>
      <c r="Z22" s="1542"/>
      <c r="AA22" s="1542"/>
      <c r="AB22" s="1542"/>
      <c r="AC22" s="1542"/>
      <c r="AD22" s="1542"/>
      <c r="AE22" s="1542"/>
      <c r="AF22" s="1542"/>
      <c r="AG22" s="1542"/>
      <c r="AH22" s="1542"/>
      <c r="AI22" s="2026"/>
      <c r="AJ22" s="824"/>
      <c r="AK22" s="128"/>
      <c r="AL22" s="128"/>
      <c r="AM22" s="128"/>
      <c r="AN22" s="128"/>
      <c r="AP22" s="1347"/>
      <c r="AQ22" s="2022"/>
      <c r="AR22" s="1615"/>
      <c r="AS22" s="1616"/>
      <c r="AT22" s="1616"/>
      <c r="AU22" s="1616"/>
      <c r="AV22" s="1616"/>
      <c r="AW22" s="1616"/>
      <c r="AX22" s="1616"/>
      <c r="AY22" s="1616"/>
      <c r="AZ22" s="1616"/>
      <c r="BA22" s="1616"/>
      <c r="BB22" s="1617"/>
      <c r="BC22" s="2041"/>
      <c r="BD22" s="2042"/>
      <c r="BE22" s="2042"/>
      <c r="BF22" s="2042"/>
      <c r="BG22" s="2042"/>
      <c r="BH22" s="2042"/>
      <c r="BI22" s="2042"/>
      <c r="BJ22" s="2043"/>
      <c r="BK22" s="1618"/>
      <c r="BL22" s="1619"/>
      <c r="BM22" s="1620"/>
      <c r="BN22" s="1542"/>
      <c r="BO22" s="1542"/>
      <c r="BP22" s="1542"/>
      <c r="BQ22" s="1542"/>
      <c r="BR22" s="1542"/>
      <c r="BS22" s="1542"/>
      <c r="BT22" s="1542"/>
      <c r="BU22" s="1542"/>
      <c r="BV22" s="1542"/>
      <c r="BW22" s="2026"/>
      <c r="BX22" s="824"/>
    </row>
    <row r="23" spans="1:76" ht="27.95" customHeight="1">
      <c r="B23" s="1347"/>
      <c r="C23" s="2022"/>
      <c r="D23" s="1615"/>
      <c r="E23" s="1616"/>
      <c r="F23" s="1616"/>
      <c r="G23" s="1616"/>
      <c r="H23" s="1616"/>
      <c r="I23" s="1616"/>
      <c r="J23" s="1616"/>
      <c r="K23" s="1616"/>
      <c r="L23" s="1616"/>
      <c r="M23" s="1616"/>
      <c r="N23" s="1617"/>
      <c r="O23" s="2038"/>
      <c r="P23" s="2039"/>
      <c r="Q23" s="2039"/>
      <c r="R23" s="2039"/>
      <c r="S23" s="2039"/>
      <c r="T23" s="2039"/>
      <c r="U23" s="2039"/>
      <c r="V23" s="2040"/>
      <c r="W23" s="1618"/>
      <c r="X23" s="1619"/>
      <c r="Y23" s="1620"/>
      <c r="Z23" s="1542"/>
      <c r="AA23" s="1542"/>
      <c r="AB23" s="1542"/>
      <c r="AC23" s="1542"/>
      <c r="AD23" s="1542"/>
      <c r="AE23" s="1542"/>
      <c r="AF23" s="1542"/>
      <c r="AG23" s="1542"/>
      <c r="AH23" s="1542"/>
      <c r="AI23" s="2026"/>
      <c r="AJ23" s="824"/>
      <c r="AK23" s="128"/>
      <c r="AL23" s="128"/>
      <c r="AM23" s="128"/>
      <c r="AN23" s="128"/>
      <c r="AP23" s="1347"/>
      <c r="AQ23" s="2022"/>
      <c r="AR23" s="1615"/>
      <c r="AS23" s="1616"/>
      <c r="AT23" s="1616"/>
      <c r="AU23" s="1616"/>
      <c r="AV23" s="1616"/>
      <c r="AW23" s="1616"/>
      <c r="AX23" s="1616"/>
      <c r="AY23" s="1616"/>
      <c r="AZ23" s="1616"/>
      <c r="BA23" s="1616"/>
      <c r="BB23" s="1617"/>
      <c r="BC23" s="2041"/>
      <c r="BD23" s="2042"/>
      <c r="BE23" s="2042"/>
      <c r="BF23" s="2042"/>
      <c r="BG23" s="2042"/>
      <c r="BH23" s="2042"/>
      <c r="BI23" s="2042"/>
      <c r="BJ23" s="2043"/>
      <c r="BK23" s="1618"/>
      <c r="BL23" s="1619"/>
      <c r="BM23" s="1620"/>
      <c r="BN23" s="1542"/>
      <c r="BO23" s="1542"/>
      <c r="BP23" s="1542"/>
      <c r="BQ23" s="1542"/>
      <c r="BR23" s="1542"/>
      <c r="BS23" s="1542"/>
      <c r="BT23" s="1542"/>
      <c r="BU23" s="1542"/>
      <c r="BV23" s="1542"/>
      <c r="BW23" s="2026"/>
      <c r="BX23" s="824"/>
    </row>
    <row r="24" spans="1:76" ht="27.95" customHeight="1">
      <c r="B24" s="1347"/>
      <c r="C24" s="2022"/>
      <c r="D24" s="1615"/>
      <c r="E24" s="1616"/>
      <c r="F24" s="1616"/>
      <c r="G24" s="1616"/>
      <c r="H24" s="1616"/>
      <c r="I24" s="1616"/>
      <c r="J24" s="1616"/>
      <c r="K24" s="1616"/>
      <c r="L24" s="1616"/>
      <c r="M24" s="1616"/>
      <c r="N24" s="1617"/>
      <c r="O24" s="2038"/>
      <c r="P24" s="2039"/>
      <c r="Q24" s="2039"/>
      <c r="R24" s="2039"/>
      <c r="S24" s="2039"/>
      <c r="T24" s="2039"/>
      <c r="U24" s="2039"/>
      <c r="V24" s="2040"/>
      <c r="W24" s="1618"/>
      <c r="X24" s="1619"/>
      <c r="Y24" s="1620"/>
      <c r="Z24" s="1542"/>
      <c r="AA24" s="1542"/>
      <c r="AB24" s="1542"/>
      <c r="AC24" s="1542"/>
      <c r="AD24" s="1542"/>
      <c r="AE24" s="1542"/>
      <c r="AF24" s="1542"/>
      <c r="AG24" s="1542"/>
      <c r="AH24" s="1542"/>
      <c r="AI24" s="2026"/>
      <c r="AJ24" s="824"/>
      <c r="AK24" s="128"/>
      <c r="AL24" s="128"/>
      <c r="AM24" s="128"/>
      <c r="AN24" s="128"/>
      <c r="AP24" s="1347"/>
      <c r="AQ24" s="2022"/>
      <c r="AR24" s="1615"/>
      <c r="AS24" s="1616"/>
      <c r="AT24" s="1616"/>
      <c r="AU24" s="1616"/>
      <c r="AV24" s="1616"/>
      <c r="AW24" s="1616"/>
      <c r="AX24" s="1616"/>
      <c r="AY24" s="1616"/>
      <c r="AZ24" s="1616"/>
      <c r="BA24" s="1616"/>
      <c r="BB24" s="1617"/>
      <c r="BC24" s="2041"/>
      <c r="BD24" s="2042"/>
      <c r="BE24" s="2042"/>
      <c r="BF24" s="2042"/>
      <c r="BG24" s="2042"/>
      <c r="BH24" s="2042"/>
      <c r="BI24" s="2042"/>
      <c r="BJ24" s="2043"/>
      <c r="BK24" s="1618"/>
      <c r="BL24" s="1619"/>
      <c r="BM24" s="1620"/>
      <c r="BN24" s="1542"/>
      <c r="BO24" s="1542"/>
      <c r="BP24" s="1542"/>
      <c r="BQ24" s="1542"/>
      <c r="BR24" s="1542"/>
      <c r="BS24" s="1542"/>
      <c r="BT24" s="1542"/>
      <c r="BU24" s="1542"/>
      <c r="BV24" s="1542"/>
      <c r="BW24" s="2026"/>
      <c r="BX24" s="824"/>
    </row>
    <row r="25" spans="1:76" ht="27.95" customHeight="1">
      <c r="B25" s="1347"/>
      <c r="C25" s="2022"/>
      <c r="D25" s="1615"/>
      <c r="E25" s="1616"/>
      <c r="F25" s="1616"/>
      <c r="G25" s="1616"/>
      <c r="H25" s="1616"/>
      <c r="I25" s="1616"/>
      <c r="J25" s="1616"/>
      <c r="K25" s="1616"/>
      <c r="L25" s="1616"/>
      <c r="M25" s="1616"/>
      <c r="N25" s="1617"/>
      <c r="O25" s="2038"/>
      <c r="P25" s="2039"/>
      <c r="Q25" s="2039"/>
      <c r="R25" s="2039"/>
      <c r="S25" s="2039"/>
      <c r="T25" s="2039"/>
      <c r="U25" s="2039"/>
      <c r="V25" s="2040"/>
      <c r="W25" s="1618"/>
      <c r="X25" s="1619"/>
      <c r="Y25" s="1620"/>
      <c r="Z25" s="1542"/>
      <c r="AA25" s="1542"/>
      <c r="AB25" s="1542"/>
      <c r="AC25" s="1542"/>
      <c r="AD25" s="1542"/>
      <c r="AE25" s="1542"/>
      <c r="AF25" s="1542"/>
      <c r="AG25" s="1542"/>
      <c r="AH25" s="1542"/>
      <c r="AI25" s="2026"/>
      <c r="AJ25" s="824"/>
      <c r="AK25" s="128"/>
      <c r="AL25" s="128"/>
      <c r="AM25" s="128"/>
      <c r="AN25" s="128"/>
      <c r="AP25" s="1347"/>
      <c r="AQ25" s="2022"/>
      <c r="AR25" s="1615"/>
      <c r="AS25" s="1616"/>
      <c r="AT25" s="1616"/>
      <c r="AU25" s="1616"/>
      <c r="AV25" s="1616"/>
      <c r="AW25" s="1616"/>
      <c r="AX25" s="1616"/>
      <c r="AY25" s="1616"/>
      <c r="AZ25" s="1616"/>
      <c r="BA25" s="1616"/>
      <c r="BB25" s="1617"/>
      <c r="BC25" s="2041"/>
      <c r="BD25" s="2042"/>
      <c r="BE25" s="2042"/>
      <c r="BF25" s="2042"/>
      <c r="BG25" s="2042"/>
      <c r="BH25" s="2042"/>
      <c r="BI25" s="2042"/>
      <c r="BJ25" s="2043"/>
      <c r="BK25" s="1618"/>
      <c r="BL25" s="1619"/>
      <c r="BM25" s="1620"/>
      <c r="BN25" s="1542"/>
      <c r="BO25" s="1542"/>
      <c r="BP25" s="1542"/>
      <c r="BQ25" s="1542"/>
      <c r="BR25" s="1542"/>
      <c r="BS25" s="1542"/>
      <c r="BT25" s="1542"/>
      <c r="BU25" s="1542"/>
      <c r="BV25" s="1542"/>
      <c r="BW25" s="2026"/>
      <c r="BX25" s="824"/>
    </row>
    <row r="26" spans="1:76" ht="27.95" customHeight="1">
      <c r="A26" s="827"/>
      <c r="B26" s="1347"/>
      <c r="C26" s="2022"/>
      <c r="D26" s="1615"/>
      <c r="E26" s="1616"/>
      <c r="F26" s="1616"/>
      <c r="G26" s="1616"/>
      <c r="H26" s="1616"/>
      <c r="I26" s="1616"/>
      <c r="J26" s="1616"/>
      <c r="K26" s="1616"/>
      <c r="L26" s="1616"/>
      <c r="M26" s="1616"/>
      <c r="N26" s="1617"/>
      <c r="O26" s="2038"/>
      <c r="P26" s="2039"/>
      <c r="Q26" s="2039"/>
      <c r="R26" s="2039"/>
      <c r="S26" s="2039"/>
      <c r="T26" s="2039"/>
      <c r="U26" s="2039"/>
      <c r="V26" s="2040"/>
      <c r="W26" s="1618"/>
      <c r="X26" s="1619"/>
      <c r="Y26" s="1620"/>
      <c r="Z26" s="1542"/>
      <c r="AA26" s="1542"/>
      <c r="AB26" s="1542"/>
      <c r="AC26" s="1542"/>
      <c r="AD26" s="1542"/>
      <c r="AE26" s="1542"/>
      <c r="AF26" s="1542"/>
      <c r="AG26" s="1542"/>
      <c r="AH26" s="1542"/>
      <c r="AI26" s="2026"/>
      <c r="AJ26" s="824"/>
      <c r="AK26" s="128"/>
      <c r="AL26" s="128"/>
      <c r="AM26" s="128"/>
      <c r="AN26" s="128"/>
      <c r="AP26" s="1347"/>
      <c r="AQ26" s="2022"/>
      <c r="AR26" s="1615"/>
      <c r="AS26" s="1616"/>
      <c r="AT26" s="1616"/>
      <c r="AU26" s="1616"/>
      <c r="AV26" s="1616"/>
      <c r="AW26" s="1616"/>
      <c r="AX26" s="1616"/>
      <c r="AY26" s="1616"/>
      <c r="AZ26" s="1616"/>
      <c r="BA26" s="1616"/>
      <c r="BB26" s="1617"/>
      <c r="BC26" s="2041"/>
      <c r="BD26" s="2042"/>
      <c r="BE26" s="2042"/>
      <c r="BF26" s="2042"/>
      <c r="BG26" s="2042"/>
      <c r="BH26" s="2042"/>
      <c r="BI26" s="2042"/>
      <c r="BJ26" s="2043"/>
      <c r="BK26" s="1618"/>
      <c r="BL26" s="1619"/>
      <c r="BM26" s="1620"/>
      <c r="BN26" s="1542"/>
      <c r="BO26" s="1542"/>
      <c r="BP26" s="1542"/>
      <c r="BQ26" s="1542"/>
      <c r="BR26" s="1542"/>
      <c r="BS26" s="1542"/>
      <c r="BT26" s="1542"/>
      <c r="BU26" s="1542"/>
      <c r="BV26" s="1542"/>
      <c r="BW26" s="2026"/>
      <c r="BX26" s="824"/>
    </row>
    <row r="27" spans="1:76" ht="27.95" customHeight="1">
      <c r="B27" s="1347"/>
      <c r="C27" s="2022"/>
      <c r="D27" s="1615"/>
      <c r="E27" s="1616"/>
      <c r="F27" s="1616"/>
      <c r="G27" s="1616"/>
      <c r="H27" s="1616"/>
      <c r="I27" s="1616"/>
      <c r="J27" s="1616"/>
      <c r="K27" s="1616"/>
      <c r="L27" s="1616"/>
      <c r="M27" s="1616"/>
      <c r="N27" s="1617"/>
      <c r="O27" s="2038"/>
      <c r="P27" s="2039"/>
      <c r="Q27" s="2039"/>
      <c r="R27" s="2039"/>
      <c r="S27" s="2039"/>
      <c r="T27" s="2039"/>
      <c r="U27" s="2039"/>
      <c r="V27" s="2040"/>
      <c r="W27" s="1618"/>
      <c r="X27" s="1619"/>
      <c r="Y27" s="1620"/>
      <c r="Z27" s="1542"/>
      <c r="AA27" s="1542"/>
      <c r="AB27" s="1542"/>
      <c r="AC27" s="1542"/>
      <c r="AD27" s="1542"/>
      <c r="AE27" s="1542"/>
      <c r="AF27" s="1542"/>
      <c r="AG27" s="1542"/>
      <c r="AH27" s="1542"/>
      <c r="AI27" s="2026"/>
      <c r="AJ27" s="824"/>
      <c r="AK27" s="128"/>
      <c r="AL27" s="128"/>
      <c r="AM27" s="128"/>
      <c r="AN27" s="128"/>
      <c r="AP27" s="1347"/>
      <c r="AQ27" s="2022"/>
      <c r="AR27" s="1615"/>
      <c r="AS27" s="1616"/>
      <c r="AT27" s="1616"/>
      <c r="AU27" s="1616"/>
      <c r="AV27" s="1616"/>
      <c r="AW27" s="1616"/>
      <c r="AX27" s="1616"/>
      <c r="AY27" s="1616"/>
      <c r="AZ27" s="1616"/>
      <c r="BA27" s="1616"/>
      <c r="BB27" s="1617"/>
      <c r="BC27" s="2041"/>
      <c r="BD27" s="2042"/>
      <c r="BE27" s="2042"/>
      <c r="BF27" s="2042"/>
      <c r="BG27" s="2042"/>
      <c r="BH27" s="2042"/>
      <c r="BI27" s="2042"/>
      <c r="BJ27" s="2043"/>
      <c r="BK27" s="1618"/>
      <c r="BL27" s="1619"/>
      <c r="BM27" s="1620"/>
      <c r="BN27" s="1542"/>
      <c r="BO27" s="1542"/>
      <c r="BP27" s="1542"/>
      <c r="BQ27" s="1542"/>
      <c r="BR27" s="1542"/>
      <c r="BS27" s="1542"/>
      <c r="BT27" s="1542"/>
      <c r="BU27" s="1542"/>
      <c r="BV27" s="1542"/>
      <c r="BW27" s="2026"/>
      <c r="BX27" s="824"/>
    </row>
    <row r="28" spans="1:76" ht="27.95" customHeight="1">
      <c r="B28" s="1347"/>
      <c r="C28" s="2022"/>
      <c r="D28" s="1615"/>
      <c r="E28" s="1616"/>
      <c r="F28" s="1616"/>
      <c r="G28" s="1616"/>
      <c r="H28" s="1616"/>
      <c r="I28" s="1616"/>
      <c r="J28" s="1616"/>
      <c r="K28" s="1616"/>
      <c r="L28" s="1616"/>
      <c r="M28" s="1616"/>
      <c r="N28" s="1617"/>
      <c r="O28" s="2038"/>
      <c r="P28" s="2039"/>
      <c r="Q28" s="2039"/>
      <c r="R28" s="2039"/>
      <c r="S28" s="2039"/>
      <c r="T28" s="2039"/>
      <c r="U28" s="2039"/>
      <c r="V28" s="2040"/>
      <c r="W28" s="1618"/>
      <c r="X28" s="1619"/>
      <c r="Y28" s="1620"/>
      <c r="Z28" s="1542"/>
      <c r="AA28" s="1542"/>
      <c r="AB28" s="1542"/>
      <c r="AC28" s="1542"/>
      <c r="AD28" s="1542"/>
      <c r="AE28" s="1542"/>
      <c r="AF28" s="1542"/>
      <c r="AG28" s="1542"/>
      <c r="AH28" s="1542"/>
      <c r="AI28" s="2026"/>
      <c r="AJ28" s="824"/>
      <c r="AK28" s="128"/>
      <c r="AL28" s="128"/>
      <c r="AM28" s="128"/>
      <c r="AN28" s="128"/>
      <c r="AP28" s="1347"/>
      <c r="AQ28" s="2022"/>
      <c r="AR28" s="1615"/>
      <c r="AS28" s="1616"/>
      <c r="AT28" s="1616"/>
      <c r="AU28" s="1616"/>
      <c r="AV28" s="1616"/>
      <c r="AW28" s="1616"/>
      <c r="AX28" s="1616"/>
      <c r="AY28" s="1616"/>
      <c r="AZ28" s="1616"/>
      <c r="BA28" s="1616"/>
      <c r="BB28" s="1617"/>
      <c r="BC28" s="2041"/>
      <c r="BD28" s="2042"/>
      <c r="BE28" s="2042"/>
      <c r="BF28" s="2042"/>
      <c r="BG28" s="2042"/>
      <c r="BH28" s="2042"/>
      <c r="BI28" s="2042"/>
      <c r="BJ28" s="2043"/>
      <c r="BK28" s="1618"/>
      <c r="BL28" s="1619"/>
      <c r="BM28" s="1620"/>
      <c r="BN28" s="1542"/>
      <c r="BO28" s="1542"/>
      <c r="BP28" s="1542"/>
      <c r="BQ28" s="1542"/>
      <c r="BR28" s="1542"/>
      <c r="BS28" s="1542"/>
      <c r="BT28" s="1542"/>
      <c r="BU28" s="1542"/>
      <c r="BV28" s="1542"/>
      <c r="BW28" s="2026"/>
      <c r="BX28" s="824"/>
    </row>
    <row r="29" spans="1:76" ht="27.95" customHeight="1">
      <c r="B29" s="1347"/>
      <c r="C29" s="2022"/>
      <c r="D29" s="1615"/>
      <c r="E29" s="1616"/>
      <c r="F29" s="1616"/>
      <c r="G29" s="1616"/>
      <c r="H29" s="1616"/>
      <c r="I29" s="1616"/>
      <c r="J29" s="1616"/>
      <c r="K29" s="1616"/>
      <c r="L29" s="1616"/>
      <c r="M29" s="1616"/>
      <c r="N29" s="1617"/>
      <c r="O29" s="2038"/>
      <c r="P29" s="2039"/>
      <c r="Q29" s="2039"/>
      <c r="R29" s="2039"/>
      <c r="S29" s="2039"/>
      <c r="T29" s="2039"/>
      <c r="U29" s="2039"/>
      <c r="V29" s="2040"/>
      <c r="W29" s="1618"/>
      <c r="X29" s="1619"/>
      <c r="Y29" s="1620"/>
      <c r="Z29" s="1542"/>
      <c r="AA29" s="1542"/>
      <c r="AB29" s="1542"/>
      <c r="AC29" s="1542"/>
      <c r="AD29" s="1542"/>
      <c r="AE29" s="1542"/>
      <c r="AF29" s="1542"/>
      <c r="AG29" s="1542"/>
      <c r="AH29" s="1542"/>
      <c r="AI29" s="2026"/>
      <c r="AJ29" s="824"/>
      <c r="AK29" s="128"/>
      <c r="AL29" s="128"/>
      <c r="AM29" s="128"/>
      <c r="AN29" s="128"/>
      <c r="AP29" s="1347"/>
      <c r="AQ29" s="2022"/>
      <c r="AR29" s="1615"/>
      <c r="AS29" s="1616"/>
      <c r="AT29" s="1616"/>
      <c r="AU29" s="1616"/>
      <c r="AV29" s="1616"/>
      <c r="AW29" s="1616"/>
      <c r="AX29" s="1616"/>
      <c r="AY29" s="1616"/>
      <c r="AZ29" s="1616"/>
      <c r="BA29" s="1616"/>
      <c r="BB29" s="1617"/>
      <c r="BC29" s="2041"/>
      <c r="BD29" s="2042"/>
      <c r="BE29" s="2042"/>
      <c r="BF29" s="2042"/>
      <c r="BG29" s="2042"/>
      <c r="BH29" s="2042"/>
      <c r="BI29" s="2042"/>
      <c r="BJ29" s="2043"/>
      <c r="BK29" s="1618"/>
      <c r="BL29" s="1619"/>
      <c r="BM29" s="1620"/>
      <c r="BN29" s="1542"/>
      <c r="BO29" s="1542"/>
      <c r="BP29" s="1542"/>
      <c r="BQ29" s="1542"/>
      <c r="BR29" s="1542"/>
      <c r="BS29" s="1542"/>
      <c r="BT29" s="1542"/>
      <c r="BU29" s="1542"/>
      <c r="BV29" s="1542"/>
      <c r="BW29" s="2026"/>
      <c r="BX29" s="824"/>
    </row>
    <row r="30" spans="1:76" ht="27.95" customHeight="1">
      <c r="B30" s="1347"/>
      <c r="C30" s="2022"/>
      <c r="D30" s="1615"/>
      <c r="E30" s="1616"/>
      <c r="F30" s="1616"/>
      <c r="G30" s="1616"/>
      <c r="H30" s="1616"/>
      <c r="I30" s="1616"/>
      <c r="J30" s="1616"/>
      <c r="K30" s="1616"/>
      <c r="L30" s="1616"/>
      <c r="M30" s="1616"/>
      <c r="N30" s="1617"/>
      <c r="O30" s="2038"/>
      <c r="P30" s="2039"/>
      <c r="Q30" s="2039"/>
      <c r="R30" s="2039"/>
      <c r="S30" s="2039"/>
      <c r="T30" s="2039"/>
      <c r="U30" s="2039"/>
      <c r="V30" s="2040"/>
      <c r="W30" s="1618"/>
      <c r="X30" s="1619"/>
      <c r="Y30" s="1620"/>
      <c r="Z30" s="1542"/>
      <c r="AA30" s="1542"/>
      <c r="AB30" s="1542"/>
      <c r="AC30" s="1542"/>
      <c r="AD30" s="1542"/>
      <c r="AE30" s="1542"/>
      <c r="AF30" s="1542"/>
      <c r="AG30" s="1542"/>
      <c r="AH30" s="1542"/>
      <c r="AI30" s="2026"/>
      <c r="AJ30" s="824"/>
      <c r="AK30" s="128"/>
      <c r="AL30" s="128"/>
      <c r="AM30" s="128"/>
      <c r="AN30" s="128"/>
      <c r="AP30" s="1347"/>
      <c r="AQ30" s="2022"/>
      <c r="AR30" s="1615"/>
      <c r="AS30" s="1616"/>
      <c r="AT30" s="1616"/>
      <c r="AU30" s="1616"/>
      <c r="AV30" s="1616"/>
      <c r="AW30" s="1616"/>
      <c r="AX30" s="1616"/>
      <c r="AY30" s="1616"/>
      <c r="AZ30" s="1616"/>
      <c r="BA30" s="1616"/>
      <c r="BB30" s="1617"/>
      <c r="BC30" s="2041"/>
      <c r="BD30" s="2042"/>
      <c r="BE30" s="2042"/>
      <c r="BF30" s="2042"/>
      <c r="BG30" s="2042"/>
      <c r="BH30" s="2042"/>
      <c r="BI30" s="2042"/>
      <c r="BJ30" s="2043"/>
      <c r="BK30" s="1618"/>
      <c r="BL30" s="1619"/>
      <c r="BM30" s="1620"/>
      <c r="BN30" s="1542"/>
      <c r="BO30" s="1542"/>
      <c r="BP30" s="1542"/>
      <c r="BQ30" s="1542"/>
      <c r="BR30" s="1542"/>
      <c r="BS30" s="1542"/>
      <c r="BT30" s="1542"/>
      <c r="BU30" s="1542"/>
      <c r="BV30" s="1542"/>
      <c r="BW30" s="2026"/>
      <c r="BX30" s="824"/>
    </row>
    <row r="31" spans="1:76" ht="27.95" customHeight="1">
      <c r="B31" s="1347"/>
      <c r="C31" s="2022"/>
      <c r="D31" s="1615"/>
      <c r="E31" s="1616"/>
      <c r="F31" s="1616"/>
      <c r="G31" s="1616"/>
      <c r="H31" s="1616"/>
      <c r="I31" s="1616"/>
      <c r="J31" s="1616"/>
      <c r="K31" s="1616"/>
      <c r="L31" s="1616"/>
      <c r="M31" s="1616"/>
      <c r="N31" s="1617"/>
      <c r="O31" s="2038"/>
      <c r="P31" s="2039"/>
      <c r="Q31" s="2039"/>
      <c r="R31" s="2039"/>
      <c r="S31" s="2039"/>
      <c r="T31" s="2039"/>
      <c r="U31" s="2039"/>
      <c r="V31" s="2040"/>
      <c r="W31" s="1618"/>
      <c r="X31" s="1619"/>
      <c r="Y31" s="1620"/>
      <c r="Z31" s="1542"/>
      <c r="AA31" s="1542"/>
      <c r="AB31" s="1542"/>
      <c r="AC31" s="1542"/>
      <c r="AD31" s="1542"/>
      <c r="AE31" s="1542"/>
      <c r="AF31" s="1542"/>
      <c r="AG31" s="1542"/>
      <c r="AH31" s="1542"/>
      <c r="AI31" s="2026"/>
      <c r="AJ31" s="824"/>
      <c r="AK31" s="128"/>
      <c r="AL31" s="128"/>
      <c r="AM31" s="128"/>
      <c r="AN31" s="128"/>
      <c r="AP31" s="1347"/>
      <c r="AQ31" s="2022"/>
      <c r="AR31" s="1615"/>
      <c r="AS31" s="1616"/>
      <c r="AT31" s="1616"/>
      <c r="AU31" s="1616"/>
      <c r="AV31" s="1616"/>
      <c r="AW31" s="1616"/>
      <c r="AX31" s="1616"/>
      <c r="AY31" s="1616"/>
      <c r="AZ31" s="1616"/>
      <c r="BA31" s="1616"/>
      <c r="BB31" s="1617"/>
      <c r="BC31" s="2041"/>
      <c r="BD31" s="2042"/>
      <c r="BE31" s="2042"/>
      <c r="BF31" s="2042"/>
      <c r="BG31" s="2042"/>
      <c r="BH31" s="2042"/>
      <c r="BI31" s="2042"/>
      <c r="BJ31" s="2043"/>
      <c r="BK31" s="1618"/>
      <c r="BL31" s="1619"/>
      <c r="BM31" s="1620"/>
      <c r="BN31" s="1542"/>
      <c r="BO31" s="1542"/>
      <c r="BP31" s="1542"/>
      <c r="BQ31" s="1542"/>
      <c r="BR31" s="1542"/>
      <c r="BS31" s="1542"/>
      <c r="BT31" s="1542"/>
      <c r="BU31" s="1542"/>
      <c r="BV31" s="1542"/>
      <c r="BW31" s="2026"/>
      <c r="BX31" s="824"/>
    </row>
    <row r="32" spans="1:76" ht="27.95" customHeight="1">
      <c r="B32" s="1347"/>
      <c r="C32" s="2022"/>
      <c r="D32" s="1615"/>
      <c r="E32" s="1616"/>
      <c r="F32" s="1616"/>
      <c r="G32" s="1616"/>
      <c r="H32" s="1616"/>
      <c r="I32" s="1616"/>
      <c r="J32" s="1616"/>
      <c r="K32" s="1616"/>
      <c r="L32" s="1616"/>
      <c r="M32" s="1616"/>
      <c r="N32" s="1617"/>
      <c r="O32" s="2038"/>
      <c r="P32" s="2039"/>
      <c r="Q32" s="2039"/>
      <c r="R32" s="2039"/>
      <c r="S32" s="2039"/>
      <c r="T32" s="2039"/>
      <c r="U32" s="2039"/>
      <c r="V32" s="2040"/>
      <c r="W32" s="1618"/>
      <c r="X32" s="1619"/>
      <c r="Y32" s="1620"/>
      <c r="Z32" s="1542"/>
      <c r="AA32" s="1542"/>
      <c r="AB32" s="1542"/>
      <c r="AC32" s="1542"/>
      <c r="AD32" s="1542"/>
      <c r="AE32" s="1542"/>
      <c r="AF32" s="1542"/>
      <c r="AG32" s="1542"/>
      <c r="AH32" s="1542"/>
      <c r="AI32" s="2026"/>
      <c r="AJ32" s="824"/>
      <c r="AK32" s="128"/>
      <c r="AL32" s="128"/>
      <c r="AM32" s="128"/>
      <c r="AN32" s="128"/>
      <c r="AP32" s="1347"/>
      <c r="AQ32" s="2022"/>
      <c r="AR32" s="1615"/>
      <c r="AS32" s="1616"/>
      <c r="AT32" s="1616"/>
      <c r="AU32" s="1616"/>
      <c r="AV32" s="1616"/>
      <c r="AW32" s="1616"/>
      <c r="AX32" s="1616"/>
      <c r="AY32" s="1616"/>
      <c r="AZ32" s="1616"/>
      <c r="BA32" s="1616"/>
      <c r="BB32" s="1617"/>
      <c r="BC32" s="2041"/>
      <c r="BD32" s="2042"/>
      <c r="BE32" s="2042"/>
      <c r="BF32" s="2042"/>
      <c r="BG32" s="2042"/>
      <c r="BH32" s="2042"/>
      <c r="BI32" s="2042"/>
      <c r="BJ32" s="2043"/>
      <c r="BK32" s="1618"/>
      <c r="BL32" s="1619"/>
      <c r="BM32" s="1620"/>
      <c r="BN32" s="1542"/>
      <c r="BO32" s="1542"/>
      <c r="BP32" s="1542"/>
      <c r="BQ32" s="1542"/>
      <c r="BR32" s="1542"/>
      <c r="BS32" s="1542"/>
      <c r="BT32" s="1542"/>
      <c r="BU32" s="1542"/>
      <c r="BV32" s="1542"/>
      <c r="BW32" s="2026"/>
      <c r="BX32" s="824"/>
    </row>
    <row r="33" spans="1:76" ht="27.95" customHeight="1">
      <c r="B33" s="1347"/>
      <c r="C33" s="2022"/>
      <c r="D33" s="1615"/>
      <c r="E33" s="1616"/>
      <c r="F33" s="1616"/>
      <c r="G33" s="1616"/>
      <c r="H33" s="1616"/>
      <c r="I33" s="1616"/>
      <c r="J33" s="1616"/>
      <c r="K33" s="1616"/>
      <c r="L33" s="1616"/>
      <c r="M33" s="1616"/>
      <c r="N33" s="1617"/>
      <c r="O33" s="2038"/>
      <c r="P33" s="2039"/>
      <c r="Q33" s="2039"/>
      <c r="R33" s="2039"/>
      <c r="S33" s="2039"/>
      <c r="T33" s="2039"/>
      <c r="U33" s="2039"/>
      <c r="V33" s="2040"/>
      <c r="W33" s="1618"/>
      <c r="X33" s="1619"/>
      <c r="Y33" s="1620"/>
      <c r="Z33" s="1542"/>
      <c r="AA33" s="1542"/>
      <c r="AB33" s="1542"/>
      <c r="AC33" s="1542"/>
      <c r="AD33" s="1542"/>
      <c r="AE33" s="1542"/>
      <c r="AF33" s="1542"/>
      <c r="AG33" s="1542"/>
      <c r="AH33" s="1542"/>
      <c r="AI33" s="2026"/>
      <c r="AJ33" s="824"/>
      <c r="AK33" s="128"/>
      <c r="AL33" s="128"/>
      <c r="AM33" s="128"/>
      <c r="AN33" s="128"/>
      <c r="AP33" s="1347"/>
      <c r="AQ33" s="2022"/>
      <c r="AR33" s="1615"/>
      <c r="AS33" s="1616"/>
      <c r="AT33" s="1616"/>
      <c r="AU33" s="1616"/>
      <c r="AV33" s="1616"/>
      <c r="AW33" s="1616"/>
      <c r="AX33" s="1616"/>
      <c r="AY33" s="1616"/>
      <c r="AZ33" s="1616"/>
      <c r="BA33" s="1616"/>
      <c r="BB33" s="1617"/>
      <c r="BC33" s="2041"/>
      <c r="BD33" s="2042"/>
      <c r="BE33" s="2042"/>
      <c r="BF33" s="2042"/>
      <c r="BG33" s="2042"/>
      <c r="BH33" s="2042"/>
      <c r="BI33" s="2042"/>
      <c r="BJ33" s="2043"/>
      <c r="BK33" s="1618"/>
      <c r="BL33" s="1619"/>
      <c r="BM33" s="1620"/>
      <c r="BN33" s="1542"/>
      <c r="BO33" s="1542"/>
      <c r="BP33" s="1542"/>
      <c r="BQ33" s="1542"/>
      <c r="BR33" s="1542"/>
      <c r="BS33" s="1542"/>
      <c r="BT33" s="1542"/>
      <c r="BU33" s="1542"/>
      <c r="BV33" s="1542"/>
      <c r="BW33" s="2026"/>
      <c r="BX33" s="824"/>
    </row>
    <row r="34" spans="1:76" ht="27.95" customHeight="1">
      <c r="B34" s="1347"/>
      <c r="C34" s="2022"/>
      <c r="D34" s="1615"/>
      <c r="E34" s="1616"/>
      <c r="F34" s="1616"/>
      <c r="G34" s="1616"/>
      <c r="H34" s="1616"/>
      <c r="I34" s="1616"/>
      <c r="J34" s="1616"/>
      <c r="K34" s="1616"/>
      <c r="L34" s="1616"/>
      <c r="M34" s="1616"/>
      <c r="N34" s="1617"/>
      <c r="O34" s="2038"/>
      <c r="P34" s="2039"/>
      <c r="Q34" s="2039"/>
      <c r="R34" s="2039"/>
      <c r="S34" s="2039"/>
      <c r="T34" s="2039"/>
      <c r="U34" s="2039"/>
      <c r="V34" s="2040"/>
      <c r="W34" s="1618"/>
      <c r="X34" s="1619"/>
      <c r="Y34" s="1620"/>
      <c r="Z34" s="1542"/>
      <c r="AA34" s="1542"/>
      <c r="AB34" s="1542"/>
      <c r="AC34" s="1542"/>
      <c r="AD34" s="1542"/>
      <c r="AE34" s="1542"/>
      <c r="AF34" s="1542"/>
      <c r="AG34" s="1542"/>
      <c r="AH34" s="1542"/>
      <c r="AI34" s="2026"/>
      <c r="AJ34" s="824"/>
      <c r="AK34" s="128"/>
      <c r="AL34" s="128"/>
      <c r="AM34" s="128"/>
      <c r="AN34" s="128"/>
      <c r="AP34" s="1347"/>
      <c r="AQ34" s="2022"/>
      <c r="AR34" s="1615"/>
      <c r="AS34" s="1616"/>
      <c r="AT34" s="1616"/>
      <c r="AU34" s="1616"/>
      <c r="AV34" s="1616"/>
      <c r="AW34" s="1616"/>
      <c r="AX34" s="1616"/>
      <c r="AY34" s="1616"/>
      <c r="AZ34" s="1616"/>
      <c r="BA34" s="1616"/>
      <c r="BB34" s="1617"/>
      <c r="BC34" s="2041"/>
      <c r="BD34" s="2042"/>
      <c r="BE34" s="2042"/>
      <c r="BF34" s="2042"/>
      <c r="BG34" s="2042"/>
      <c r="BH34" s="2042"/>
      <c r="BI34" s="2042"/>
      <c r="BJ34" s="2043"/>
      <c r="BK34" s="1618"/>
      <c r="BL34" s="1619"/>
      <c r="BM34" s="1620"/>
      <c r="BN34" s="1542"/>
      <c r="BO34" s="1542"/>
      <c r="BP34" s="1542"/>
      <c r="BQ34" s="1542"/>
      <c r="BR34" s="1542"/>
      <c r="BS34" s="1542"/>
      <c r="BT34" s="1542"/>
      <c r="BU34" s="1542"/>
      <c r="BV34" s="1542"/>
      <c r="BW34" s="2026"/>
      <c r="BX34" s="824"/>
    </row>
    <row r="35" spans="1:76" ht="27.95" customHeight="1" collapsed="1" thickBot="1">
      <c r="B35" s="1347"/>
      <c r="C35" s="2022"/>
      <c r="D35" s="1615"/>
      <c r="E35" s="1616"/>
      <c r="F35" s="1616"/>
      <c r="G35" s="1616"/>
      <c r="H35" s="1616"/>
      <c r="I35" s="1616"/>
      <c r="J35" s="1616"/>
      <c r="K35" s="1616"/>
      <c r="L35" s="1616"/>
      <c r="M35" s="1616"/>
      <c r="N35" s="1617"/>
      <c r="O35" s="2038"/>
      <c r="P35" s="2039"/>
      <c r="Q35" s="2039"/>
      <c r="R35" s="2039"/>
      <c r="S35" s="2039"/>
      <c r="T35" s="2039"/>
      <c r="U35" s="2039"/>
      <c r="V35" s="2040"/>
      <c r="W35" s="1618"/>
      <c r="X35" s="1619"/>
      <c r="Y35" s="1620"/>
      <c r="Z35" s="1542"/>
      <c r="AA35" s="1542"/>
      <c r="AB35" s="1542"/>
      <c r="AC35" s="1542"/>
      <c r="AD35" s="1542"/>
      <c r="AE35" s="1542"/>
      <c r="AF35" s="1542"/>
      <c r="AG35" s="1542"/>
      <c r="AH35" s="1542"/>
      <c r="AI35" s="2026"/>
      <c r="AJ35" s="824"/>
      <c r="AK35" s="128"/>
      <c r="AL35" s="128"/>
      <c r="AM35" s="128"/>
      <c r="AN35" s="128"/>
      <c r="AP35" s="1347"/>
      <c r="AQ35" s="2022"/>
      <c r="AR35" s="1615"/>
      <c r="AS35" s="1616"/>
      <c r="AT35" s="1616"/>
      <c r="AU35" s="1616"/>
      <c r="AV35" s="1616"/>
      <c r="AW35" s="1616"/>
      <c r="AX35" s="1616"/>
      <c r="AY35" s="1616"/>
      <c r="AZ35" s="1616"/>
      <c r="BA35" s="1616"/>
      <c r="BB35" s="1617"/>
      <c r="BC35" s="2041"/>
      <c r="BD35" s="2042"/>
      <c r="BE35" s="2042"/>
      <c r="BF35" s="2042"/>
      <c r="BG35" s="2042"/>
      <c r="BH35" s="2042"/>
      <c r="BI35" s="2042"/>
      <c r="BJ35" s="2043"/>
      <c r="BK35" s="1618"/>
      <c r="BL35" s="1619"/>
      <c r="BM35" s="1620"/>
      <c r="BN35" s="1542"/>
      <c r="BO35" s="1542"/>
      <c r="BP35" s="1542"/>
      <c r="BQ35" s="1542"/>
      <c r="BR35" s="1542"/>
      <c r="BS35" s="1542"/>
      <c r="BT35" s="1542"/>
      <c r="BU35" s="1542"/>
      <c r="BV35" s="1542"/>
      <c r="BW35" s="2026"/>
      <c r="BX35" s="824"/>
    </row>
    <row r="36" spans="1:76" ht="27.95" hidden="1" customHeight="1" outlineLevel="1">
      <c r="A36" s="827"/>
      <c r="B36" s="1347"/>
      <c r="C36" s="2022"/>
      <c r="D36" s="2044"/>
      <c r="E36" s="2045"/>
      <c r="F36" s="2045"/>
      <c r="G36" s="2045"/>
      <c r="H36" s="2045"/>
      <c r="I36" s="2045"/>
      <c r="J36" s="2045"/>
      <c r="K36" s="2045"/>
      <c r="L36" s="2045"/>
      <c r="M36" s="2045"/>
      <c r="N36" s="2046"/>
      <c r="O36" s="2038"/>
      <c r="P36" s="2039"/>
      <c r="Q36" s="2039"/>
      <c r="R36" s="2039"/>
      <c r="S36" s="2039"/>
      <c r="T36" s="2039"/>
      <c r="U36" s="2039"/>
      <c r="V36" s="2040"/>
      <c r="W36" s="1618"/>
      <c r="X36" s="1619"/>
      <c r="Y36" s="1620"/>
      <c r="Z36" s="1542"/>
      <c r="AA36" s="1542"/>
      <c r="AB36" s="1542"/>
      <c r="AC36" s="1542"/>
      <c r="AD36" s="1542"/>
      <c r="AE36" s="1542"/>
      <c r="AF36" s="1542"/>
      <c r="AG36" s="1542"/>
      <c r="AH36" s="1542"/>
      <c r="AI36" s="2026"/>
      <c r="AJ36" s="824"/>
      <c r="AK36" s="128"/>
      <c r="AL36" s="128"/>
      <c r="AM36" s="128"/>
      <c r="AN36" s="128"/>
      <c r="AP36" s="1347"/>
      <c r="AQ36" s="2022"/>
      <c r="AR36" s="2044"/>
      <c r="AS36" s="2045"/>
      <c r="AT36" s="2045"/>
      <c r="AU36" s="2045"/>
      <c r="AV36" s="2045"/>
      <c r="AW36" s="2045"/>
      <c r="AX36" s="2045"/>
      <c r="AY36" s="2045"/>
      <c r="AZ36" s="2045"/>
      <c r="BA36" s="2045"/>
      <c r="BB36" s="2046"/>
      <c r="BC36" s="2041"/>
      <c r="BD36" s="2042"/>
      <c r="BE36" s="2042"/>
      <c r="BF36" s="2042"/>
      <c r="BG36" s="2042"/>
      <c r="BH36" s="2042"/>
      <c r="BI36" s="2042"/>
      <c r="BJ36" s="2043"/>
      <c r="BK36" s="1618"/>
      <c r="BL36" s="1619"/>
      <c r="BM36" s="1620"/>
      <c r="BN36" s="1542"/>
      <c r="BO36" s="1542"/>
      <c r="BP36" s="1542"/>
      <c r="BQ36" s="1542"/>
      <c r="BR36" s="1542"/>
      <c r="BS36" s="1542"/>
      <c r="BT36" s="1542"/>
      <c r="BU36" s="1542"/>
      <c r="BV36" s="1542"/>
      <c r="BW36" s="2026"/>
      <c r="BX36" s="824"/>
    </row>
    <row r="37" spans="1:76" ht="27.95" hidden="1" customHeight="1" outlineLevel="1">
      <c r="B37" s="1347"/>
      <c r="C37" s="2022"/>
      <c r="D37" s="1615"/>
      <c r="E37" s="1616"/>
      <c r="F37" s="1616"/>
      <c r="G37" s="1616"/>
      <c r="H37" s="1616"/>
      <c r="I37" s="1616"/>
      <c r="J37" s="1616"/>
      <c r="K37" s="1616"/>
      <c r="L37" s="1616"/>
      <c r="M37" s="1616"/>
      <c r="N37" s="1617"/>
      <c r="O37" s="2038"/>
      <c r="P37" s="2039"/>
      <c r="Q37" s="2039"/>
      <c r="R37" s="2039"/>
      <c r="S37" s="2039"/>
      <c r="T37" s="2039"/>
      <c r="U37" s="2039"/>
      <c r="V37" s="2040"/>
      <c r="W37" s="1618"/>
      <c r="X37" s="1619"/>
      <c r="Y37" s="1620"/>
      <c r="Z37" s="1542"/>
      <c r="AA37" s="1542"/>
      <c r="AB37" s="1542"/>
      <c r="AC37" s="1542"/>
      <c r="AD37" s="1542"/>
      <c r="AE37" s="1542"/>
      <c r="AF37" s="1542"/>
      <c r="AG37" s="1542"/>
      <c r="AH37" s="1542"/>
      <c r="AI37" s="2026"/>
      <c r="AJ37" s="824"/>
      <c r="AK37" s="128"/>
      <c r="AL37" s="128"/>
      <c r="AM37" s="128"/>
      <c r="AN37" s="128"/>
      <c r="AP37" s="1347"/>
      <c r="AQ37" s="2022"/>
      <c r="AR37" s="1615"/>
      <c r="AS37" s="1616"/>
      <c r="AT37" s="1616"/>
      <c r="AU37" s="1616"/>
      <c r="AV37" s="1616"/>
      <c r="AW37" s="1616"/>
      <c r="AX37" s="1616"/>
      <c r="AY37" s="1616"/>
      <c r="AZ37" s="1616"/>
      <c r="BA37" s="1616"/>
      <c r="BB37" s="1617"/>
      <c r="BC37" s="2041"/>
      <c r="BD37" s="2042"/>
      <c r="BE37" s="2042"/>
      <c r="BF37" s="2042"/>
      <c r="BG37" s="2042"/>
      <c r="BH37" s="2042"/>
      <c r="BI37" s="2042"/>
      <c r="BJ37" s="2043"/>
      <c r="BK37" s="1618"/>
      <c r="BL37" s="1619"/>
      <c r="BM37" s="1620"/>
      <c r="BN37" s="1542"/>
      <c r="BO37" s="1542"/>
      <c r="BP37" s="1542"/>
      <c r="BQ37" s="1542"/>
      <c r="BR37" s="1542"/>
      <c r="BS37" s="1542"/>
      <c r="BT37" s="1542"/>
      <c r="BU37" s="1542"/>
      <c r="BV37" s="1542"/>
      <c r="BW37" s="2026"/>
      <c r="BX37" s="824"/>
    </row>
    <row r="38" spans="1:76" ht="27.95" hidden="1" customHeight="1" outlineLevel="1">
      <c r="B38" s="1347"/>
      <c r="C38" s="2022"/>
      <c r="D38" s="1615"/>
      <c r="E38" s="1616"/>
      <c r="F38" s="1616"/>
      <c r="G38" s="1616"/>
      <c r="H38" s="1616"/>
      <c r="I38" s="1616"/>
      <c r="J38" s="1616"/>
      <c r="K38" s="1616"/>
      <c r="L38" s="1616"/>
      <c r="M38" s="1616"/>
      <c r="N38" s="1617"/>
      <c r="O38" s="2038"/>
      <c r="P38" s="2039"/>
      <c r="Q38" s="2039"/>
      <c r="R38" s="2039"/>
      <c r="S38" s="2039"/>
      <c r="T38" s="2039"/>
      <c r="U38" s="2039"/>
      <c r="V38" s="2040"/>
      <c r="W38" s="1618"/>
      <c r="X38" s="1619"/>
      <c r="Y38" s="1620"/>
      <c r="Z38" s="1542"/>
      <c r="AA38" s="1542"/>
      <c r="AB38" s="1542"/>
      <c r="AC38" s="1542"/>
      <c r="AD38" s="1542"/>
      <c r="AE38" s="1542"/>
      <c r="AF38" s="1542"/>
      <c r="AG38" s="1542"/>
      <c r="AH38" s="1542"/>
      <c r="AI38" s="2026"/>
      <c r="AJ38" s="824"/>
      <c r="AK38" s="128"/>
      <c r="AL38" s="128"/>
      <c r="AM38" s="128"/>
      <c r="AN38" s="128"/>
      <c r="AP38" s="1347"/>
      <c r="AQ38" s="2022"/>
      <c r="AR38" s="1615"/>
      <c r="AS38" s="1616"/>
      <c r="AT38" s="1616"/>
      <c r="AU38" s="1616"/>
      <c r="AV38" s="1616"/>
      <c r="AW38" s="1616"/>
      <c r="AX38" s="1616"/>
      <c r="AY38" s="1616"/>
      <c r="AZ38" s="1616"/>
      <c r="BA38" s="1616"/>
      <c r="BB38" s="1617"/>
      <c r="BC38" s="2041"/>
      <c r="BD38" s="2042"/>
      <c r="BE38" s="2042"/>
      <c r="BF38" s="2042"/>
      <c r="BG38" s="2042"/>
      <c r="BH38" s="2042"/>
      <c r="BI38" s="2042"/>
      <c r="BJ38" s="2043"/>
      <c r="BK38" s="1618"/>
      <c r="BL38" s="1619"/>
      <c r="BM38" s="1620"/>
      <c r="BN38" s="1542"/>
      <c r="BO38" s="1542"/>
      <c r="BP38" s="1542"/>
      <c r="BQ38" s="1542"/>
      <c r="BR38" s="1542"/>
      <c r="BS38" s="1542"/>
      <c r="BT38" s="1542"/>
      <c r="BU38" s="1542"/>
      <c r="BV38" s="1542"/>
      <c r="BW38" s="2026"/>
      <c r="BX38" s="824"/>
    </row>
    <row r="39" spans="1:76" ht="27.95" hidden="1" customHeight="1" outlineLevel="1">
      <c r="B39" s="1347"/>
      <c r="C39" s="2022"/>
      <c r="D39" s="1615"/>
      <c r="E39" s="1616"/>
      <c r="F39" s="1616"/>
      <c r="G39" s="1616"/>
      <c r="H39" s="1616"/>
      <c r="I39" s="1616"/>
      <c r="J39" s="1616"/>
      <c r="K39" s="1616"/>
      <c r="L39" s="1616"/>
      <c r="M39" s="1616"/>
      <c r="N39" s="1617"/>
      <c r="O39" s="2038"/>
      <c r="P39" s="2039"/>
      <c r="Q39" s="2039"/>
      <c r="R39" s="2039"/>
      <c r="S39" s="2039"/>
      <c r="T39" s="2039"/>
      <c r="U39" s="2039"/>
      <c r="V39" s="2040"/>
      <c r="W39" s="1618"/>
      <c r="X39" s="1619"/>
      <c r="Y39" s="1620"/>
      <c r="Z39" s="1542"/>
      <c r="AA39" s="1542"/>
      <c r="AB39" s="1542"/>
      <c r="AC39" s="1542"/>
      <c r="AD39" s="1542"/>
      <c r="AE39" s="1542"/>
      <c r="AF39" s="1542"/>
      <c r="AG39" s="1542"/>
      <c r="AH39" s="1542"/>
      <c r="AI39" s="2026"/>
      <c r="AJ39" s="824"/>
      <c r="AK39" s="128"/>
      <c r="AL39" s="128"/>
      <c r="AM39" s="128"/>
      <c r="AN39" s="128"/>
      <c r="AP39" s="1347"/>
      <c r="AQ39" s="2022"/>
      <c r="AR39" s="1615"/>
      <c r="AS39" s="1616"/>
      <c r="AT39" s="1616"/>
      <c r="AU39" s="1616"/>
      <c r="AV39" s="1616"/>
      <c r="AW39" s="1616"/>
      <c r="AX39" s="1616"/>
      <c r="AY39" s="1616"/>
      <c r="AZ39" s="1616"/>
      <c r="BA39" s="1616"/>
      <c r="BB39" s="1617"/>
      <c r="BC39" s="2041"/>
      <c r="BD39" s="2042"/>
      <c r="BE39" s="2042"/>
      <c r="BF39" s="2042"/>
      <c r="BG39" s="2042"/>
      <c r="BH39" s="2042"/>
      <c r="BI39" s="2042"/>
      <c r="BJ39" s="2043"/>
      <c r="BK39" s="1618"/>
      <c r="BL39" s="1619"/>
      <c r="BM39" s="1620"/>
      <c r="BN39" s="1542"/>
      <c r="BO39" s="1542"/>
      <c r="BP39" s="1542"/>
      <c r="BQ39" s="1542"/>
      <c r="BR39" s="1542"/>
      <c r="BS39" s="1542"/>
      <c r="BT39" s="1542"/>
      <c r="BU39" s="1542"/>
      <c r="BV39" s="1542"/>
      <c r="BW39" s="2026"/>
      <c r="BX39" s="824"/>
    </row>
    <row r="40" spans="1:76" ht="27.95" hidden="1" customHeight="1" outlineLevel="1">
      <c r="B40" s="1347"/>
      <c r="C40" s="2022"/>
      <c r="D40" s="1615"/>
      <c r="E40" s="1616"/>
      <c r="F40" s="1616"/>
      <c r="G40" s="1616"/>
      <c r="H40" s="1616"/>
      <c r="I40" s="1616"/>
      <c r="J40" s="1616"/>
      <c r="K40" s="1616"/>
      <c r="L40" s="1616"/>
      <c r="M40" s="1616"/>
      <c r="N40" s="1617"/>
      <c r="O40" s="2038"/>
      <c r="P40" s="2039"/>
      <c r="Q40" s="2039"/>
      <c r="R40" s="2039"/>
      <c r="S40" s="2039"/>
      <c r="T40" s="2039"/>
      <c r="U40" s="2039"/>
      <c r="V40" s="2040"/>
      <c r="W40" s="1618"/>
      <c r="X40" s="1619"/>
      <c r="Y40" s="1620"/>
      <c r="Z40" s="1542"/>
      <c r="AA40" s="1542"/>
      <c r="AB40" s="1542"/>
      <c r="AC40" s="1542"/>
      <c r="AD40" s="1542"/>
      <c r="AE40" s="1542"/>
      <c r="AF40" s="1542"/>
      <c r="AG40" s="1542"/>
      <c r="AH40" s="1542"/>
      <c r="AI40" s="2026"/>
      <c r="AJ40" s="824"/>
      <c r="AK40" s="128"/>
      <c r="AL40" s="128"/>
      <c r="AM40" s="128"/>
      <c r="AN40" s="128"/>
      <c r="AP40" s="1347"/>
      <c r="AQ40" s="2022"/>
      <c r="AR40" s="1615"/>
      <c r="AS40" s="1616"/>
      <c r="AT40" s="1616"/>
      <c r="AU40" s="1616"/>
      <c r="AV40" s="1616"/>
      <c r="AW40" s="1616"/>
      <c r="AX40" s="1616"/>
      <c r="AY40" s="1616"/>
      <c r="AZ40" s="1616"/>
      <c r="BA40" s="1616"/>
      <c r="BB40" s="1617"/>
      <c r="BC40" s="2041"/>
      <c r="BD40" s="2042"/>
      <c r="BE40" s="2042"/>
      <c r="BF40" s="2042"/>
      <c r="BG40" s="2042"/>
      <c r="BH40" s="2042"/>
      <c r="BI40" s="2042"/>
      <c r="BJ40" s="2043"/>
      <c r="BK40" s="1618"/>
      <c r="BL40" s="1619"/>
      <c r="BM40" s="1620"/>
      <c r="BN40" s="1542"/>
      <c r="BO40" s="1542"/>
      <c r="BP40" s="1542"/>
      <c r="BQ40" s="1542"/>
      <c r="BR40" s="1542"/>
      <c r="BS40" s="1542"/>
      <c r="BT40" s="1542"/>
      <c r="BU40" s="1542"/>
      <c r="BV40" s="1542"/>
      <c r="BW40" s="2026"/>
      <c r="BX40" s="824"/>
    </row>
    <row r="41" spans="1:76" ht="27.95" hidden="1" customHeight="1" outlineLevel="1">
      <c r="B41" s="1347"/>
      <c r="C41" s="2022"/>
      <c r="D41" s="1615"/>
      <c r="E41" s="1616"/>
      <c r="F41" s="1616"/>
      <c r="G41" s="1616"/>
      <c r="H41" s="1616"/>
      <c r="I41" s="1616"/>
      <c r="J41" s="1616"/>
      <c r="K41" s="1616"/>
      <c r="L41" s="1616"/>
      <c r="M41" s="1616"/>
      <c r="N41" s="1617"/>
      <c r="O41" s="2038"/>
      <c r="P41" s="2039"/>
      <c r="Q41" s="2039"/>
      <c r="R41" s="2039"/>
      <c r="S41" s="2039"/>
      <c r="T41" s="2039"/>
      <c r="U41" s="2039"/>
      <c r="V41" s="2040"/>
      <c r="W41" s="1618"/>
      <c r="X41" s="1619"/>
      <c r="Y41" s="1620"/>
      <c r="Z41" s="1542"/>
      <c r="AA41" s="1542"/>
      <c r="AB41" s="1542"/>
      <c r="AC41" s="1542"/>
      <c r="AD41" s="1542"/>
      <c r="AE41" s="1542"/>
      <c r="AF41" s="1542"/>
      <c r="AG41" s="1542"/>
      <c r="AH41" s="1542"/>
      <c r="AI41" s="2026"/>
      <c r="AJ41" s="824"/>
      <c r="AK41" s="128"/>
      <c r="AL41" s="128"/>
      <c r="AM41" s="128"/>
      <c r="AN41" s="128"/>
      <c r="AP41" s="1347"/>
      <c r="AQ41" s="2022"/>
      <c r="AR41" s="1615"/>
      <c r="AS41" s="1616"/>
      <c r="AT41" s="1616"/>
      <c r="AU41" s="1616"/>
      <c r="AV41" s="1616"/>
      <c r="AW41" s="1616"/>
      <c r="AX41" s="1616"/>
      <c r="AY41" s="1616"/>
      <c r="AZ41" s="1616"/>
      <c r="BA41" s="1616"/>
      <c r="BB41" s="1617"/>
      <c r="BC41" s="2041"/>
      <c r="BD41" s="2042"/>
      <c r="BE41" s="2042"/>
      <c r="BF41" s="2042"/>
      <c r="BG41" s="2042"/>
      <c r="BH41" s="2042"/>
      <c r="BI41" s="2042"/>
      <c r="BJ41" s="2043"/>
      <c r="BK41" s="1618"/>
      <c r="BL41" s="1619"/>
      <c r="BM41" s="1620"/>
      <c r="BN41" s="1542"/>
      <c r="BO41" s="1542"/>
      <c r="BP41" s="1542"/>
      <c r="BQ41" s="1542"/>
      <c r="BR41" s="1542"/>
      <c r="BS41" s="1542"/>
      <c r="BT41" s="1542"/>
      <c r="BU41" s="1542"/>
      <c r="BV41" s="1542"/>
      <c r="BW41" s="2026"/>
      <c r="BX41" s="824"/>
    </row>
    <row r="42" spans="1:76" ht="27.95" hidden="1" customHeight="1" outlineLevel="1">
      <c r="B42" s="1347"/>
      <c r="C42" s="2022"/>
      <c r="D42" s="1615"/>
      <c r="E42" s="1616"/>
      <c r="F42" s="1616"/>
      <c r="G42" s="1616"/>
      <c r="H42" s="1616"/>
      <c r="I42" s="1616"/>
      <c r="J42" s="1616"/>
      <c r="K42" s="1616"/>
      <c r="L42" s="1616"/>
      <c r="M42" s="1616"/>
      <c r="N42" s="1617"/>
      <c r="O42" s="2038"/>
      <c r="P42" s="2039"/>
      <c r="Q42" s="2039"/>
      <c r="R42" s="2039"/>
      <c r="S42" s="2039"/>
      <c r="T42" s="2039"/>
      <c r="U42" s="2039"/>
      <c r="V42" s="2040"/>
      <c r="W42" s="1618"/>
      <c r="X42" s="1619"/>
      <c r="Y42" s="1620"/>
      <c r="Z42" s="1542"/>
      <c r="AA42" s="1542"/>
      <c r="AB42" s="1542"/>
      <c r="AC42" s="1542"/>
      <c r="AD42" s="1542"/>
      <c r="AE42" s="1542"/>
      <c r="AF42" s="1542"/>
      <c r="AG42" s="1542"/>
      <c r="AH42" s="1542"/>
      <c r="AI42" s="2026"/>
      <c r="AJ42" s="824"/>
      <c r="AK42" s="128"/>
      <c r="AL42" s="128"/>
      <c r="AM42" s="128"/>
      <c r="AN42" s="128"/>
      <c r="AP42" s="1347"/>
      <c r="AQ42" s="2022"/>
      <c r="AR42" s="1615"/>
      <c r="AS42" s="1616"/>
      <c r="AT42" s="1616"/>
      <c r="AU42" s="1616"/>
      <c r="AV42" s="1616"/>
      <c r="AW42" s="1616"/>
      <c r="AX42" s="1616"/>
      <c r="AY42" s="1616"/>
      <c r="AZ42" s="1616"/>
      <c r="BA42" s="1616"/>
      <c r="BB42" s="1617"/>
      <c r="BC42" s="2041"/>
      <c r="BD42" s="2042"/>
      <c r="BE42" s="2042"/>
      <c r="BF42" s="2042"/>
      <c r="BG42" s="2042"/>
      <c r="BH42" s="2042"/>
      <c r="BI42" s="2042"/>
      <c r="BJ42" s="2043"/>
      <c r="BK42" s="1618"/>
      <c r="BL42" s="1619"/>
      <c r="BM42" s="1620"/>
      <c r="BN42" s="1542"/>
      <c r="BO42" s="1542"/>
      <c r="BP42" s="1542"/>
      <c r="BQ42" s="1542"/>
      <c r="BR42" s="1542"/>
      <c r="BS42" s="1542"/>
      <c r="BT42" s="1542"/>
      <c r="BU42" s="1542"/>
      <c r="BV42" s="1542"/>
      <c r="BW42" s="2026"/>
      <c r="BX42" s="824"/>
    </row>
    <row r="43" spans="1:76" ht="27.95" hidden="1" customHeight="1" outlineLevel="1">
      <c r="B43" s="1347"/>
      <c r="C43" s="2022"/>
      <c r="D43" s="1615"/>
      <c r="E43" s="1616"/>
      <c r="F43" s="1616"/>
      <c r="G43" s="1616"/>
      <c r="H43" s="1616"/>
      <c r="I43" s="1616"/>
      <c r="J43" s="1616"/>
      <c r="K43" s="1616"/>
      <c r="L43" s="1616"/>
      <c r="M43" s="1616"/>
      <c r="N43" s="1617"/>
      <c r="O43" s="2038"/>
      <c r="P43" s="2039"/>
      <c r="Q43" s="2039"/>
      <c r="R43" s="2039"/>
      <c r="S43" s="2039"/>
      <c r="T43" s="2039"/>
      <c r="U43" s="2039"/>
      <c r="V43" s="2040"/>
      <c r="W43" s="1618"/>
      <c r="X43" s="1619"/>
      <c r="Y43" s="1620"/>
      <c r="Z43" s="1542"/>
      <c r="AA43" s="1542"/>
      <c r="AB43" s="1542"/>
      <c r="AC43" s="1542"/>
      <c r="AD43" s="1542"/>
      <c r="AE43" s="1542"/>
      <c r="AF43" s="1542"/>
      <c r="AG43" s="1542"/>
      <c r="AH43" s="1542"/>
      <c r="AI43" s="2026"/>
      <c r="AJ43" s="824"/>
      <c r="AK43" s="128"/>
      <c r="AL43" s="128"/>
      <c r="AM43" s="128"/>
      <c r="AN43" s="128"/>
      <c r="AP43" s="1347"/>
      <c r="AQ43" s="2022"/>
      <c r="AR43" s="1615"/>
      <c r="AS43" s="1616"/>
      <c r="AT43" s="1616"/>
      <c r="AU43" s="1616"/>
      <c r="AV43" s="1616"/>
      <c r="AW43" s="1616"/>
      <c r="AX43" s="1616"/>
      <c r="AY43" s="1616"/>
      <c r="AZ43" s="1616"/>
      <c r="BA43" s="1616"/>
      <c r="BB43" s="1617"/>
      <c r="BC43" s="2041"/>
      <c r="BD43" s="2042"/>
      <c r="BE43" s="2042"/>
      <c r="BF43" s="2042"/>
      <c r="BG43" s="2042"/>
      <c r="BH43" s="2042"/>
      <c r="BI43" s="2042"/>
      <c r="BJ43" s="2043"/>
      <c r="BK43" s="1618"/>
      <c r="BL43" s="1619"/>
      <c r="BM43" s="1620"/>
      <c r="BN43" s="1542"/>
      <c r="BO43" s="1542"/>
      <c r="BP43" s="1542"/>
      <c r="BQ43" s="1542"/>
      <c r="BR43" s="1542"/>
      <c r="BS43" s="1542"/>
      <c r="BT43" s="1542"/>
      <c r="BU43" s="1542"/>
      <c r="BV43" s="1542"/>
      <c r="BW43" s="2026"/>
      <c r="BX43" s="824"/>
    </row>
    <row r="44" spans="1:76" ht="27.95" hidden="1" customHeight="1" outlineLevel="1">
      <c r="B44" s="1347"/>
      <c r="C44" s="2022"/>
      <c r="D44" s="1615"/>
      <c r="E44" s="1616"/>
      <c r="F44" s="1616"/>
      <c r="G44" s="1616"/>
      <c r="H44" s="1616"/>
      <c r="I44" s="1616"/>
      <c r="J44" s="1616"/>
      <c r="K44" s="1616"/>
      <c r="L44" s="1616"/>
      <c r="M44" s="1616"/>
      <c r="N44" s="1617"/>
      <c r="O44" s="2038"/>
      <c r="P44" s="2039"/>
      <c r="Q44" s="2039"/>
      <c r="R44" s="2039"/>
      <c r="S44" s="2039"/>
      <c r="T44" s="2039"/>
      <c r="U44" s="2039"/>
      <c r="V44" s="2040"/>
      <c r="W44" s="1618"/>
      <c r="X44" s="1619"/>
      <c r="Y44" s="1620"/>
      <c r="Z44" s="1542"/>
      <c r="AA44" s="1542"/>
      <c r="AB44" s="1542"/>
      <c r="AC44" s="1542"/>
      <c r="AD44" s="1542"/>
      <c r="AE44" s="1542"/>
      <c r="AF44" s="1542"/>
      <c r="AG44" s="1542"/>
      <c r="AH44" s="1542"/>
      <c r="AI44" s="2026"/>
      <c r="AJ44" s="824"/>
      <c r="AK44" s="128"/>
      <c r="AL44" s="128"/>
      <c r="AM44" s="128"/>
      <c r="AN44" s="128"/>
      <c r="AP44" s="1347"/>
      <c r="AQ44" s="2022"/>
      <c r="AR44" s="1615"/>
      <c r="AS44" s="1616"/>
      <c r="AT44" s="1616"/>
      <c r="AU44" s="1616"/>
      <c r="AV44" s="1616"/>
      <c r="AW44" s="1616"/>
      <c r="AX44" s="1616"/>
      <c r="AY44" s="1616"/>
      <c r="AZ44" s="1616"/>
      <c r="BA44" s="1616"/>
      <c r="BB44" s="1617"/>
      <c r="BC44" s="2041"/>
      <c r="BD44" s="2042"/>
      <c r="BE44" s="2042"/>
      <c r="BF44" s="2042"/>
      <c r="BG44" s="2042"/>
      <c r="BH44" s="2042"/>
      <c r="BI44" s="2042"/>
      <c r="BJ44" s="2043"/>
      <c r="BK44" s="1618"/>
      <c r="BL44" s="1619"/>
      <c r="BM44" s="1620"/>
      <c r="BN44" s="1542"/>
      <c r="BO44" s="1542"/>
      <c r="BP44" s="1542"/>
      <c r="BQ44" s="1542"/>
      <c r="BR44" s="1542"/>
      <c r="BS44" s="1542"/>
      <c r="BT44" s="1542"/>
      <c r="BU44" s="1542"/>
      <c r="BV44" s="1542"/>
      <c r="BW44" s="2026"/>
      <c r="BX44" s="824"/>
    </row>
    <row r="45" spans="1:76" ht="27.95" hidden="1" customHeight="1" outlineLevel="1">
      <c r="B45" s="1347"/>
      <c r="C45" s="2022"/>
      <c r="D45" s="1615"/>
      <c r="E45" s="1616"/>
      <c r="F45" s="1616"/>
      <c r="G45" s="1616"/>
      <c r="H45" s="1616"/>
      <c r="I45" s="1616"/>
      <c r="J45" s="1616"/>
      <c r="K45" s="1616"/>
      <c r="L45" s="1616"/>
      <c r="M45" s="1616"/>
      <c r="N45" s="1617"/>
      <c r="O45" s="2038"/>
      <c r="P45" s="2039"/>
      <c r="Q45" s="2039"/>
      <c r="R45" s="2039"/>
      <c r="S45" s="2039"/>
      <c r="T45" s="2039"/>
      <c r="U45" s="2039"/>
      <c r="V45" s="2040"/>
      <c r="W45" s="1618"/>
      <c r="X45" s="1619"/>
      <c r="Y45" s="1620"/>
      <c r="Z45" s="1542"/>
      <c r="AA45" s="1542"/>
      <c r="AB45" s="1542"/>
      <c r="AC45" s="1542"/>
      <c r="AD45" s="1542"/>
      <c r="AE45" s="1542"/>
      <c r="AF45" s="1542"/>
      <c r="AG45" s="1542"/>
      <c r="AH45" s="1542"/>
      <c r="AI45" s="2026"/>
      <c r="AJ45" s="824"/>
      <c r="AK45" s="128"/>
      <c r="AL45" s="128"/>
      <c r="AM45" s="128"/>
      <c r="AN45" s="128"/>
      <c r="AP45" s="1347"/>
      <c r="AQ45" s="2022"/>
      <c r="AR45" s="1615"/>
      <c r="AS45" s="1616"/>
      <c r="AT45" s="1616"/>
      <c r="AU45" s="1616"/>
      <c r="AV45" s="1616"/>
      <c r="AW45" s="1616"/>
      <c r="AX45" s="1616"/>
      <c r="AY45" s="1616"/>
      <c r="AZ45" s="1616"/>
      <c r="BA45" s="1616"/>
      <c r="BB45" s="1617"/>
      <c r="BC45" s="2041"/>
      <c r="BD45" s="2042"/>
      <c r="BE45" s="2042"/>
      <c r="BF45" s="2042"/>
      <c r="BG45" s="2042"/>
      <c r="BH45" s="2042"/>
      <c r="BI45" s="2042"/>
      <c r="BJ45" s="2043"/>
      <c r="BK45" s="1618"/>
      <c r="BL45" s="1619"/>
      <c r="BM45" s="1620"/>
      <c r="BN45" s="1542"/>
      <c r="BO45" s="1542"/>
      <c r="BP45" s="1542"/>
      <c r="BQ45" s="1542"/>
      <c r="BR45" s="1542"/>
      <c r="BS45" s="1542"/>
      <c r="BT45" s="1542"/>
      <c r="BU45" s="1542"/>
      <c r="BV45" s="1542"/>
      <c r="BW45" s="2026"/>
      <c r="BX45" s="824"/>
    </row>
    <row r="46" spans="1:76" ht="27.95" hidden="1" customHeight="1" outlineLevel="1">
      <c r="B46" s="1347"/>
      <c r="C46" s="2022"/>
      <c r="D46" s="1615"/>
      <c r="E46" s="1616"/>
      <c r="F46" s="1616"/>
      <c r="G46" s="1616"/>
      <c r="H46" s="1616"/>
      <c r="I46" s="1616"/>
      <c r="J46" s="1616"/>
      <c r="K46" s="1616"/>
      <c r="L46" s="1616"/>
      <c r="M46" s="1616"/>
      <c r="N46" s="1617"/>
      <c r="O46" s="2038"/>
      <c r="P46" s="2039"/>
      <c r="Q46" s="2039"/>
      <c r="R46" s="2039"/>
      <c r="S46" s="2039"/>
      <c r="T46" s="2039"/>
      <c r="U46" s="2039"/>
      <c r="V46" s="2040"/>
      <c r="W46" s="1618"/>
      <c r="X46" s="1619"/>
      <c r="Y46" s="1620"/>
      <c r="Z46" s="1542"/>
      <c r="AA46" s="1542"/>
      <c r="AB46" s="1542"/>
      <c r="AC46" s="1542"/>
      <c r="AD46" s="1542"/>
      <c r="AE46" s="1542"/>
      <c r="AF46" s="1542"/>
      <c r="AG46" s="1542"/>
      <c r="AH46" s="1542"/>
      <c r="AI46" s="2026"/>
      <c r="AJ46" s="824"/>
      <c r="AK46" s="128"/>
      <c r="AL46" s="128"/>
      <c r="AM46" s="128"/>
      <c r="AN46" s="128"/>
      <c r="AP46" s="1347"/>
      <c r="AQ46" s="2022"/>
      <c r="AR46" s="1615"/>
      <c r="AS46" s="1616"/>
      <c r="AT46" s="1616"/>
      <c r="AU46" s="1616"/>
      <c r="AV46" s="1616"/>
      <c r="AW46" s="1616"/>
      <c r="AX46" s="1616"/>
      <c r="AY46" s="1616"/>
      <c r="AZ46" s="1616"/>
      <c r="BA46" s="1616"/>
      <c r="BB46" s="1617"/>
      <c r="BC46" s="2041"/>
      <c r="BD46" s="2042"/>
      <c r="BE46" s="2042"/>
      <c r="BF46" s="2042"/>
      <c r="BG46" s="2042"/>
      <c r="BH46" s="2042"/>
      <c r="BI46" s="2042"/>
      <c r="BJ46" s="2043"/>
      <c r="BK46" s="1618"/>
      <c r="BL46" s="1619"/>
      <c r="BM46" s="1620"/>
      <c r="BN46" s="1542"/>
      <c r="BO46" s="1542"/>
      <c r="BP46" s="1542"/>
      <c r="BQ46" s="1542"/>
      <c r="BR46" s="1542"/>
      <c r="BS46" s="1542"/>
      <c r="BT46" s="1542"/>
      <c r="BU46" s="1542"/>
      <c r="BV46" s="1542"/>
      <c r="BW46" s="2026"/>
      <c r="BX46" s="824"/>
    </row>
    <row r="47" spans="1:76" ht="27.95" hidden="1" customHeight="1" outlineLevel="1">
      <c r="B47" s="1347"/>
      <c r="C47" s="2022"/>
      <c r="D47" s="1615"/>
      <c r="E47" s="1616"/>
      <c r="F47" s="1616"/>
      <c r="G47" s="1616"/>
      <c r="H47" s="1616"/>
      <c r="I47" s="1616"/>
      <c r="J47" s="1616"/>
      <c r="K47" s="1616"/>
      <c r="L47" s="1616"/>
      <c r="M47" s="1616"/>
      <c r="N47" s="1617"/>
      <c r="O47" s="2038"/>
      <c r="P47" s="2039"/>
      <c r="Q47" s="2039"/>
      <c r="R47" s="2039"/>
      <c r="S47" s="2039"/>
      <c r="T47" s="2039"/>
      <c r="U47" s="2039"/>
      <c r="V47" s="2040"/>
      <c r="W47" s="1618"/>
      <c r="X47" s="1619"/>
      <c r="Y47" s="1620"/>
      <c r="Z47" s="1542"/>
      <c r="AA47" s="1542"/>
      <c r="AB47" s="1542"/>
      <c r="AC47" s="1542"/>
      <c r="AD47" s="1542"/>
      <c r="AE47" s="1542"/>
      <c r="AF47" s="1542"/>
      <c r="AG47" s="1542"/>
      <c r="AH47" s="1542"/>
      <c r="AI47" s="2026"/>
      <c r="AJ47" s="824"/>
      <c r="AK47" s="128"/>
      <c r="AL47" s="128"/>
      <c r="AM47" s="128"/>
      <c r="AN47" s="128"/>
      <c r="AP47" s="1347"/>
      <c r="AQ47" s="2022"/>
      <c r="AR47" s="1615"/>
      <c r="AS47" s="1616"/>
      <c r="AT47" s="1616"/>
      <c r="AU47" s="1616"/>
      <c r="AV47" s="1616"/>
      <c r="AW47" s="1616"/>
      <c r="AX47" s="1616"/>
      <c r="AY47" s="1616"/>
      <c r="AZ47" s="1616"/>
      <c r="BA47" s="1616"/>
      <c r="BB47" s="1617"/>
      <c r="BC47" s="2041"/>
      <c r="BD47" s="2042"/>
      <c r="BE47" s="2042"/>
      <c r="BF47" s="2042"/>
      <c r="BG47" s="2042"/>
      <c r="BH47" s="2042"/>
      <c r="BI47" s="2042"/>
      <c r="BJ47" s="2043"/>
      <c r="BK47" s="1618"/>
      <c r="BL47" s="1619"/>
      <c r="BM47" s="1620"/>
      <c r="BN47" s="1542"/>
      <c r="BO47" s="1542"/>
      <c r="BP47" s="1542"/>
      <c r="BQ47" s="1542"/>
      <c r="BR47" s="1542"/>
      <c r="BS47" s="1542"/>
      <c r="BT47" s="1542"/>
      <c r="BU47" s="1542"/>
      <c r="BV47" s="1542"/>
      <c r="BW47" s="2026"/>
      <c r="BX47" s="824"/>
    </row>
    <row r="48" spans="1:76" ht="27.95" hidden="1" customHeight="1" outlineLevel="1">
      <c r="B48" s="1347"/>
      <c r="C48" s="2022"/>
      <c r="D48" s="1615"/>
      <c r="E48" s="1616"/>
      <c r="F48" s="1616"/>
      <c r="G48" s="1616"/>
      <c r="H48" s="1616"/>
      <c r="I48" s="1616"/>
      <c r="J48" s="1616"/>
      <c r="K48" s="1616"/>
      <c r="L48" s="1616"/>
      <c r="M48" s="1616"/>
      <c r="N48" s="1617"/>
      <c r="O48" s="2038"/>
      <c r="P48" s="2039"/>
      <c r="Q48" s="2039"/>
      <c r="R48" s="2039"/>
      <c r="S48" s="2039"/>
      <c r="T48" s="2039"/>
      <c r="U48" s="2039"/>
      <c r="V48" s="2040"/>
      <c r="W48" s="1618"/>
      <c r="X48" s="1619"/>
      <c r="Y48" s="1620"/>
      <c r="Z48" s="1542"/>
      <c r="AA48" s="1542"/>
      <c r="AB48" s="1542"/>
      <c r="AC48" s="1542"/>
      <c r="AD48" s="1542"/>
      <c r="AE48" s="1542"/>
      <c r="AF48" s="1542"/>
      <c r="AG48" s="1542"/>
      <c r="AH48" s="1542"/>
      <c r="AI48" s="2026"/>
      <c r="AJ48" s="824"/>
      <c r="AK48" s="128"/>
      <c r="AL48" s="128"/>
      <c r="AM48" s="128"/>
      <c r="AN48" s="128"/>
      <c r="AP48" s="1347"/>
      <c r="AQ48" s="2022"/>
      <c r="AR48" s="1615"/>
      <c r="AS48" s="1616"/>
      <c r="AT48" s="1616"/>
      <c r="AU48" s="1616"/>
      <c r="AV48" s="1616"/>
      <c r="AW48" s="1616"/>
      <c r="AX48" s="1616"/>
      <c r="AY48" s="1616"/>
      <c r="AZ48" s="1616"/>
      <c r="BA48" s="1616"/>
      <c r="BB48" s="1617"/>
      <c r="BC48" s="2041"/>
      <c r="BD48" s="2042"/>
      <c r="BE48" s="2042"/>
      <c r="BF48" s="2042"/>
      <c r="BG48" s="2042"/>
      <c r="BH48" s="2042"/>
      <c r="BI48" s="2042"/>
      <c r="BJ48" s="2043"/>
      <c r="BK48" s="1618"/>
      <c r="BL48" s="1619"/>
      <c r="BM48" s="1620"/>
      <c r="BN48" s="1542"/>
      <c r="BO48" s="1542"/>
      <c r="BP48" s="1542"/>
      <c r="BQ48" s="1542"/>
      <c r="BR48" s="1542"/>
      <c r="BS48" s="1542"/>
      <c r="BT48" s="1542"/>
      <c r="BU48" s="1542"/>
      <c r="BV48" s="1542"/>
      <c r="BW48" s="2026"/>
      <c r="BX48" s="824"/>
    </row>
    <row r="49" spans="1:76" ht="27.95" hidden="1" customHeight="1" outlineLevel="1">
      <c r="B49" s="1347"/>
      <c r="C49" s="2022"/>
      <c r="D49" s="1615"/>
      <c r="E49" s="1616"/>
      <c r="F49" s="1616"/>
      <c r="G49" s="1616"/>
      <c r="H49" s="1616"/>
      <c r="I49" s="1616"/>
      <c r="J49" s="1616"/>
      <c r="K49" s="1616"/>
      <c r="L49" s="1616"/>
      <c r="M49" s="1616"/>
      <c r="N49" s="1617"/>
      <c r="O49" s="2038"/>
      <c r="P49" s="2039"/>
      <c r="Q49" s="2039"/>
      <c r="R49" s="2039"/>
      <c r="S49" s="2039"/>
      <c r="T49" s="2039"/>
      <c r="U49" s="2039"/>
      <c r="V49" s="2040"/>
      <c r="W49" s="1618"/>
      <c r="X49" s="1619"/>
      <c r="Y49" s="1620"/>
      <c r="Z49" s="1542"/>
      <c r="AA49" s="1542"/>
      <c r="AB49" s="1542"/>
      <c r="AC49" s="1542"/>
      <c r="AD49" s="1542"/>
      <c r="AE49" s="1542"/>
      <c r="AF49" s="1542"/>
      <c r="AG49" s="1542"/>
      <c r="AH49" s="1542"/>
      <c r="AI49" s="2026"/>
      <c r="AJ49" s="824"/>
      <c r="AK49" s="128"/>
      <c r="AL49" s="128"/>
      <c r="AM49" s="128"/>
      <c r="AN49" s="128"/>
      <c r="AP49" s="1347"/>
      <c r="AQ49" s="2022"/>
      <c r="AR49" s="1615"/>
      <c r="AS49" s="1616"/>
      <c r="AT49" s="1616"/>
      <c r="AU49" s="1616"/>
      <c r="AV49" s="1616"/>
      <c r="AW49" s="1616"/>
      <c r="AX49" s="1616"/>
      <c r="AY49" s="1616"/>
      <c r="AZ49" s="1616"/>
      <c r="BA49" s="1616"/>
      <c r="BB49" s="1617"/>
      <c r="BC49" s="2041"/>
      <c r="BD49" s="2042"/>
      <c r="BE49" s="2042"/>
      <c r="BF49" s="2042"/>
      <c r="BG49" s="2042"/>
      <c r="BH49" s="2042"/>
      <c r="BI49" s="2042"/>
      <c r="BJ49" s="2043"/>
      <c r="BK49" s="1618"/>
      <c r="BL49" s="1619"/>
      <c r="BM49" s="1620"/>
      <c r="BN49" s="1542"/>
      <c r="BO49" s="1542"/>
      <c r="BP49" s="1542"/>
      <c r="BQ49" s="1542"/>
      <c r="BR49" s="1542"/>
      <c r="BS49" s="1542"/>
      <c r="BT49" s="1542"/>
      <c r="BU49" s="1542"/>
      <c r="BV49" s="1542"/>
      <c r="BW49" s="2026"/>
      <c r="BX49" s="824"/>
    </row>
    <row r="50" spans="1:76" ht="27.95" hidden="1" customHeight="1" outlineLevel="1">
      <c r="B50" s="1347"/>
      <c r="C50" s="2022"/>
      <c r="D50" s="1615"/>
      <c r="E50" s="1616"/>
      <c r="F50" s="1616"/>
      <c r="G50" s="1616"/>
      <c r="H50" s="1616"/>
      <c r="I50" s="1616"/>
      <c r="J50" s="1616"/>
      <c r="K50" s="1616"/>
      <c r="L50" s="1616"/>
      <c r="M50" s="1616"/>
      <c r="N50" s="1617"/>
      <c r="O50" s="2038"/>
      <c r="P50" s="2039"/>
      <c r="Q50" s="2039"/>
      <c r="R50" s="2039"/>
      <c r="S50" s="2039"/>
      <c r="T50" s="2039"/>
      <c r="U50" s="2039"/>
      <c r="V50" s="2040"/>
      <c r="W50" s="1618"/>
      <c r="X50" s="1619"/>
      <c r="Y50" s="1620"/>
      <c r="Z50" s="1542"/>
      <c r="AA50" s="1542"/>
      <c r="AB50" s="1542"/>
      <c r="AC50" s="1542"/>
      <c r="AD50" s="1542"/>
      <c r="AE50" s="1542"/>
      <c r="AF50" s="1542"/>
      <c r="AG50" s="1542"/>
      <c r="AH50" s="1542"/>
      <c r="AI50" s="2026"/>
      <c r="AJ50" s="824"/>
      <c r="AK50" s="128"/>
      <c r="AL50" s="128"/>
      <c r="AM50" s="128"/>
      <c r="AN50" s="128"/>
      <c r="AP50" s="1347"/>
      <c r="AQ50" s="2022"/>
      <c r="AR50" s="1615"/>
      <c r="AS50" s="1616"/>
      <c r="AT50" s="1616"/>
      <c r="AU50" s="1616"/>
      <c r="AV50" s="1616"/>
      <c r="AW50" s="1616"/>
      <c r="AX50" s="1616"/>
      <c r="AY50" s="1616"/>
      <c r="AZ50" s="1616"/>
      <c r="BA50" s="1616"/>
      <c r="BB50" s="1617"/>
      <c r="BC50" s="2041"/>
      <c r="BD50" s="2042"/>
      <c r="BE50" s="2042"/>
      <c r="BF50" s="2042"/>
      <c r="BG50" s="2042"/>
      <c r="BH50" s="2042"/>
      <c r="BI50" s="2042"/>
      <c r="BJ50" s="2043"/>
      <c r="BK50" s="1618"/>
      <c r="BL50" s="1619"/>
      <c r="BM50" s="1620"/>
      <c r="BN50" s="1542"/>
      <c r="BO50" s="1542"/>
      <c r="BP50" s="1542"/>
      <c r="BQ50" s="1542"/>
      <c r="BR50" s="1542"/>
      <c r="BS50" s="1542"/>
      <c r="BT50" s="1542"/>
      <c r="BU50" s="1542"/>
      <c r="BV50" s="1542"/>
      <c r="BW50" s="2026"/>
      <c r="BX50" s="824"/>
    </row>
    <row r="51" spans="1:76" ht="27.95" hidden="1" customHeight="1" outlineLevel="1">
      <c r="B51" s="1347"/>
      <c r="C51" s="2022"/>
      <c r="D51" s="1615"/>
      <c r="E51" s="1616"/>
      <c r="F51" s="1616"/>
      <c r="G51" s="1616"/>
      <c r="H51" s="1616"/>
      <c r="I51" s="1616"/>
      <c r="J51" s="1616"/>
      <c r="K51" s="1616"/>
      <c r="L51" s="1616"/>
      <c r="M51" s="1616"/>
      <c r="N51" s="1617"/>
      <c r="O51" s="2038"/>
      <c r="P51" s="2039"/>
      <c r="Q51" s="2039"/>
      <c r="R51" s="2039"/>
      <c r="S51" s="2039"/>
      <c r="T51" s="2039"/>
      <c r="U51" s="2039"/>
      <c r="V51" s="2040"/>
      <c r="W51" s="1618"/>
      <c r="X51" s="1619"/>
      <c r="Y51" s="1620"/>
      <c r="Z51" s="1542"/>
      <c r="AA51" s="1542"/>
      <c r="AB51" s="1542"/>
      <c r="AC51" s="1542"/>
      <c r="AD51" s="1542"/>
      <c r="AE51" s="1542"/>
      <c r="AF51" s="1542"/>
      <c r="AG51" s="1542"/>
      <c r="AH51" s="1542"/>
      <c r="AI51" s="2026"/>
      <c r="AJ51" s="824"/>
      <c r="AK51" s="128"/>
      <c r="AL51" s="128"/>
      <c r="AM51" s="128"/>
      <c r="AN51" s="128"/>
      <c r="AP51" s="1347"/>
      <c r="AQ51" s="2022"/>
      <c r="AR51" s="1615"/>
      <c r="AS51" s="1616"/>
      <c r="AT51" s="1616"/>
      <c r="AU51" s="1616"/>
      <c r="AV51" s="1616"/>
      <c r="AW51" s="1616"/>
      <c r="AX51" s="1616"/>
      <c r="AY51" s="1616"/>
      <c r="AZ51" s="1616"/>
      <c r="BA51" s="1616"/>
      <c r="BB51" s="1617"/>
      <c r="BC51" s="2041"/>
      <c r="BD51" s="2042"/>
      <c r="BE51" s="2042"/>
      <c r="BF51" s="2042"/>
      <c r="BG51" s="2042"/>
      <c r="BH51" s="2042"/>
      <c r="BI51" s="2042"/>
      <c r="BJ51" s="2043"/>
      <c r="BK51" s="1618"/>
      <c r="BL51" s="1619"/>
      <c r="BM51" s="1620"/>
      <c r="BN51" s="1542"/>
      <c r="BO51" s="1542"/>
      <c r="BP51" s="1542"/>
      <c r="BQ51" s="1542"/>
      <c r="BR51" s="1542"/>
      <c r="BS51" s="1542"/>
      <c r="BT51" s="1542"/>
      <c r="BU51" s="1542"/>
      <c r="BV51" s="1542"/>
      <c r="BW51" s="2026"/>
      <c r="BX51" s="824"/>
    </row>
    <row r="52" spans="1:76" ht="27.95" hidden="1" customHeight="1" outlineLevel="1">
      <c r="B52" s="1347"/>
      <c r="C52" s="2022"/>
      <c r="D52" s="1615"/>
      <c r="E52" s="1616"/>
      <c r="F52" s="1616"/>
      <c r="G52" s="1616"/>
      <c r="H52" s="1616"/>
      <c r="I52" s="1616"/>
      <c r="J52" s="1616"/>
      <c r="K52" s="1616"/>
      <c r="L52" s="1616"/>
      <c r="M52" s="1616"/>
      <c r="N52" s="1617"/>
      <c r="O52" s="2038"/>
      <c r="P52" s="2039"/>
      <c r="Q52" s="2039"/>
      <c r="R52" s="2039"/>
      <c r="S52" s="2039"/>
      <c r="T52" s="2039"/>
      <c r="U52" s="2039"/>
      <c r="V52" s="2040"/>
      <c r="W52" s="1618"/>
      <c r="X52" s="1619"/>
      <c r="Y52" s="1620"/>
      <c r="Z52" s="1542"/>
      <c r="AA52" s="1542"/>
      <c r="AB52" s="1542"/>
      <c r="AC52" s="1542"/>
      <c r="AD52" s="1542"/>
      <c r="AE52" s="1542"/>
      <c r="AF52" s="1542"/>
      <c r="AG52" s="1542"/>
      <c r="AH52" s="1542"/>
      <c r="AI52" s="2026"/>
      <c r="AJ52" s="824"/>
      <c r="AK52" s="128"/>
      <c r="AL52" s="128"/>
      <c r="AM52" s="128"/>
      <c r="AN52" s="128"/>
      <c r="AP52" s="1347"/>
      <c r="AQ52" s="2022"/>
      <c r="AR52" s="1615"/>
      <c r="AS52" s="1616"/>
      <c r="AT52" s="1616"/>
      <c r="AU52" s="1616"/>
      <c r="AV52" s="1616"/>
      <c r="AW52" s="1616"/>
      <c r="AX52" s="1616"/>
      <c r="AY52" s="1616"/>
      <c r="AZ52" s="1616"/>
      <c r="BA52" s="1616"/>
      <c r="BB52" s="1617"/>
      <c r="BC52" s="2041"/>
      <c r="BD52" s="2042"/>
      <c r="BE52" s="2042"/>
      <c r="BF52" s="2042"/>
      <c r="BG52" s="2042"/>
      <c r="BH52" s="2042"/>
      <c r="BI52" s="2042"/>
      <c r="BJ52" s="2043"/>
      <c r="BK52" s="1618"/>
      <c r="BL52" s="1619"/>
      <c r="BM52" s="1620"/>
      <c r="BN52" s="1542"/>
      <c r="BO52" s="1542"/>
      <c r="BP52" s="1542"/>
      <c r="BQ52" s="1542"/>
      <c r="BR52" s="1542"/>
      <c r="BS52" s="1542"/>
      <c r="BT52" s="1542"/>
      <c r="BU52" s="1542"/>
      <c r="BV52" s="1542"/>
      <c r="BW52" s="2026"/>
      <c r="BX52" s="824"/>
    </row>
    <row r="53" spans="1:76" ht="27.95" hidden="1" customHeight="1" outlineLevel="1">
      <c r="B53" s="1347"/>
      <c r="C53" s="2022"/>
      <c r="D53" s="1615"/>
      <c r="E53" s="1616"/>
      <c r="F53" s="1616"/>
      <c r="G53" s="1616"/>
      <c r="H53" s="1616"/>
      <c r="I53" s="1616"/>
      <c r="J53" s="1616"/>
      <c r="K53" s="1616"/>
      <c r="L53" s="1616"/>
      <c r="M53" s="1616"/>
      <c r="N53" s="1617"/>
      <c r="O53" s="2038"/>
      <c r="P53" s="2039"/>
      <c r="Q53" s="2039"/>
      <c r="R53" s="2039"/>
      <c r="S53" s="2039"/>
      <c r="T53" s="2039"/>
      <c r="U53" s="2039"/>
      <c r="V53" s="2040"/>
      <c r="W53" s="1618"/>
      <c r="X53" s="1619"/>
      <c r="Y53" s="1620"/>
      <c r="Z53" s="1542"/>
      <c r="AA53" s="1542"/>
      <c r="AB53" s="1542"/>
      <c r="AC53" s="1542"/>
      <c r="AD53" s="1542"/>
      <c r="AE53" s="1542"/>
      <c r="AF53" s="1542"/>
      <c r="AG53" s="1542"/>
      <c r="AH53" s="1542"/>
      <c r="AI53" s="2026"/>
      <c r="AJ53" s="824"/>
      <c r="AK53" s="128"/>
      <c r="AL53" s="128"/>
      <c r="AM53" s="128"/>
      <c r="AN53" s="128"/>
      <c r="AP53" s="1347"/>
      <c r="AQ53" s="2022"/>
      <c r="AR53" s="1615"/>
      <c r="AS53" s="1616"/>
      <c r="AT53" s="1616"/>
      <c r="AU53" s="1616"/>
      <c r="AV53" s="1616"/>
      <c r="AW53" s="1616"/>
      <c r="AX53" s="1616"/>
      <c r="AY53" s="1616"/>
      <c r="AZ53" s="1616"/>
      <c r="BA53" s="1616"/>
      <c r="BB53" s="1617"/>
      <c r="BC53" s="2041"/>
      <c r="BD53" s="2042"/>
      <c r="BE53" s="2042"/>
      <c r="BF53" s="2042"/>
      <c r="BG53" s="2042"/>
      <c r="BH53" s="2042"/>
      <c r="BI53" s="2042"/>
      <c r="BJ53" s="2043"/>
      <c r="BK53" s="1618"/>
      <c r="BL53" s="1619"/>
      <c r="BM53" s="1620"/>
      <c r="BN53" s="1542"/>
      <c r="BO53" s="1542"/>
      <c r="BP53" s="1542"/>
      <c r="BQ53" s="1542"/>
      <c r="BR53" s="1542"/>
      <c r="BS53" s="1542"/>
      <c r="BT53" s="1542"/>
      <c r="BU53" s="1542"/>
      <c r="BV53" s="1542"/>
      <c r="BW53" s="2026"/>
      <c r="BX53" s="824"/>
    </row>
    <row r="54" spans="1:76" ht="27.95" hidden="1" customHeight="1" outlineLevel="1">
      <c r="B54" s="1347"/>
      <c r="C54" s="2022"/>
      <c r="D54" s="1615"/>
      <c r="E54" s="1616"/>
      <c r="F54" s="1616"/>
      <c r="G54" s="1616"/>
      <c r="H54" s="1616"/>
      <c r="I54" s="1616"/>
      <c r="J54" s="1616"/>
      <c r="K54" s="1616"/>
      <c r="L54" s="1616"/>
      <c r="M54" s="1616"/>
      <c r="N54" s="1617"/>
      <c r="O54" s="2038"/>
      <c r="P54" s="2039"/>
      <c r="Q54" s="2039"/>
      <c r="R54" s="2039"/>
      <c r="S54" s="2039"/>
      <c r="T54" s="2039"/>
      <c r="U54" s="2039"/>
      <c r="V54" s="2040"/>
      <c r="W54" s="1618"/>
      <c r="X54" s="1619"/>
      <c r="Y54" s="1620"/>
      <c r="Z54" s="1542"/>
      <c r="AA54" s="1542"/>
      <c r="AB54" s="1542"/>
      <c r="AC54" s="1542"/>
      <c r="AD54" s="1542"/>
      <c r="AE54" s="1542"/>
      <c r="AF54" s="1542"/>
      <c r="AG54" s="1542"/>
      <c r="AH54" s="1542"/>
      <c r="AI54" s="2026"/>
      <c r="AJ54" s="824"/>
      <c r="AK54" s="128"/>
      <c r="AL54" s="128"/>
      <c r="AM54" s="128"/>
      <c r="AN54" s="128"/>
      <c r="AP54" s="1347"/>
      <c r="AQ54" s="2022"/>
      <c r="AR54" s="1615"/>
      <c r="AS54" s="1616"/>
      <c r="AT54" s="1616"/>
      <c r="AU54" s="1616"/>
      <c r="AV54" s="1616"/>
      <c r="AW54" s="1616"/>
      <c r="AX54" s="1616"/>
      <c r="AY54" s="1616"/>
      <c r="AZ54" s="1616"/>
      <c r="BA54" s="1616"/>
      <c r="BB54" s="1617"/>
      <c r="BC54" s="2041"/>
      <c r="BD54" s="2042"/>
      <c r="BE54" s="2042"/>
      <c r="BF54" s="2042"/>
      <c r="BG54" s="2042"/>
      <c r="BH54" s="2042"/>
      <c r="BI54" s="2042"/>
      <c r="BJ54" s="2043"/>
      <c r="BK54" s="1618"/>
      <c r="BL54" s="1619"/>
      <c r="BM54" s="1620"/>
      <c r="BN54" s="1542"/>
      <c r="BO54" s="1542"/>
      <c r="BP54" s="1542"/>
      <c r="BQ54" s="1542"/>
      <c r="BR54" s="1542"/>
      <c r="BS54" s="1542"/>
      <c r="BT54" s="1542"/>
      <c r="BU54" s="1542"/>
      <c r="BV54" s="1542"/>
      <c r="BW54" s="2026"/>
      <c r="BX54" s="824"/>
    </row>
    <row r="55" spans="1:76" ht="27.95" hidden="1" customHeight="1" outlineLevel="1">
      <c r="B55" s="1347"/>
      <c r="C55" s="2022"/>
      <c r="D55" s="1615"/>
      <c r="E55" s="1616"/>
      <c r="F55" s="1616"/>
      <c r="G55" s="1616"/>
      <c r="H55" s="1616"/>
      <c r="I55" s="1616"/>
      <c r="J55" s="1616"/>
      <c r="K55" s="1616"/>
      <c r="L55" s="1616"/>
      <c r="M55" s="1616"/>
      <c r="N55" s="1617"/>
      <c r="O55" s="2038"/>
      <c r="P55" s="2039"/>
      <c r="Q55" s="2039"/>
      <c r="R55" s="2039"/>
      <c r="S55" s="2039"/>
      <c r="T55" s="2039"/>
      <c r="U55" s="2039"/>
      <c r="V55" s="2040"/>
      <c r="W55" s="1618"/>
      <c r="X55" s="1619"/>
      <c r="Y55" s="1620"/>
      <c r="Z55" s="1542"/>
      <c r="AA55" s="1542"/>
      <c r="AB55" s="1542"/>
      <c r="AC55" s="1542"/>
      <c r="AD55" s="1542"/>
      <c r="AE55" s="1542"/>
      <c r="AF55" s="1542"/>
      <c r="AG55" s="1542"/>
      <c r="AH55" s="1542"/>
      <c r="AI55" s="2026"/>
      <c r="AJ55" s="824"/>
      <c r="AK55" s="128"/>
      <c r="AL55" s="128"/>
      <c r="AM55" s="128"/>
      <c r="AN55" s="128"/>
      <c r="AP55" s="1347"/>
      <c r="AQ55" s="2022"/>
      <c r="AR55" s="1615"/>
      <c r="AS55" s="1616"/>
      <c r="AT55" s="1616"/>
      <c r="AU55" s="1616"/>
      <c r="AV55" s="1616"/>
      <c r="AW55" s="1616"/>
      <c r="AX55" s="1616"/>
      <c r="AY55" s="1616"/>
      <c r="AZ55" s="1616"/>
      <c r="BA55" s="1616"/>
      <c r="BB55" s="1617"/>
      <c r="BC55" s="2041"/>
      <c r="BD55" s="2042"/>
      <c r="BE55" s="2042"/>
      <c r="BF55" s="2042"/>
      <c r="BG55" s="2042"/>
      <c r="BH55" s="2042"/>
      <c r="BI55" s="2042"/>
      <c r="BJ55" s="2043"/>
      <c r="BK55" s="1618"/>
      <c r="BL55" s="1619"/>
      <c r="BM55" s="1620"/>
      <c r="BN55" s="1542"/>
      <c r="BO55" s="1542"/>
      <c r="BP55" s="1542"/>
      <c r="BQ55" s="1542"/>
      <c r="BR55" s="1542"/>
      <c r="BS55" s="1542"/>
      <c r="BT55" s="1542"/>
      <c r="BU55" s="1542"/>
      <c r="BV55" s="1542"/>
      <c r="BW55" s="2026"/>
      <c r="BX55" s="824"/>
    </row>
    <row r="56" spans="1:76" ht="27.95" hidden="1" customHeight="1" outlineLevel="1">
      <c r="B56" s="1347"/>
      <c r="C56" s="2022"/>
      <c r="D56" s="1615"/>
      <c r="E56" s="1616"/>
      <c r="F56" s="1616"/>
      <c r="G56" s="1616"/>
      <c r="H56" s="1616"/>
      <c r="I56" s="1616"/>
      <c r="J56" s="1616"/>
      <c r="K56" s="1616"/>
      <c r="L56" s="1616"/>
      <c r="M56" s="1616"/>
      <c r="N56" s="1617"/>
      <c r="O56" s="2038"/>
      <c r="P56" s="2039"/>
      <c r="Q56" s="2039"/>
      <c r="R56" s="2039"/>
      <c r="S56" s="2039"/>
      <c r="T56" s="2039"/>
      <c r="U56" s="2039"/>
      <c r="V56" s="2040"/>
      <c r="W56" s="1618"/>
      <c r="X56" s="1619"/>
      <c r="Y56" s="1620"/>
      <c r="Z56" s="1542"/>
      <c r="AA56" s="1542"/>
      <c r="AB56" s="1542"/>
      <c r="AC56" s="1542"/>
      <c r="AD56" s="1542"/>
      <c r="AE56" s="1542"/>
      <c r="AF56" s="1542"/>
      <c r="AG56" s="1542"/>
      <c r="AH56" s="1542"/>
      <c r="AI56" s="2026"/>
      <c r="AJ56" s="824"/>
      <c r="AK56" s="128"/>
      <c r="AL56" s="128"/>
      <c r="AM56" s="128"/>
      <c r="AN56" s="128"/>
      <c r="AP56" s="1347"/>
      <c r="AQ56" s="2022"/>
      <c r="AR56" s="1615"/>
      <c r="AS56" s="1616"/>
      <c r="AT56" s="1616"/>
      <c r="AU56" s="1616"/>
      <c r="AV56" s="1616"/>
      <c r="AW56" s="1616"/>
      <c r="AX56" s="1616"/>
      <c r="AY56" s="1616"/>
      <c r="AZ56" s="1616"/>
      <c r="BA56" s="1616"/>
      <c r="BB56" s="1617"/>
      <c r="BC56" s="2041"/>
      <c r="BD56" s="2042"/>
      <c r="BE56" s="2042"/>
      <c r="BF56" s="2042"/>
      <c r="BG56" s="2042"/>
      <c r="BH56" s="2042"/>
      <c r="BI56" s="2042"/>
      <c r="BJ56" s="2043"/>
      <c r="BK56" s="1618"/>
      <c r="BL56" s="1619"/>
      <c r="BM56" s="1620"/>
      <c r="BN56" s="1542"/>
      <c r="BO56" s="1542"/>
      <c r="BP56" s="1542"/>
      <c r="BQ56" s="1542"/>
      <c r="BR56" s="1542"/>
      <c r="BS56" s="1542"/>
      <c r="BT56" s="1542"/>
      <c r="BU56" s="1542"/>
      <c r="BV56" s="1542"/>
      <c r="BW56" s="2026"/>
      <c r="BX56" s="824"/>
    </row>
    <row r="57" spans="1:76" ht="27.95" hidden="1" customHeight="1" outlineLevel="1">
      <c r="B57" s="1347"/>
      <c r="C57" s="2022"/>
      <c r="D57" s="1615"/>
      <c r="E57" s="1616"/>
      <c r="F57" s="1616"/>
      <c r="G57" s="1616"/>
      <c r="H57" s="1616"/>
      <c r="I57" s="1616"/>
      <c r="J57" s="1616"/>
      <c r="K57" s="1616"/>
      <c r="L57" s="1616"/>
      <c r="M57" s="1616"/>
      <c r="N57" s="1617"/>
      <c r="O57" s="2038"/>
      <c r="P57" s="2039"/>
      <c r="Q57" s="2039"/>
      <c r="R57" s="2039"/>
      <c r="S57" s="2039"/>
      <c r="T57" s="2039"/>
      <c r="U57" s="2039"/>
      <c r="V57" s="2040"/>
      <c r="W57" s="1618"/>
      <c r="X57" s="1619"/>
      <c r="Y57" s="1620"/>
      <c r="Z57" s="1542"/>
      <c r="AA57" s="1542"/>
      <c r="AB57" s="1542"/>
      <c r="AC57" s="1542"/>
      <c r="AD57" s="1542"/>
      <c r="AE57" s="1542"/>
      <c r="AF57" s="1542"/>
      <c r="AG57" s="1542"/>
      <c r="AH57" s="1542"/>
      <c r="AI57" s="2026"/>
      <c r="AJ57" s="824"/>
      <c r="AK57" s="128"/>
      <c r="AL57" s="128"/>
      <c r="AM57" s="128"/>
      <c r="AN57" s="128"/>
      <c r="AP57" s="1347"/>
      <c r="AQ57" s="2022"/>
      <c r="AR57" s="1615"/>
      <c r="AS57" s="1616"/>
      <c r="AT57" s="1616"/>
      <c r="AU57" s="1616"/>
      <c r="AV57" s="1616"/>
      <c r="AW57" s="1616"/>
      <c r="AX57" s="1616"/>
      <c r="AY57" s="1616"/>
      <c r="AZ57" s="1616"/>
      <c r="BA57" s="1616"/>
      <c r="BB57" s="1617"/>
      <c r="BC57" s="2041"/>
      <c r="BD57" s="2042"/>
      <c r="BE57" s="2042"/>
      <c r="BF57" s="2042"/>
      <c r="BG57" s="2042"/>
      <c r="BH57" s="2042"/>
      <c r="BI57" s="2042"/>
      <c r="BJ57" s="2043"/>
      <c r="BK57" s="1618"/>
      <c r="BL57" s="1619"/>
      <c r="BM57" s="1620"/>
      <c r="BN57" s="1542"/>
      <c r="BO57" s="1542"/>
      <c r="BP57" s="1542"/>
      <c r="BQ57" s="1542"/>
      <c r="BR57" s="1542"/>
      <c r="BS57" s="1542"/>
      <c r="BT57" s="1542"/>
      <c r="BU57" s="1542"/>
      <c r="BV57" s="1542"/>
      <c r="BW57" s="2026"/>
      <c r="BX57" s="824"/>
    </row>
    <row r="58" spans="1:76" ht="27.95" hidden="1" customHeight="1" outlineLevel="1">
      <c r="B58" s="1347"/>
      <c r="C58" s="2022"/>
      <c r="D58" s="1615"/>
      <c r="E58" s="1616"/>
      <c r="F58" s="1616"/>
      <c r="G58" s="1616"/>
      <c r="H58" s="1616"/>
      <c r="I58" s="1616"/>
      <c r="J58" s="1616"/>
      <c r="K58" s="1616"/>
      <c r="L58" s="1616"/>
      <c r="M58" s="1616"/>
      <c r="N58" s="1617"/>
      <c r="O58" s="2038"/>
      <c r="P58" s="2039"/>
      <c r="Q58" s="2039"/>
      <c r="R58" s="2039"/>
      <c r="S58" s="2039"/>
      <c r="T58" s="2039"/>
      <c r="U58" s="2039"/>
      <c r="V58" s="2040"/>
      <c r="W58" s="1618"/>
      <c r="X58" s="1619"/>
      <c r="Y58" s="1620"/>
      <c r="Z58" s="1542"/>
      <c r="AA58" s="1542"/>
      <c r="AB58" s="1542"/>
      <c r="AC58" s="1542"/>
      <c r="AD58" s="1542"/>
      <c r="AE58" s="1542"/>
      <c r="AF58" s="1542"/>
      <c r="AG58" s="1542"/>
      <c r="AH58" s="1542"/>
      <c r="AI58" s="2026"/>
      <c r="AJ58" s="824"/>
      <c r="AK58" s="128"/>
      <c r="AL58" s="128"/>
      <c r="AM58" s="128"/>
      <c r="AN58" s="128"/>
      <c r="AP58" s="1347"/>
      <c r="AQ58" s="2022"/>
      <c r="AR58" s="1615"/>
      <c r="AS58" s="1616"/>
      <c r="AT58" s="1616"/>
      <c r="AU58" s="1616"/>
      <c r="AV58" s="1616"/>
      <c r="AW58" s="1616"/>
      <c r="AX58" s="1616"/>
      <c r="AY58" s="1616"/>
      <c r="AZ58" s="1616"/>
      <c r="BA58" s="1616"/>
      <c r="BB58" s="1617"/>
      <c r="BC58" s="2041"/>
      <c r="BD58" s="2042"/>
      <c r="BE58" s="2042"/>
      <c r="BF58" s="2042"/>
      <c r="BG58" s="2042"/>
      <c r="BH58" s="2042"/>
      <c r="BI58" s="2042"/>
      <c r="BJ58" s="2043"/>
      <c r="BK58" s="1618"/>
      <c r="BL58" s="1619"/>
      <c r="BM58" s="1620"/>
      <c r="BN58" s="1542"/>
      <c r="BO58" s="1542"/>
      <c r="BP58" s="1542"/>
      <c r="BQ58" s="1542"/>
      <c r="BR58" s="1542"/>
      <c r="BS58" s="1542"/>
      <c r="BT58" s="1542"/>
      <c r="BU58" s="1542"/>
      <c r="BV58" s="1542"/>
      <c r="BW58" s="2026"/>
      <c r="BX58" s="824"/>
    </row>
    <row r="59" spans="1:76" ht="27.95" hidden="1" customHeight="1" outlineLevel="1">
      <c r="B59" s="1347"/>
      <c r="C59" s="2022"/>
      <c r="D59" s="1615"/>
      <c r="E59" s="1616"/>
      <c r="F59" s="1616"/>
      <c r="G59" s="1616"/>
      <c r="H59" s="1616"/>
      <c r="I59" s="1616"/>
      <c r="J59" s="1616"/>
      <c r="K59" s="1616"/>
      <c r="L59" s="1616"/>
      <c r="M59" s="1616"/>
      <c r="N59" s="1617"/>
      <c r="O59" s="2038"/>
      <c r="P59" s="2039"/>
      <c r="Q59" s="2039"/>
      <c r="R59" s="2039"/>
      <c r="S59" s="2039"/>
      <c r="T59" s="2039"/>
      <c r="U59" s="2039"/>
      <c r="V59" s="2040"/>
      <c r="W59" s="1618"/>
      <c r="X59" s="1619"/>
      <c r="Y59" s="1620"/>
      <c r="Z59" s="1542"/>
      <c r="AA59" s="1542"/>
      <c r="AB59" s="1542"/>
      <c r="AC59" s="1542"/>
      <c r="AD59" s="1542"/>
      <c r="AE59" s="1542"/>
      <c r="AF59" s="1542"/>
      <c r="AG59" s="1542"/>
      <c r="AH59" s="1542"/>
      <c r="AI59" s="2026"/>
      <c r="AJ59" s="824"/>
      <c r="AK59" s="128"/>
      <c r="AL59" s="128"/>
      <c r="AM59" s="128"/>
      <c r="AN59" s="128"/>
      <c r="AP59" s="1347"/>
      <c r="AQ59" s="2022"/>
      <c r="AR59" s="1615"/>
      <c r="AS59" s="1616"/>
      <c r="AT59" s="1616"/>
      <c r="AU59" s="1616"/>
      <c r="AV59" s="1616"/>
      <c r="AW59" s="1616"/>
      <c r="AX59" s="1616"/>
      <c r="AY59" s="1616"/>
      <c r="AZ59" s="1616"/>
      <c r="BA59" s="1616"/>
      <c r="BB59" s="1617"/>
      <c r="BC59" s="2041"/>
      <c r="BD59" s="2042"/>
      <c r="BE59" s="2042"/>
      <c r="BF59" s="2042"/>
      <c r="BG59" s="2042"/>
      <c r="BH59" s="2042"/>
      <c r="BI59" s="2042"/>
      <c r="BJ59" s="2043"/>
      <c r="BK59" s="1618"/>
      <c r="BL59" s="1619"/>
      <c r="BM59" s="1620"/>
      <c r="BN59" s="1542"/>
      <c r="BO59" s="1542"/>
      <c r="BP59" s="1542"/>
      <c r="BQ59" s="1542"/>
      <c r="BR59" s="1542"/>
      <c r="BS59" s="1542"/>
      <c r="BT59" s="1542"/>
      <c r="BU59" s="1542"/>
      <c r="BV59" s="1542"/>
      <c r="BW59" s="2026"/>
      <c r="BX59" s="824"/>
    </row>
    <row r="60" spans="1:76" ht="27.95" hidden="1" customHeight="1" outlineLevel="1">
      <c r="B60" s="1347"/>
      <c r="C60" s="2022"/>
      <c r="D60" s="1615"/>
      <c r="E60" s="1616"/>
      <c r="F60" s="1616"/>
      <c r="G60" s="1616"/>
      <c r="H60" s="1616"/>
      <c r="I60" s="1616"/>
      <c r="J60" s="1616"/>
      <c r="K60" s="1616"/>
      <c r="L60" s="1616"/>
      <c r="M60" s="1616"/>
      <c r="N60" s="1617"/>
      <c r="O60" s="2038"/>
      <c r="P60" s="2039"/>
      <c r="Q60" s="2039"/>
      <c r="R60" s="2039"/>
      <c r="S60" s="2039"/>
      <c r="T60" s="2039"/>
      <c r="U60" s="2039"/>
      <c r="V60" s="2040"/>
      <c r="W60" s="1618"/>
      <c r="X60" s="1619"/>
      <c r="Y60" s="1620"/>
      <c r="Z60" s="1542"/>
      <c r="AA60" s="1542"/>
      <c r="AB60" s="1542"/>
      <c r="AC60" s="1542"/>
      <c r="AD60" s="1542"/>
      <c r="AE60" s="1542"/>
      <c r="AF60" s="1542"/>
      <c r="AG60" s="1542"/>
      <c r="AH60" s="1542"/>
      <c r="AI60" s="2026"/>
      <c r="AJ60" s="824"/>
      <c r="AK60" s="128"/>
      <c r="AL60" s="128"/>
      <c r="AM60" s="128"/>
      <c r="AN60" s="128"/>
      <c r="AP60" s="1347"/>
      <c r="AQ60" s="2022"/>
      <c r="AR60" s="1615"/>
      <c r="AS60" s="1616"/>
      <c r="AT60" s="1616"/>
      <c r="AU60" s="1616"/>
      <c r="AV60" s="1616"/>
      <c r="AW60" s="1616"/>
      <c r="AX60" s="1616"/>
      <c r="AY60" s="1616"/>
      <c r="AZ60" s="1616"/>
      <c r="BA60" s="1616"/>
      <c r="BB60" s="1617"/>
      <c r="BC60" s="2041"/>
      <c r="BD60" s="2042"/>
      <c r="BE60" s="2042"/>
      <c r="BF60" s="2042"/>
      <c r="BG60" s="2042"/>
      <c r="BH60" s="2042"/>
      <c r="BI60" s="2042"/>
      <c r="BJ60" s="2043"/>
      <c r="BK60" s="1618"/>
      <c r="BL60" s="1619"/>
      <c r="BM60" s="1620"/>
      <c r="BN60" s="1542"/>
      <c r="BO60" s="1542"/>
      <c r="BP60" s="1542"/>
      <c r="BQ60" s="1542"/>
      <c r="BR60" s="1542"/>
      <c r="BS60" s="1542"/>
      <c r="BT60" s="1542"/>
      <c r="BU60" s="1542"/>
      <c r="BV60" s="1542"/>
      <c r="BW60" s="2026"/>
      <c r="BX60" s="824"/>
    </row>
    <row r="61" spans="1:76" ht="27.95" hidden="1" customHeight="1" outlineLevel="1">
      <c r="B61" s="1347"/>
      <c r="C61" s="2022"/>
      <c r="D61" s="1615"/>
      <c r="E61" s="1616"/>
      <c r="F61" s="1616"/>
      <c r="G61" s="1616"/>
      <c r="H61" s="1616"/>
      <c r="I61" s="1616"/>
      <c r="J61" s="1616"/>
      <c r="K61" s="1616"/>
      <c r="L61" s="1616"/>
      <c r="M61" s="1616"/>
      <c r="N61" s="1617"/>
      <c r="O61" s="2038"/>
      <c r="P61" s="2039"/>
      <c r="Q61" s="2039"/>
      <c r="R61" s="2039"/>
      <c r="S61" s="2039"/>
      <c r="T61" s="2039"/>
      <c r="U61" s="2039"/>
      <c r="V61" s="2040"/>
      <c r="W61" s="1618"/>
      <c r="X61" s="1619"/>
      <c r="Y61" s="1620"/>
      <c r="Z61" s="1542"/>
      <c r="AA61" s="1542"/>
      <c r="AB61" s="1542"/>
      <c r="AC61" s="1542"/>
      <c r="AD61" s="1542"/>
      <c r="AE61" s="1542"/>
      <c r="AF61" s="1542"/>
      <c r="AG61" s="1542"/>
      <c r="AH61" s="1542"/>
      <c r="AI61" s="2026"/>
      <c r="AJ61" s="824"/>
      <c r="AK61" s="128"/>
      <c r="AL61" s="128"/>
      <c r="AM61" s="128"/>
      <c r="AN61" s="128"/>
      <c r="AP61" s="1347"/>
      <c r="AQ61" s="2022"/>
      <c r="AR61" s="1615"/>
      <c r="AS61" s="1616"/>
      <c r="AT61" s="1616"/>
      <c r="AU61" s="1616"/>
      <c r="AV61" s="1616"/>
      <c r="AW61" s="1616"/>
      <c r="AX61" s="1616"/>
      <c r="AY61" s="1616"/>
      <c r="AZ61" s="1616"/>
      <c r="BA61" s="1616"/>
      <c r="BB61" s="1617"/>
      <c r="BC61" s="2041"/>
      <c r="BD61" s="2042"/>
      <c r="BE61" s="2042"/>
      <c r="BF61" s="2042"/>
      <c r="BG61" s="2042"/>
      <c r="BH61" s="2042"/>
      <c r="BI61" s="2042"/>
      <c r="BJ61" s="2043"/>
      <c r="BK61" s="1618"/>
      <c r="BL61" s="1619"/>
      <c r="BM61" s="1620"/>
      <c r="BN61" s="1542"/>
      <c r="BO61" s="1542"/>
      <c r="BP61" s="1542"/>
      <c r="BQ61" s="1542"/>
      <c r="BR61" s="1542"/>
      <c r="BS61" s="1542"/>
      <c r="BT61" s="1542"/>
      <c r="BU61" s="1542"/>
      <c r="BV61" s="1542"/>
      <c r="BW61" s="2026"/>
      <c r="BX61" s="824"/>
    </row>
    <row r="62" spans="1:76" ht="27.95" hidden="1" customHeight="1" outlineLevel="1">
      <c r="B62" s="1347"/>
      <c r="C62" s="2022"/>
      <c r="D62" s="1615"/>
      <c r="E62" s="1616"/>
      <c r="F62" s="1616"/>
      <c r="G62" s="1616"/>
      <c r="H62" s="1616"/>
      <c r="I62" s="1616"/>
      <c r="J62" s="1616"/>
      <c r="K62" s="1616"/>
      <c r="L62" s="1616"/>
      <c r="M62" s="1616"/>
      <c r="N62" s="1617"/>
      <c r="O62" s="2038"/>
      <c r="P62" s="2039"/>
      <c r="Q62" s="2039"/>
      <c r="R62" s="2039"/>
      <c r="S62" s="2039"/>
      <c r="T62" s="2039"/>
      <c r="U62" s="2039"/>
      <c r="V62" s="2040"/>
      <c r="W62" s="1618"/>
      <c r="X62" s="1619"/>
      <c r="Y62" s="1620"/>
      <c r="Z62" s="1542"/>
      <c r="AA62" s="1542"/>
      <c r="AB62" s="1542"/>
      <c r="AC62" s="1542"/>
      <c r="AD62" s="1542"/>
      <c r="AE62" s="1542"/>
      <c r="AF62" s="1542"/>
      <c r="AG62" s="1542"/>
      <c r="AH62" s="1542"/>
      <c r="AI62" s="2026"/>
      <c r="AJ62" s="824"/>
      <c r="AK62" s="128"/>
      <c r="AL62" s="128"/>
      <c r="AM62" s="128"/>
      <c r="AN62" s="128"/>
      <c r="AP62" s="1347"/>
      <c r="AQ62" s="2022"/>
      <c r="AR62" s="1615"/>
      <c r="AS62" s="1616"/>
      <c r="AT62" s="1616"/>
      <c r="AU62" s="1616"/>
      <c r="AV62" s="1616"/>
      <c r="AW62" s="1616"/>
      <c r="AX62" s="1616"/>
      <c r="AY62" s="1616"/>
      <c r="AZ62" s="1616"/>
      <c r="BA62" s="1616"/>
      <c r="BB62" s="1617"/>
      <c r="BC62" s="2041"/>
      <c r="BD62" s="2042"/>
      <c r="BE62" s="2042"/>
      <c r="BF62" s="2042"/>
      <c r="BG62" s="2042"/>
      <c r="BH62" s="2042"/>
      <c r="BI62" s="2042"/>
      <c r="BJ62" s="2043"/>
      <c r="BK62" s="1618"/>
      <c r="BL62" s="1619"/>
      <c r="BM62" s="1620"/>
      <c r="BN62" s="1542"/>
      <c r="BO62" s="1542"/>
      <c r="BP62" s="1542"/>
      <c r="BQ62" s="1542"/>
      <c r="BR62" s="1542"/>
      <c r="BS62" s="1542"/>
      <c r="BT62" s="1542"/>
      <c r="BU62" s="1542"/>
      <c r="BV62" s="1542"/>
      <c r="BW62" s="2026"/>
      <c r="BX62" s="824"/>
    </row>
    <row r="63" spans="1:76" ht="27.95" hidden="1" customHeight="1" outlineLevel="1">
      <c r="A63" s="827"/>
      <c r="B63" s="1347"/>
      <c r="C63" s="2022"/>
      <c r="D63" s="1615"/>
      <c r="E63" s="1616"/>
      <c r="F63" s="1616"/>
      <c r="G63" s="1616"/>
      <c r="H63" s="1616"/>
      <c r="I63" s="1616"/>
      <c r="J63" s="1616"/>
      <c r="K63" s="1616"/>
      <c r="L63" s="1616"/>
      <c r="M63" s="1616"/>
      <c r="N63" s="1617"/>
      <c r="O63" s="2038"/>
      <c r="P63" s="2039"/>
      <c r="Q63" s="2039"/>
      <c r="R63" s="2039"/>
      <c r="S63" s="2039"/>
      <c r="T63" s="2039"/>
      <c r="U63" s="2039"/>
      <c r="V63" s="2040"/>
      <c r="W63" s="1618"/>
      <c r="X63" s="1619"/>
      <c r="Y63" s="1620"/>
      <c r="Z63" s="1542"/>
      <c r="AA63" s="1542"/>
      <c r="AB63" s="1542"/>
      <c r="AC63" s="1542"/>
      <c r="AD63" s="1542"/>
      <c r="AE63" s="1542"/>
      <c r="AF63" s="1542"/>
      <c r="AG63" s="1542"/>
      <c r="AH63" s="1542"/>
      <c r="AI63" s="2026"/>
      <c r="AJ63" s="824"/>
      <c r="AK63" s="128"/>
      <c r="AL63" s="128"/>
      <c r="AM63" s="128"/>
      <c r="AN63" s="128"/>
      <c r="AP63" s="1347"/>
      <c r="AQ63" s="2022"/>
      <c r="AR63" s="1615"/>
      <c r="AS63" s="1616"/>
      <c r="AT63" s="1616"/>
      <c r="AU63" s="1616"/>
      <c r="AV63" s="1616"/>
      <c r="AW63" s="1616"/>
      <c r="AX63" s="1616"/>
      <c r="AY63" s="1616"/>
      <c r="AZ63" s="1616"/>
      <c r="BA63" s="1616"/>
      <c r="BB63" s="1617"/>
      <c r="BC63" s="2041"/>
      <c r="BD63" s="2042"/>
      <c r="BE63" s="2042"/>
      <c r="BF63" s="2042"/>
      <c r="BG63" s="2042"/>
      <c r="BH63" s="2042"/>
      <c r="BI63" s="2042"/>
      <c r="BJ63" s="2043"/>
      <c r="BK63" s="1618"/>
      <c r="BL63" s="1619"/>
      <c r="BM63" s="1620"/>
      <c r="BN63" s="1542"/>
      <c r="BO63" s="1542"/>
      <c r="BP63" s="1542"/>
      <c r="BQ63" s="1542"/>
      <c r="BR63" s="1542"/>
      <c r="BS63" s="1542"/>
      <c r="BT63" s="1542"/>
      <c r="BU63" s="1542"/>
      <c r="BV63" s="1542"/>
      <c r="BW63" s="2026"/>
      <c r="BX63" s="824"/>
    </row>
    <row r="64" spans="1:76" ht="27.95" hidden="1" customHeight="1" outlineLevel="1">
      <c r="B64" s="1347"/>
      <c r="C64" s="2022"/>
      <c r="D64" s="1615"/>
      <c r="E64" s="1616"/>
      <c r="F64" s="1616"/>
      <c r="G64" s="1616"/>
      <c r="H64" s="1616"/>
      <c r="I64" s="1616"/>
      <c r="J64" s="1616"/>
      <c r="K64" s="1616"/>
      <c r="L64" s="1616"/>
      <c r="M64" s="1616"/>
      <c r="N64" s="1617"/>
      <c r="O64" s="2038"/>
      <c r="P64" s="2039"/>
      <c r="Q64" s="2039"/>
      <c r="R64" s="2039"/>
      <c r="S64" s="2039"/>
      <c r="T64" s="2039"/>
      <c r="U64" s="2039"/>
      <c r="V64" s="2040"/>
      <c r="W64" s="1618"/>
      <c r="X64" s="1619"/>
      <c r="Y64" s="1620"/>
      <c r="Z64" s="1542"/>
      <c r="AA64" s="1542"/>
      <c r="AB64" s="1542"/>
      <c r="AC64" s="1542"/>
      <c r="AD64" s="1542"/>
      <c r="AE64" s="1542"/>
      <c r="AF64" s="1542"/>
      <c r="AG64" s="1542"/>
      <c r="AH64" s="1542"/>
      <c r="AI64" s="2026"/>
      <c r="AJ64" s="824"/>
      <c r="AK64" s="128"/>
      <c r="AL64" s="128"/>
      <c r="AM64" s="128"/>
      <c r="AN64" s="128"/>
      <c r="AP64" s="1347"/>
      <c r="AQ64" s="2022"/>
      <c r="AR64" s="1615"/>
      <c r="AS64" s="1616"/>
      <c r="AT64" s="1616"/>
      <c r="AU64" s="1616"/>
      <c r="AV64" s="1616"/>
      <c r="AW64" s="1616"/>
      <c r="AX64" s="1616"/>
      <c r="AY64" s="1616"/>
      <c r="AZ64" s="1616"/>
      <c r="BA64" s="1616"/>
      <c r="BB64" s="1617"/>
      <c r="BC64" s="2041"/>
      <c r="BD64" s="2042"/>
      <c r="BE64" s="2042"/>
      <c r="BF64" s="2042"/>
      <c r="BG64" s="2042"/>
      <c r="BH64" s="2042"/>
      <c r="BI64" s="2042"/>
      <c r="BJ64" s="2043"/>
      <c r="BK64" s="1618"/>
      <c r="BL64" s="1619"/>
      <c r="BM64" s="1620"/>
      <c r="BN64" s="1542"/>
      <c r="BO64" s="1542"/>
      <c r="BP64" s="1542"/>
      <c r="BQ64" s="1542"/>
      <c r="BR64" s="1542"/>
      <c r="BS64" s="1542"/>
      <c r="BT64" s="1542"/>
      <c r="BU64" s="1542"/>
      <c r="BV64" s="1542"/>
      <c r="BW64" s="2026"/>
      <c r="BX64" s="824"/>
    </row>
    <row r="65" spans="2:76" ht="27.95" hidden="1" customHeight="1" outlineLevel="1">
      <c r="B65" s="1347"/>
      <c r="C65" s="2022"/>
      <c r="D65" s="1615"/>
      <c r="E65" s="1616"/>
      <c r="F65" s="1616"/>
      <c r="G65" s="1616"/>
      <c r="H65" s="1616"/>
      <c r="I65" s="1616"/>
      <c r="J65" s="1616"/>
      <c r="K65" s="1616"/>
      <c r="L65" s="1616"/>
      <c r="M65" s="1616"/>
      <c r="N65" s="1617"/>
      <c r="O65" s="2038"/>
      <c r="P65" s="2039"/>
      <c r="Q65" s="2039"/>
      <c r="R65" s="2039"/>
      <c r="S65" s="2039"/>
      <c r="T65" s="2039"/>
      <c r="U65" s="2039"/>
      <c r="V65" s="2040"/>
      <c r="W65" s="1618"/>
      <c r="X65" s="1619"/>
      <c r="Y65" s="1620"/>
      <c r="Z65" s="1542"/>
      <c r="AA65" s="1542"/>
      <c r="AB65" s="1542"/>
      <c r="AC65" s="1542"/>
      <c r="AD65" s="1542"/>
      <c r="AE65" s="1542"/>
      <c r="AF65" s="1542"/>
      <c r="AG65" s="1542"/>
      <c r="AH65" s="1542"/>
      <c r="AI65" s="2026"/>
      <c r="AJ65" s="824"/>
      <c r="AK65" s="128"/>
      <c r="AL65" s="128"/>
      <c r="AM65" s="128"/>
      <c r="AN65" s="128"/>
      <c r="AP65" s="1347"/>
      <c r="AQ65" s="2022"/>
      <c r="AR65" s="1615"/>
      <c r="AS65" s="1616"/>
      <c r="AT65" s="1616"/>
      <c r="AU65" s="1616"/>
      <c r="AV65" s="1616"/>
      <c r="AW65" s="1616"/>
      <c r="AX65" s="1616"/>
      <c r="AY65" s="1616"/>
      <c r="AZ65" s="1616"/>
      <c r="BA65" s="1616"/>
      <c r="BB65" s="1617"/>
      <c r="BC65" s="2041"/>
      <c r="BD65" s="2042"/>
      <c r="BE65" s="2042"/>
      <c r="BF65" s="2042"/>
      <c r="BG65" s="2042"/>
      <c r="BH65" s="2042"/>
      <c r="BI65" s="2042"/>
      <c r="BJ65" s="2043"/>
      <c r="BK65" s="1618"/>
      <c r="BL65" s="1619"/>
      <c r="BM65" s="1620"/>
      <c r="BN65" s="1542"/>
      <c r="BO65" s="1542"/>
      <c r="BP65" s="1542"/>
      <c r="BQ65" s="1542"/>
      <c r="BR65" s="1542"/>
      <c r="BS65" s="1542"/>
      <c r="BT65" s="1542"/>
      <c r="BU65" s="1542"/>
      <c r="BV65" s="1542"/>
      <c r="BW65" s="2026"/>
      <c r="BX65" s="824"/>
    </row>
    <row r="66" spans="2:76" ht="27.95" hidden="1" customHeight="1" outlineLevel="1">
      <c r="B66" s="1347"/>
      <c r="C66" s="2022"/>
      <c r="D66" s="1615"/>
      <c r="E66" s="1616"/>
      <c r="F66" s="1616"/>
      <c r="G66" s="1616"/>
      <c r="H66" s="1616"/>
      <c r="I66" s="1616"/>
      <c r="J66" s="1616"/>
      <c r="K66" s="1616"/>
      <c r="L66" s="1616"/>
      <c r="M66" s="1616"/>
      <c r="N66" s="1617"/>
      <c r="O66" s="2038"/>
      <c r="P66" s="2039"/>
      <c r="Q66" s="2039"/>
      <c r="R66" s="2039"/>
      <c r="S66" s="2039"/>
      <c r="T66" s="2039"/>
      <c r="U66" s="2039"/>
      <c r="V66" s="2040"/>
      <c r="W66" s="1618"/>
      <c r="X66" s="1619"/>
      <c r="Y66" s="1620"/>
      <c r="Z66" s="1542"/>
      <c r="AA66" s="1542"/>
      <c r="AB66" s="1542"/>
      <c r="AC66" s="1542"/>
      <c r="AD66" s="1542"/>
      <c r="AE66" s="1542"/>
      <c r="AF66" s="1542"/>
      <c r="AG66" s="1542"/>
      <c r="AH66" s="1542"/>
      <c r="AI66" s="2026"/>
      <c r="AJ66" s="824"/>
      <c r="AK66" s="128"/>
      <c r="AL66" s="128"/>
      <c r="AM66" s="128"/>
      <c r="AN66" s="128"/>
      <c r="AP66" s="1347"/>
      <c r="AQ66" s="2022"/>
      <c r="AR66" s="1615"/>
      <c r="AS66" s="1616"/>
      <c r="AT66" s="1616"/>
      <c r="AU66" s="1616"/>
      <c r="AV66" s="1616"/>
      <c r="AW66" s="1616"/>
      <c r="AX66" s="1616"/>
      <c r="AY66" s="1616"/>
      <c r="AZ66" s="1616"/>
      <c r="BA66" s="1616"/>
      <c r="BB66" s="1617"/>
      <c r="BC66" s="2041"/>
      <c r="BD66" s="2042"/>
      <c r="BE66" s="2042"/>
      <c r="BF66" s="2042"/>
      <c r="BG66" s="2042"/>
      <c r="BH66" s="2042"/>
      <c r="BI66" s="2042"/>
      <c r="BJ66" s="2043"/>
      <c r="BK66" s="1618"/>
      <c r="BL66" s="1619"/>
      <c r="BM66" s="1620"/>
      <c r="BN66" s="1542"/>
      <c r="BO66" s="1542"/>
      <c r="BP66" s="1542"/>
      <c r="BQ66" s="1542"/>
      <c r="BR66" s="1542"/>
      <c r="BS66" s="1542"/>
      <c r="BT66" s="1542"/>
      <c r="BU66" s="1542"/>
      <c r="BV66" s="1542"/>
      <c r="BW66" s="2026"/>
      <c r="BX66" s="824"/>
    </row>
    <row r="67" spans="2:76" ht="27.95" hidden="1" customHeight="1" outlineLevel="1">
      <c r="B67" s="1347"/>
      <c r="C67" s="2022"/>
      <c r="D67" s="1615"/>
      <c r="E67" s="1616"/>
      <c r="F67" s="1616"/>
      <c r="G67" s="1616"/>
      <c r="H67" s="1616"/>
      <c r="I67" s="1616"/>
      <c r="J67" s="1616"/>
      <c r="K67" s="1616"/>
      <c r="L67" s="1616"/>
      <c r="M67" s="1616"/>
      <c r="N67" s="1617"/>
      <c r="O67" s="2038"/>
      <c r="P67" s="2039"/>
      <c r="Q67" s="2039"/>
      <c r="R67" s="2039"/>
      <c r="S67" s="2039"/>
      <c r="T67" s="2039"/>
      <c r="U67" s="2039"/>
      <c r="V67" s="2040"/>
      <c r="W67" s="1618"/>
      <c r="X67" s="1619"/>
      <c r="Y67" s="1620"/>
      <c r="Z67" s="1542"/>
      <c r="AA67" s="1542"/>
      <c r="AB67" s="1542"/>
      <c r="AC67" s="1542"/>
      <c r="AD67" s="1542"/>
      <c r="AE67" s="1542"/>
      <c r="AF67" s="1542"/>
      <c r="AG67" s="1542"/>
      <c r="AH67" s="1542"/>
      <c r="AI67" s="2026"/>
      <c r="AJ67" s="824"/>
      <c r="AK67" s="128"/>
      <c r="AL67" s="128"/>
      <c r="AM67" s="128"/>
      <c r="AN67" s="128"/>
      <c r="AP67" s="1347"/>
      <c r="AQ67" s="2022"/>
      <c r="AR67" s="1615"/>
      <c r="AS67" s="1616"/>
      <c r="AT67" s="1616"/>
      <c r="AU67" s="1616"/>
      <c r="AV67" s="1616"/>
      <c r="AW67" s="1616"/>
      <c r="AX67" s="1616"/>
      <c r="AY67" s="1616"/>
      <c r="AZ67" s="1616"/>
      <c r="BA67" s="1616"/>
      <c r="BB67" s="1617"/>
      <c r="BC67" s="2041"/>
      <c r="BD67" s="2042"/>
      <c r="BE67" s="2042"/>
      <c r="BF67" s="2042"/>
      <c r="BG67" s="2042"/>
      <c r="BH67" s="2042"/>
      <c r="BI67" s="2042"/>
      <c r="BJ67" s="2043"/>
      <c r="BK67" s="1618"/>
      <c r="BL67" s="1619"/>
      <c r="BM67" s="1620"/>
      <c r="BN67" s="1542"/>
      <c r="BO67" s="1542"/>
      <c r="BP67" s="1542"/>
      <c r="BQ67" s="1542"/>
      <c r="BR67" s="1542"/>
      <c r="BS67" s="1542"/>
      <c r="BT67" s="1542"/>
      <c r="BU67" s="1542"/>
      <c r="BV67" s="1542"/>
      <c r="BW67" s="2026"/>
      <c r="BX67" s="824"/>
    </row>
    <row r="68" spans="2:76" ht="27.95" hidden="1" customHeight="1" outlineLevel="1">
      <c r="B68" s="1347"/>
      <c r="C68" s="2022"/>
      <c r="D68" s="1615"/>
      <c r="E68" s="1616"/>
      <c r="F68" s="1616"/>
      <c r="G68" s="1616"/>
      <c r="H68" s="1616"/>
      <c r="I68" s="1616"/>
      <c r="J68" s="1616"/>
      <c r="K68" s="1616"/>
      <c r="L68" s="1616"/>
      <c r="M68" s="1616"/>
      <c r="N68" s="1617"/>
      <c r="O68" s="2038"/>
      <c r="P68" s="2039"/>
      <c r="Q68" s="2039"/>
      <c r="R68" s="2039"/>
      <c r="S68" s="2039"/>
      <c r="T68" s="2039"/>
      <c r="U68" s="2039"/>
      <c r="V68" s="2040"/>
      <c r="W68" s="1618"/>
      <c r="X68" s="1619"/>
      <c r="Y68" s="1620"/>
      <c r="Z68" s="1542"/>
      <c r="AA68" s="1542"/>
      <c r="AB68" s="1542"/>
      <c r="AC68" s="1542"/>
      <c r="AD68" s="1542"/>
      <c r="AE68" s="1542"/>
      <c r="AF68" s="1542"/>
      <c r="AG68" s="1542"/>
      <c r="AH68" s="1542"/>
      <c r="AI68" s="2026"/>
      <c r="AJ68" s="824"/>
      <c r="AK68" s="128"/>
      <c r="AL68" s="128"/>
      <c r="AM68" s="128"/>
      <c r="AN68" s="128"/>
      <c r="AP68" s="1347"/>
      <c r="AQ68" s="2022"/>
      <c r="AR68" s="1615"/>
      <c r="AS68" s="1616"/>
      <c r="AT68" s="1616"/>
      <c r="AU68" s="1616"/>
      <c r="AV68" s="1616"/>
      <c r="AW68" s="1616"/>
      <c r="AX68" s="1616"/>
      <c r="AY68" s="1616"/>
      <c r="AZ68" s="1616"/>
      <c r="BA68" s="1616"/>
      <c r="BB68" s="1617"/>
      <c r="BC68" s="2041"/>
      <c r="BD68" s="2042"/>
      <c r="BE68" s="2042"/>
      <c r="BF68" s="2042"/>
      <c r="BG68" s="2042"/>
      <c r="BH68" s="2042"/>
      <c r="BI68" s="2042"/>
      <c r="BJ68" s="2043"/>
      <c r="BK68" s="1618"/>
      <c r="BL68" s="1619"/>
      <c r="BM68" s="1620"/>
      <c r="BN68" s="1542"/>
      <c r="BO68" s="1542"/>
      <c r="BP68" s="1542"/>
      <c r="BQ68" s="1542"/>
      <c r="BR68" s="1542"/>
      <c r="BS68" s="1542"/>
      <c r="BT68" s="1542"/>
      <c r="BU68" s="1542"/>
      <c r="BV68" s="1542"/>
      <c r="BW68" s="2026"/>
      <c r="BX68" s="824"/>
    </row>
    <row r="69" spans="2:76" ht="27.95" hidden="1" customHeight="1" outlineLevel="1">
      <c r="B69" s="1347"/>
      <c r="C69" s="2022"/>
      <c r="D69" s="1615"/>
      <c r="E69" s="1616"/>
      <c r="F69" s="1616"/>
      <c r="G69" s="1616"/>
      <c r="H69" s="1616"/>
      <c r="I69" s="1616"/>
      <c r="J69" s="1616"/>
      <c r="K69" s="1616"/>
      <c r="L69" s="1616"/>
      <c r="M69" s="1616"/>
      <c r="N69" s="1617"/>
      <c r="O69" s="2038"/>
      <c r="P69" s="2039"/>
      <c r="Q69" s="2039"/>
      <c r="R69" s="2039"/>
      <c r="S69" s="2039"/>
      <c r="T69" s="2039"/>
      <c r="U69" s="2039"/>
      <c r="V69" s="2040"/>
      <c r="W69" s="1618"/>
      <c r="X69" s="1619"/>
      <c r="Y69" s="1620"/>
      <c r="Z69" s="1542"/>
      <c r="AA69" s="1542"/>
      <c r="AB69" s="1542"/>
      <c r="AC69" s="1542"/>
      <c r="AD69" s="1542"/>
      <c r="AE69" s="1542"/>
      <c r="AF69" s="1542"/>
      <c r="AG69" s="1542"/>
      <c r="AH69" s="1542"/>
      <c r="AI69" s="2026"/>
      <c r="AJ69" s="824"/>
      <c r="AK69" s="128"/>
      <c r="AL69" s="128"/>
      <c r="AM69" s="128"/>
      <c r="AN69" s="128"/>
      <c r="AP69" s="1347"/>
      <c r="AQ69" s="2022"/>
      <c r="AR69" s="1615"/>
      <c r="AS69" s="1616"/>
      <c r="AT69" s="1616"/>
      <c r="AU69" s="1616"/>
      <c r="AV69" s="1616"/>
      <c r="AW69" s="1616"/>
      <c r="AX69" s="1616"/>
      <c r="AY69" s="1616"/>
      <c r="AZ69" s="1616"/>
      <c r="BA69" s="1616"/>
      <c r="BB69" s="1617"/>
      <c r="BC69" s="2041"/>
      <c r="BD69" s="2042"/>
      <c r="BE69" s="2042"/>
      <c r="BF69" s="2042"/>
      <c r="BG69" s="2042"/>
      <c r="BH69" s="2042"/>
      <c r="BI69" s="2042"/>
      <c r="BJ69" s="2043"/>
      <c r="BK69" s="1618"/>
      <c r="BL69" s="1619"/>
      <c r="BM69" s="1620"/>
      <c r="BN69" s="1542"/>
      <c r="BO69" s="1542"/>
      <c r="BP69" s="1542"/>
      <c r="BQ69" s="1542"/>
      <c r="BR69" s="1542"/>
      <c r="BS69" s="1542"/>
      <c r="BT69" s="1542"/>
      <c r="BU69" s="1542"/>
      <c r="BV69" s="1542"/>
      <c r="BW69" s="2026"/>
      <c r="BX69" s="824"/>
    </row>
    <row r="70" spans="2:76" ht="27.95" hidden="1" customHeight="1" outlineLevel="1">
      <c r="B70" s="1347"/>
      <c r="C70" s="2022"/>
      <c r="D70" s="1615"/>
      <c r="E70" s="1616"/>
      <c r="F70" s="1616"/>
      <c r="G70" s="1616"/>
      <c r="H70" s="1616"/>
      <c r="I70" s="1616"/>
      <c r="J70" s="1616"/>
      <c r="K70" s="1616"/>
      <c r="L70" s="1616"/>
      <c r="M70" s="1616"/>
      <c r="N70" s="1617"/>
      <c r="O70" s="2038"/>
      <c r="P70" s="2039"/>
      <c r="Q70" s="2039"/>
      <c r="R70" s="2039"/>
      <c r="S70" s="2039"/>
      <c r="T70" s="2039"/>
      <c r="U70" s="2039"/>
      <c r="V70" s="2040"/>
      <c r="W70" s="1618"/>
      <c r="X70" s="1619"/>
      <c r="Y70" s="1620"/>
      <c r="Z70" s="1542"/>
      <c r="AA70" s="1542"/>
      <c r="AB70" s="1542"/>
      <c r="AC70" s="1542"/>
      <c r="AD70" s="1542"/>
      <c r="AE70" s="1542"/>
      <c r="AF70" s="1542"/>
      <c r="AG70" s="1542"/>
      <c r="AH70" s="1542"/>
      <c r="AI70" s="2026"/>
      <c r="AJ70" s="824"/>
      <c r="AK70" s="128"/>
      <c r="AL70" s="128"/>
      <c r="AM70" s="128"/>
      <c r="AN70" s="128"/>
      <c r="AP70" s="1347"/>
      <c r="AQ70" s="2022"/>
      <c r="AR70" s="1615"/>
      <c r="AS70" s="1616"/>
      <c r="AT70" s="1616"/>
      <c r="AU70" s="1616"/>
      <c r="AV70" s="1616"/>
      <c r="AW70" s="1616"/>
      <c r="AX70" s="1616"/>
      <c r="AY70" s="1616"/>
      <c r="AZ70" s="1616"/>
      <c r="BA70" s="1616"/>
      <c r="BB70" s="1617"/>
      <c r="BC70" s="2041"/>
      <c r="BD70" s="2042"/>
      <c r="BE70" s="2042"/>
      <c r="BF70" s="2042"/>
      <c r="BG70" s="2042"/>
      <c r="BH70" s="2042"/>
      <c r="BI70" s="2042"/>
      <c r="BJ70" s="2043"/>
      <c r="BK70" s="1618"/>
      <c r="BL70" s="1619"/>
      <c r="BM70" s="1620"/>
      <c r="BN70" s="1542"/>
      <c r="BO70" s="1542"/>
      <c r="BP70" s="1542"/>
      <c r="BQ70" s="1542"/>
      <c r="BR70" s="1542"/>
      <c r="BS70" s="1542"/>
      <c r="BT70" s="1542"/>
      <c r="BU70" s="1542"/>
      <c r="BV70" s="1542"/>
      <c r="BW70" s="2026"/>
      <c r="BX70" s="824"/>
    </row>
    <row r="71" spans="2:76" ht="27.95" hidden="1" customHeight="1" outlineLevel="1">
      <c r="B71" s="1347"/>
      <c r="C71" s="2022"/>
      <c r="D71" s="1615"/>
      <c r="E71" s="1616"/>
      <c r="F71" s="1616"/>
      <c r="G71" s="1616"/>
      <c r="H71" s="1616"/>
      <c r="I71" s="1616"/>
      <c r="J71" s="1616"/>
      <c r="K71" s="1616"/>
      <c r="L71" s="1616"/>
      <c r="M71" s="1616"/>
      <c r="N71" s="1617"/>
      <c r="O71" s="2038"/>
      <c r="P71" s="2039"/>
      <c r="Q71" s="2039"/>
      <c r="R71" s="2039"/>
      <c r="S71" s="2039"/>
      <c r="T71" s="2039"/>
      <c r="U71" s="2039"/>
      <c r="V71" s="2040"/>
      <c r="W71" s="1618"/>
      <c r="X71" s="1619"/>
      <c r="Y71" s="1620"/>
      <c r="Z71" s="1542"/>
      <c r="AA71" s="1542"/>
      <c r="AB71" s="1542"/>
      <c r="AC71" s="1542"/>
      <c r="AD71" s="1542"/>
      <c r="AE71" s="1542"/>
      <c r="AF71" s="1542"/>
      <c r="AG71" s="1542"/>
      <c r="AH71" s="1542"/>
      <c r="AI71" s="2026"/>
      <c r="AJ71" s="824"/>
      <c r="AK71" s="128"/>
      <c r="AL71" s="128"/>
      <c r="AM71" s="128"/>
      <c r="AN71" s="128"/>
      <c r="AP71" s="1347"/>
      <c r="AQ71" s="2022"/>
      <c r="AR71" s="1615"/>
      <c r="AS71" s="1616"/>
      <c r="AT71" s="1616"/>
      <c r="AU71" s="1616"/>
      <c r="AV71" s="1616"/>
      <c r="AW71" s="1616"/>
      <c r="AX71" s="1616"/>
      <c r="AY71" s="1616"/>
      <c r="AZ71" s="1616"/>
      <c r="BA71" s="1616"/>
      <c r="BB71" s="1617"/>
      <c r="BC71" s="2041"/>
      <c r="BD71" s="2042"/>
      <c r="BE71" s="2042"/>
      <c r="BF71" s="2042"/>
      <c r="BG71" s="2042"/>
      <c r="BH71" s="2042"/>
      <c r="BI71" s="2042"/>
      <c r="BJ71" s="2043"/>
      <c r="BK71" s="1618"/>
      <c r="BL71" s="1619"/>
      <c r="BM71" s="1620"/>
      <c r="BN71" s="1542"/>
      <c r="BO71" s="1542"/>
      <c r="BP71" s="1542"/>
      <c r="BQ71" s="1542"/>
      <c r="BR71" s="1542"/>
      <c r="BS71" s="1542"/>
      <c r="BT71" s="1542"/>
      <c r="BU71" s="1542"/>
      <c r="BV71" s="1542"/>
      <c r="BW71" s="2026"/>
      <c r="BX71" s="824"/>
    </row>
    <row r="72" spans="2:76" ht="27.95" hidden="1" customHeight="1" outlineLevel="1">
      <c r="B72" s="1347"/>
      <c r="C72" s="2022"/>
      <c r="D72" s="1615"/>
      <c r="E72" s="1616"/>
      <c r="F72" s="1616"/>
      <c r="G72" s="1616"/>
      <c r="H72" s="1616"/>
      <c r="I72" s="1616"/>
      <c r="J72" s="1616"/>
      <c r="K72" s="1616"/>
      <c r="L72" s="1616"/>
      <c r="M72" s="1616"/>
      <c r="N72" s="1617"/>
      <c r="O72" s="2038"/>
      <c r="P72" s="2039"/>
      <c r="Q72" s="2039"/>
      <c r="R72" s="2039"/>
      <c r="S72" s="2039"/>
      <c r="T72" s="2039"/>
      <c r="U72" s="2039"/>
      <c r="V72" s="2040"/>
      <c r="W72" s="1618"/>
      <c r="X72" s="1619"/>
      <c r="Y72" s="1620"/>
      <c r="Z72" s="1542"/>
      <c r="AA72" s="1542"/>
      <c r="AB72" s="1542"/>
      <c r="AC72" s="1542"/>
      <c r="AD72" s="1542"/>
      <c r="AE72" s="1542"/>
      <c r="AF72" s="1542"/>
      <c r="AG72" s="1542"/>
      <c r="AH72" s="1542"/>
      <c r="AI72" s="2026"/>
      <c r="AJ72" s="824"/>
      <c r="AK72" s="128"/>
      <c r="AL72" s="128"/>
      <c r="AM72" s="128"/>
      <c r="AN72" s="128"/>
      <c r="AP72" s="1347"/>
      <c r="AQ72" s="2022"/>
      <c r="AR72" s="1615"/>
      <c r="AS72" s="1616"/>
      <c r="AT72" s="1616"/>
      <c r="AU72" s="1616"/>
      <c r="AV72" s="1616"/>
      <c r="AW72" s="1616"/>
      <c r="AX72" s="1616"/>
      <c r="AY72" s="1616"/>
      <c r="AZ72" s="1616"/>
      <c r="BA72" s="1616"/>
      <c r="BB72" s="1617"/>
      <c r="BC72" s="2041"/>
      <c r="BD72" s="2042"/>
      <c r="BE72" s="2042"/>
      <c r="BF72" s="2042"/>
      <c r="BG72" s="2042"/>
      <c r="BH72" s="2042"/>
      <c r="BI72" s="2042"/>
      <c r="BJ72" s="2043"/>
      <c r="BK72" s="1618"/>
      <c r="BL72" s="1619"/>
      <c r="BM72" s="1620"/>
      <c r="BN72" s="1542"/>
      <c r="BO72" s="1542"/>
      <c r="BP72" s="1542"/>
      <c r="BQ72" s="1542"/>
      <c r="BR72" s="1542"/>
      <c r="BS72" s="1542"/>
      <c r="BT72" s="1542"/>
      <c r="BU72" s="1542"/>
      <c r="BV72" s="1542"/>
      <c r="BW72" s="2026"/>
      <c r="BX72" s="824"/>
    </row>
    <row r="73" spans="2:76" ht="27.95" hidden="1" customHeight="1" outlineLevel="1">
      <c r="B73" s="1347"/>
      <c r="C73" s="2022"/>
      <c r="D73" s="1615"/>
      <c r="E73" s="1616"/>
      <c r="F73" s="1616"/>
      <c r="G73" s="1616"/>
      <c r="H73" s="1616"/>
      <c r="I73" s="1616"/>
      <c r="J73" s="1616"/>
      <c r="K73" s="1616"/>
      <c r="L73" s="1616"/>
      <c r="M73" s="1616"/>
      <c r="N73" s="1617"/>
      <c r="O73" s="2038"/>
      <c r="P73" s="2039"/>
      <c r="Q73" s="2039"/>
      <c r="R73" s="2039"/>
      <c r="S73" s="2039"/>
      <c r="T73" s="2039"/>
      <c r="U73" s="2039"/>
      <c r="V73" s="2040"/>
      <c r="W73" s="1618"/>
      <c r="X73" s="1619"/>
      <c r="Y73" s="1620"/>
      <c r="Z73" s="1542"/>
      <c r="AA73" s="1542"/>
      <c r="AB73" s="1542"/>
      <c r="AC73" s="1542"/>
      <c r="AD73" s="1542"/>
      <c r="AE73" s="1542"/>
      <c r="AF73" s="1542"/>
      <c r="AG73" s="1542"/>
      <c r="AH73" s="1542"/>
      <c r="AI73" s="2026"/>
      <c r="AJ73" s="824"/>
      <c r="AK73" s="128"/>
      <c r="AL73" s="128"/>
      <c r="AM73" s="128"/>
      <c r="AN73" s="128"/>
      <c r="AP73" s="1347"/>
      <c r="AQ73" s="2022"/>
      <c r="AR73" s="1615"/>
      <c r="AS73" s="1616"/>
      <c r="AT73" s="1616"/>
      <c r="AU73" s="1616"/>
      <c r="AV73" s="1616"/>
      <c r="AW73" s="1616"/>
      <c r="AX73" s="1616"/>
      <c r="AY73" s="1616"/>
      <c r="AZ73" s="1616"/>
      <c r="BA73" s="1616"/>
      <c r="BB73" s="1617"/>
      <c r="BC73" s="2041"/>
      <c r="BD73" s="2042"/>
      <c r="BE73" s="2042"/>
      <c r="BF73" s="2042"/>
      <c r="BG73" s="2042"/>
      <c r="BH73" s="2042"/>
      <c r="BI73" s="2042"/>
      <c r="BJ73" s="2043"/>
      <c r="BK73" s="1618"/>
      <c r="BL73" s="1619"/>
      <c r="BM73" s="1620"/>
      <c r="BN73" s="1542"/>
      <c r="BO73" s="1542"/>
      <c r="BP73" s="1542"/>
      <c r="BQ73" s="1542"/>
      <c r="BR73" s="1542"/>
      <c r="BS73" s="1542"/>
      <c r="BT73" s="1542"/>
      <c r="BU73" s="1542"/>
      <c r="BV73" s="1542"/>
      <c r="BW73" s="2026"/>
      <c r="BX73" s="824"/>
    </row>
    <row r="74" spans="2:76" ht="27.95" hidden="1" customHeight="1" outlineLevel="1">
      <c r="B74" s="1347"/>
      <c r="C74" s="2022"/>
      <c r="D74" s="1615"/>
      <c r="E74" s="1616"/>
      <c r="F74" s="1616"/>
      <c r="G74" s="1616"/>
      <c r="H74" s="1616"/>
      <c r="I74" s="1616"/>
      <c r="J74" s="1616"/>
      <c r="K74" s="1616"/>
      <c r="L74" s="1616"/>
      <c r="M74" s="1616"/>
      <c r="N74" s="1617"/>
      <c r="O74" s="2038"/>
      <c r="P74" s="2039"/>
      <c r="Q74" s="2039"/>
      <c r="R74" s="2039"/>
      <c r="S74" s="2039"/>
      <c r="T74" s="2039"/>
      <c r="U74" s="2039"/>
      <c r="V74" s="2040"/>
      <c r="W74" s="1618"/>
      <c r="X74" s="1619"/>
      <c r="Y74" s="1620"/>
      <c r="Z74" s="1542"/>
      <c r="AA74" s="1542"/>
      <c r="AB74" s="1542"/>
      <c r="AC74" s="1542"/>
      <c r="AD74" s="1542"/>
      <c r="AE74" s="1542"/>
      <c r="AF74" s="1542"/>
      <c r="AG74" s="1542"/>
      <c r="AH74" s="1542"/>
      <c r="AI74" s="2026"/>
      <c r="AJ74" s="824"/>
      <c r="AK74" s="128"/>
      <c r="AL74" s="128"/>
      <c r="AM74" s="128"/>
      <c r="AN74" s="128"/>
      <c r="AP74" s="1347"/>
      <c r="AQ74" s="2022"/>
      <c r="AR74" s="1615"/>
      <c r="AS74" s="1616"/>
      <c r="AT74" s="1616"/>
      <c r="AU74" s="1616"/>
      <c r="AV74" s="1616"/>
      <c r="AW74" s="1616"/>
      <c r="AX74" s="1616"/>
      <c r="AY74" s="1616"/>
      <c r="AZ74" s="1616"/>
      <c r="BA74" s="1616"/>
      <c r="BB74" s="1617"/>
      <c r="BC74" s="2041"/>
      <c r="BD74" s="2042"/>
      <c r="BE74" s="2042"/>
      <c r="BF74" s="2042"/>
      <c r="BG74" s="2042"/>
      <c r="BH74" s="2042"/>
      <c r="BI74" s="2042"/>
      <c r="BJ74" s="2043"/>
      <c r="BK74" s="1618"/>
      <c r="BL74" s="1619"/>
      <c r="BM74" s="1620"/>
      <c r="BN74" s="1542"/>
      <c r="BO74" s="1542"/>
      <c r="BP74" s="1542"/>
      <c r="BQ74" s="1542"/>
      <c r="BR74" s="1542"/>
      <c r="BS74" s="1542"/>
      <c r="BT74" s="1542"/>
      <c r="BU74" s="1542"/>
      <c r="BV74" s="1542"/>
      <c r="BW74" s="2026"/>
      <c r="BX74" s="824"/>
    </row>
    <row r="75" spans="2:76" ht="27.95" hidden="1" customHeight="1" outlineLevel="1">
      <c r="B75" s="1347"/>
      <c r="C75" s="2022"/>
      <c r="D75" s="1615"/>
      <c r="E75" s="1616"/>
      <c r="F75" s="1616"/>
      <c r="G75" s="1616"/>
      <c r="H75" s="1616"/>
      <c r="I75" s="1616"/>
      <c r="J75" s="1616"/>
      <c r="K75" s="1616"/>
      <c r="L75" s="1616"/>
      <c r="M75" s="1616"/>
      <c r="N75" s="1617"/>
      <c r="O75" s="2038"/>
      <c r="P75" s="2039"/>
      <c r="Q75" s="2039"/>
      <c r="R75" s="2039"/>
      <c r="S75" s="2039"/>
      <c r="T75" s="2039"/>
      <c r="U75" s="2039"/>
      <c r="V75" s="2040"/>
      <c r="W75" s="1618"/>
      <c r="X75" s="1619"/>
      <c r="Y75" s="1620"/>
      <c r="Z75" s="1542"/>
      <c r="AA75" s="1542"/>
      <c r="AB75" s="1542"/>
      <c r="AC75" s="1542"/>
      <c r="AD75" s="1542"/>
      <c r="AE75" s="1542"/>
      <c r="AF75" s="1542"/>
      <c r="AG75" s="1542"/>
      <c r="AH75" s="1542"/>
      <c r="AI75" s="2026"/>
      <c r="AJ75" s="824"/>
      <c r="AK75" s="128"/>
      <c r="AL75" s="128"/>
      <c r="AM75" s="128"/>
      <c r="AN75" s="128"/>
      <c r="AP75" s="1347"/>
      <c r="AQ75" s="2022"/>
      <c r="AR75" s="1615"/>
      <c r="AS75" s="1616"/>
      <c r="AT75" s="1616"/>
      <c r="AU75" s="1616"/>
      <c r="AV75" s="1616"/>
      <c r="AW75" s="1616"/>
      <c r="AX75" s="1616"/>
      <c r="AY75" s="1616"/>
      <c r="AZ75" s="1616"/>
      <c r="BA75" s="1616"/>
      <c r="BB75" s="1617"/>
      <c r="BC75" s="2041"/>
      <c r="BD75" s="2042"/>
      <c r="BE75" s="2042"/>
      <c r="BF75" s="2042"/>
      <c r="BG75" s="2042"/>
      <c r="BH75" s="2042"/>
      <c r="BI75" s="2042"/>
      <c r="BJ75" s="2043"/>
      <c r="BK75" s="1618"/>
      <c r="BL75" s="1619"/>
      <c r="BM75" s="1620"/>
      <c r="BN75" s="1542"/>
      <c r="BO75" s="1542"/>
      <c r="BP75" s="1542"/>
      <c r="BQ75" s="1542"/>
      <c r="BR75" s="1542"/>
      <c r="BS75" s="1542"/>
      <c r="BT75" s="1542"/>
      <c r="BU75" s="1542"/>
      <c r="BV75" s="1542"/>
      <c r="BW75" s="2026"/>
      <c r="BX75" s="824"/>
    </row>
    <row r="76" spans="2:76" ht="27.95" hidden="1" customHeight="1" outlineLevel="1">
      <c r="B76" s="1347"/>
      <c r="C76" s="2022"/>
      <c r="D76" s="1615"/>
      <c r="E76" s="1616"/>
      <c r="F76" s="1616"/>
      <c r="G76" s="1616"/>
      <c r="H76" s="1616"/>
      <c r="I76" s="1616"/>
      <c r="J76" s="1616"/>
      <c r="K76" s="1616"/>
      <c r="L76" s="1616"/>
      <c r="M76" s="1616"/>
      <c r="N76" s="1617"/>
      <c r="O76" s="2038"/>
      <c r="P76" s="2039"/>
      <c r="Q76" s="2039"/>
      <c r="R76" s="2039"/>
      <c r="S76" s="2039"/>
      <c r="T76" s="2039"/>
      <c r="U76" s="2039"/>
      <c r="V76" s="2040"/>
      <c r="W76" s="1618"/>
      <c r="X76" s="1619"/>
      <c r="Y76" s="1620"/>
      <c r="Z76" s="1542"/>
      <c r="AA76" s="1542"/>
      <c r="AB76" s="1542"/>
      <c r="AC76" s="1542"/>
      <c r="AD76" s="1542"/>
      <c r="AE76" s="1542"/>
      <c r="AF76" s="1542"/>
      <c r="AG76" s="1542"/>
      <c r="AH76" s="1542"/>
      <c r="AI76" s="2026"/>
      <c r="AJ76" s="824"/>
      <c r="AK76" s="128"/>
      <c r="AL76" s="128"/>
      <c r="AM76" s="128"/>
      <c r="AN76" s="128"/>
      <c r="AP76" s="1347"/>
      <c r="AQ76" s="2022"/>
      <c r="AR76" s="1615"/>
      <c r="AS76" s="1616"/>
      <c r="AT76" s="1616"/>
      <c r="AU76" s="1616"/>
      <c r="AV76" s="1616"/>
      <c r="AW76" s="1616"/>
      <c r="AX76" s="1616"/>
      <c r="AY76" s="1616"/>
      <c r="AZ76" s="1616"/>
      <c r="BA76" s="1616"/>
      <c r="BB76" s="1617"/>
      <c r="BC76" s="2041"/>
      <c r="BD76" s="2042"/>
      <c r="BE76" s="2042"/>
      <c r="BF76" s="2042"/>
      <c r="BG76" s="2042"/>
      <c r="BH76" s="2042"/>
      <c r="BI76" s="2042"/>
      <c r="BJ76" s="2043"/>
      <c r="BK76" s="1618"/>
      <c r="BL76" s="1619"/>
      <c r="BM76" s="1620"/>
      <c r="BN76" s="1542"/>
      <c r="BO76" s="1542"/>
      <c r="BP76" s="1542"/>
      <c r="BQ76" s="1542"/>
      <c r="BR76" s="1542"/>
      <c r="BS76" s="1542"/>
      <c r="BT76" s="1542"/>
      <c r="BU76" s="1542"/>
      <c r="BV76" s="1542"/>
      <c r="BW76" s="2026"/>
      <c r="BX76" s="824"/>
    </row>
    <row r="77" spans="2:76" ht="27.95" hidden="1" customHeight="1" outlineLevel="1">
      <c r="B77" s="1347"/>
      <c r="C77" s="2022"/>
      <c r="D77" s="1615"/>
      <c r="E77" s="1616"/>
      <c r="F77" s="1616"/>
      <c r="G77" s="1616"/>
      <c r="H77" s="1616"/>
      <c r="I77" s="1616"/>
      <c r="J77" s="1616"/>
      <c r="K77" s="1616"/>
      <c r="L77" s="1616"/>
      <c r="M77" s="1616"/>
      <c r="N77" s="1617"/>
      <c r="O77" s="2038"/>
      <c r="P77" s="2039"/>
      <c r="Q77" s="2039"/>
      <c r="R77" s="2039"/>
      <c r="S77" s="2039"/>
      <c r="T77" s="2039"/>
      <c r="U77" s="2039"/>
      <c r="V77" s="2040"/>
      <c r="W77" s="1618"/>
      <c r="X77" s="1619"/>
      <c r="Y77" s="1620"/>
      <c r="Z77" s="1542"/>
      <c r="AA77" s="1542"/>
      <c r="AB77" s="1542"/>
      <c r="AC77" s="1542"/>
      <c r="AD77" s="1542"/>
      <c r="AE77" s="1542"/>
      <c r="AF77" s="1542"/>
      <c r="AG77" s="1542"/>
      <c r="AH77" s="1542"/>
      <c r="AI77" s="2026"/>
      <c r="AJ77" s="824"/>
      <c r="AK77" s="128"/>
      <c r="AL77" s="128"/>
      <c r="AM77" s="128"/>
      <c r="AN77" s="128"/>
      <c r="AP77" s="1347"/>
      <c r="AQ77" s="2022"/>
      <c r="AR77" s="1615"/>
      <c r="AS77" s="1616"/>
      <c r="AT77" s="1616"/>
      <c r="AU77" s="1616"/>
      <c r="AV77" s="1616"/>
      <c r="AW77" s="1616"/>
      <c r="AX77" s="1616"/>
      <c r="AY77" s="1616"/>
      <c r="AZ77" s="1616"/>
      <c r="BA77" s="1616"/>
      <c r="BB77" s="1617"/>
      <c r="BC77" s="2041"/>
      <c r="BD77" s="2042"/>
      <c r="BE77" s="2042"/>
      <c r="BF77" s="2042"/>
      <c r="BG77" s="2042"/>
      <c r="BH77" s="2042"/>
      <c r="BI77" s="2042"/>
      <c r="BJ77" s="2043"/>
      <c r="BK77" s="1618"/>
      <c r="BL77" s="1619"/>
      <c r="BM77" s="1620"/>
      <c r="BN77" s="1542"/>
      <c r="BO77" s="1542"/>
      <c r="BP77" s="1542"/>
      <c r="BQ77" s="1542"/>
      <c r="BR77" s="1542"/>
      <c r="BS77" s="1542"/>
      <c r="BT77" s="1542"/>
      <c r="BU77" s="1542"/>
      <c r="BV77" s="1542"/>
      <c r="BW77" s="2026"/>
      <c r="BX77" s="824"/>
    </row>
    <row r="78" spans="2:76" ht="27.95" hidden="1" customHeight="1" outlineLevel="1">
      <c r="B78" s="1347"/>
      <c r="C78" s="2022"/>
      <c r="D78" s="1615"/>
      <c r="E78" s="1616"/>
      <c r="F78" s="1616"/>
      <c r="G78" s="1616"/>
      <c r="H78" s="1616"/>
      <c r="I78" s="1616"/>
      <c r="J78" s="1616"/>
      <c r="K78" s="1616"/>
      <c r="L78" s="1616"/>
      <c r="M78" s="1616"/>
      <c r="N78" s="1617"/>
      <c r="O78" s="2038"/>
      <c r="P78" s="2039"/>
      <c r="Q78" s="2039"/>
      <c r="R78" s="2039"/>
      <c r="S78" s="2039"/>
      <c r="T78" s="2039"/>
      <c r="U78" s="2039"/>
      <c r="V78" s="2040"/>
      <c r="W78" s="1618"/>
      <c r="X78" s="1619"/>
      <c r="Y78" s="1620"/>
      <c r="Z78" s="1542"/>
      <c r="AA78" s="1542"/>
      <c r="AB78" s="1542"/>
      <c r="AC78" s="1542"/>
      <c r="AD78" s="1542"/>
      <c r="AE78" s="1542"/>
      <c r="AF78" s="1542"/>
      <c r="AG78" s="1542"/>
      <c r="AH78" s="1542"/>
      <c r="AI78" s="2026"/>
      <c r="AJ78" s="824"/>
      <c r="AK78" s="128"/>
      <c r="AL78" s="128"/>
      <c r="AM78" s="128"/>
      <c r="AN78" s="128"/>
      <c r="AP78" s="1347"/>
      <c r="AQ78" s="2022"/>
      <c r="AR78" s="1615"/>
      <c r="AS78" s="1616"/>
      <c r="AT78" s="1616"/>
      <c r="AU78" s="1616"/>
      <c r="AV78" s="1616"/>
      <c r="AW78" s="1616"/>
      <c r="AX78" s="1616"/>
      <c r="AY78" s="1616"/>
      <c r="AZ78" s="1616"/>
      <c r="BA78" s="1616"/>
      <c r="BB78" s="1617"/>
      <c r="BC78" s="2041"/>
      <c r="BD78" s="2042"/>
      <c r="BE78" s="2042"/>
      <c r="BF78" s="2042"/>
      <c r="BG78" s="2042"/>
      <c r="BH78" s="2042"/>
      <c r="BI78" s="2042"/>
      <c r="BJ78" s="2043"/>
      <c r="BK78" s="1618"/>
      <c r="BL78" s="1619"/>
      <c r="BM78" s="1620"/>
      <c r="BN78" s="1542"/>
      <c r="BO78" s="1542"/>
      <c r="BP78" s="1542"/>
      <c r="BQ78" s="1542"/>
      <c r="BR78" s="1542"/>
      <c r="BS78" s="1542"/>
      <c r="BT78" s="1542"/>
      <c r="BU78" s="1542"/>
      <c r="BV78" s="1542"/>
      <c r="BW78" s="2026"/>
      <c r="BX78" s="824"/>
    </row>
    <row r="79" spans="2:76" ht="27.95" hidden="1" customHeight="1" outlineLevel="1">
      <c r="B79" s="1347"/>
      <c r="C79" s="2022"/>
      <c r="D79" s="1615"/>
      <c r="E79" s="1616"/>
      <c r="F79" s="1616"/>
      <c r="G79" s="1616"/>
      <c r="H79" s="1616"/>
      <c r="I79" s="1616"/>
      <c r="J79" s="1616"/>
      <c r="K79" s="1616"/>
      <c r="L79" s="1616"/>
      <c r="M79" s="1616"/>
      <c r="N79" s="1617"/>
      <c r="O79" s="2038"/>
      <c r="P79" s="2039"/>
      <c r="Q79" s="2039"/>
      <c r="R79" s="2039"/>
      <c r="S79" s="2039"/>
      <c r="T79" s="2039"/>
      <c r="U79" s="2039"/>
      <c r="V79" s="2040"/>
      <c r="W79" s="1618"/>
      <c r="X79" s="1619"/>
      <c r="Y79" s="1620"/>
      <c r="Z79" s="1542"/>
      <c r="AA79" s="1542"/>
      <c r="AB79" s="1542"/>
      <c r="AC79" s="1542"/>
      <c r="AD79" s="1542"/>
      <c r="AE79" s="1542"/>
      <c r="AF79" s="1542"/>
      <c r="AG79" s="1542"/>
      <c r="AH79" s="1542"/>
      <c r="AI79" s="2026"/>
      <c r="AJ79" s="824"/>
      <c r="AK79" s="128"/>
      <c r="AL79" s="128"/>
      <c r="AM79" s="128"/>
      <c r="AN79" s="128"/>
      <c r="AP79" s="1347"/>
      <c r="AQ79" s="2022"/>
      <c r="AR79" s="1615"/>
      <c r="AS79" s="1616"/>
      <c r="AT79" s="1616"/>
      <c r="AU79" s="1616"/>
      <c r="AV79" s="1616"/>
      <c r="AW79" s="1616"/>
      <c r="AX79" s="1616"/>
      <c r="AY79" s="1616"/>
      <c r="AZ79" s="1616"/>
      <c r="BA79" s="1616"/>
      <c r="BB79" s="1617"/>
      <c r="BC79" s="2041"/>
      <c r="BD79" s="2042"/>
      <c r="BE79" s="2042"/>
      <c r="BF79" s="2042"/>
      <c r="BG79" s="2042"/>
      <c r="BH79" s="2042"/>
      <c r="BI79" s="2042"/>
      <c r="BJ79" s="2043"/>
      <c r="BK79" s="1618"/>
      <c r="BL79" s="1619"/>
      <c r="BM79" s="1620"/>
      <c r="BN79" s="1542"/>
      <c r="BO79" s="1542"/>
      <c r="BP79" s="1542"/>
      <c r="BQ79" s="1542"/>
      <c r="BR79" s="1542"/>
      <c r="BS79" s="1542"/>
      <c r="BT79" s="1542"/>
      <c r="BU79" s="1542"/>
      <c r="BV79" s="1542"/>
      <c r="BW79" s="2026"/>
      <c r="BX79" s="824"/>
    </row>
    <row r="80" spans="2:76" ht="27.95" hidden="1" customHeight="1" outlineLevel="1">
      <c r="B80" s="1347"/>
      <c r="C80" s="2022"/>
      <c r="D80" s="1615"/>
      <c r="E80" s="1616"/>
      <c r="F80" s="1616"/>
      <c r="G80" s="1616"/>
      <c r="H80" s="1616"/>
      <c r="I80" s="1616"/>
      <c r="J80" s="1616"/>
      <c r="K80" s="1616"/>
      <c r="L80" s="1616"/>
      <c r="M80" s="1616"/>
      <c r="N80" s="1617"/>
      <c r="O80" s="2038"/>
      <c r="P80" s="2039"/>
      <c r="Q80" s="2039"/>
      <c r="R80" s="2039"/>
      <c r="S80" s="2039"/>
      <c r="T80" s="2039"/>
      <c r="U80" s="2039"/>
      <c r="V80" s="2040"/>
      <c r="W80" s="1618"/>
      <c r="X80" s="1619"/>
      <c r="Y80" s="1620"/>
      <c r="Z80" s="1542"/>
      <c r="AA80" s="1542"/>
      <c r="AB80" s="1542"/>
      <c r="AC80" s="1542"/>
      <c r="AD80" s="1542"/>
      <c r="AE80" s="1542"/>
      <c r="AF80" s="1542"/>
      <c r="AG80" s="1542"/>
      <c r="AH80" s="1542"/>
      <c r="AI80" s="2026"/>
      <c r="AJ80" s="824"/>
      <c r="AK80" s="128"/>
      <c r="AL80" s="128"/>
      <c r="AM80" s="128"/>
      <c r="AN80" s="128"/>
      <c r="AP80" s="1347"/>
      <c r="AQ80" s="2022"/>
      <c r="AR80" s="1615"/>
      <c r="AS80" s="1616"/>
      <c r="AT80" s="1616"/>
      <c r="AU80" s="1616"/>
      <c r="AV80" s="1616"/>
      <c r="AW80" s="1616"/>
      <c r="AX80" s="1616"/>
      <c r="AY80" s="1616"/>
      <c r="AZ80" s="1616"/>
      <c r="BA80" s="1616"/>
      <c r="BB80" s="1617"/>
      <c r="BC80" s="2041"/>
      <c r="BD80" s="2042"/>
      <c r="BE80" s="2042"/>
      <c r="BF80" s="2042"/>
      <c r="BG80" s="2042"/>
      <c r="BH80" s="2042"/>
      <c r="BI80" s="2042"/>
      <c r="BJ80" s="2043"/>
      <c r="BK80" s="1618"/>
      <c r="BL80" s="1619"/>
      <c r="BM80" s="1620"/>
      <c r="BN80" s="1542"/>
      <c r="BO80" s="1542"/>
      <c r="BP80" s="1542"/>
      <c r="BQ80" s="1542"/>
      <c r="BR80" s="1542"/>
      <c r="BS80" s="1542"/>
      <c r="BT80" s="1542"/>
      <c r="BU80" s="1542"/>
      <c r="BV80" s="1542"/>
      <c r="BW80" s="2026"/>
      <c r="BX80" s="824"/>
    </row>
    <row r="81" spans="1:76" ht="27.95" hidden="1" customHeight="1" outlineLevel="1">
      <c r="B81" s="1347"/>
      <c r="C81" s="2022"/>
      <c r="D81" s="1615"/>
      <c r="E81" s="1616"/>
      <c r="F81" s="1616"/>
      <c r="G81" s="1616"/>
      <c r="H81" s="1616"/>
      <c r="I81" s="1616"/>
      <c r="J81" s="1616"/>
      <c r="K81" s="1616"/>
      <c r="L81" s="1616"/>
      <c r="M81" s="1616"/>
      <c r="N81" s="1617"/>
      <c r="O81" s="2038"/>
      <c r="P81" s="2039"/>
      <c r="Q81" s="2039"/>
      <c r="R81" s="2039"/>
      <c r="S81" s="2039"/>
      <c r="T81" s="2039"/>
      <c r="U81" s="2039"/>
      <c r="V81" s="2040"/>
      <c r="W81" s="1618"/>
      <c r="X81" s="1619"/>
      <c r="Y81" s="1620"/>
      <c r="Z81" s="1542"/>
      <c r="AA81" s="1542"/>
      <c r="AB81" s="1542"/>
      <c r="AC81" s="1542"/>
      <c r="AD81" s="1542"/>
      <c r="AE81" s="1542"/>
      <c r="AF81" s="1542"/>
      <c r="AG81" s="1542"/>
      <c r="AH81" s="1542"/>
      <c r="AI81" s="2026"/>
      <c r="AJ81" s="824"/>
      <c r="AK81" s="128"/>
      <c r="AL81" s="128"/>
      <c r="AM81" s="128"/>
      <c r="AN81" s="128"/>
      <c r="AP81" s="1347"/>
      <c r="AQ81" s="2022"/>
      <c r="AR81" s="1615"/>
      <c r="AS81" s="1616"/>
      <c r="AT81" s="1616"/>
      <c r="AU81" s="1616"/>
      <c r="AV81" s="1616"/>
      <c r="AW81" s="1616"/>
      <c r="AX81" s="1616"/>
      <c r="AY81" s="1616"/>
      <c r="AZ81" s="1616"/>
      <c r="BA81" s="1616"/>
      <c r="BB81" s="1617"/>
      <c r="BC81" s="2041"/>
      <c r="BD81" s="2042"/>
      <c r="BE81" s="2042"/>
      <c r="BF81" s="2042"/>
      <c r="BG81" s="2042"/>
      <c r="BH81" s="2042"/>
      <c r="BI81" s="2042"/>
      <c r="BJ81" s="2043"/>
      <c r="BK81" s="1618"/>
      <c r="BL81" s="1619"/>
      <c r="BM81" s="1620"/>
      <c r="BN81" s="1542"/>
      <c r="BO81" s="1542"/>
      <c r="BP81" s="1542"/>
      <c r="BQ81" s="1542"/>
      <c r="BR81" s="1542"/>
      <c r="BS81" s="1542"/>
      <c r="BT81" s="1542"/>
      <c r="BU81" s="1542"/>
      <c r="BV81" s="1542"/>
      <c r="BW81" s="2026"/>
      <c r="BX81" s="824"/>
    </row>
    <row r="82" spans="1:76" ht="27.95" hidden="1" customHeight="1" outlineLevel="1">
      <c r="B82" s="1347"/>
      <c r="C82" s="2022"/>
      <c r="D82" s="1615"/>
      <c r="E82" s="1616"/>
      <c r="F82" s="1616"/>
      <c r="G82" s="1616"/>
      <c r="H82" s="1616"/>
      <c r="I82" s="1616"/>
      <c r="J82" s="1616"/>
      <c r="K82" s="1616"/>
      <c r="L82" s="1616"/>
      <c r="M82" s="1616"/>
      <c r="N82" s="1617"/>
      <c r="O82" s="2038"/>
      <c r="P82" s="2039"/>
      <c r="Q82" s="2039"/>
      <c r="R82" s="2039"/>
      <c r="S82" s="2039"/>
      <c r="T82" s="2039"/>
      <c r="U82" s="2039"/>
      <c r="V82" s="2040"/>
      <c r="W82" s="1618"/>
      <c r="X82" s="1619"/>
      <c r="Y82" s="1620"/>
      <c r="Z82" s="1542"/>
      <c r="AA82" s="1542"/>
      <c r="AB82" s="1542"/>
      <c r="AC82" s="1542"/>
      <c r="AD82" s="1542"/>
      <c r="AE82" s="1542"/>
      <c r="AF82" s="1542"/>
      <c r="AG82" s="1542"/>
      <c r="AH82" s="1542"/>
      <c r="AI82" s="2026"/>
      <c r="AJ82" s="824"/>
      <c r="AK82" s="128"/>
      <c r="AL82" s="128"/>
      <c r="AM82" s="128"/>
      <c r="AN82" s="128"/>
      <c r="AP82" s="1347"/>
      <c r="AQ82" s="2022"/>
      <c r="AR82" s="1615"/>
      <c r="AS82" s="1616"/>
      <c r="AT82" s="1616"/>
      <c r="AU82" s="1616"/>
      <c r="AV82" s="1616"/>
      <c r="AW82" s="1616"/>
      <c r="AX82" s="1616"/>
      <c r="AY82" s="1616"/>
      <c r="AZ82" s="1616"/>
      <c r="BA82" s="1616"/>
      <c r="BB82" s="1617"/>
      <c r="BC82" s="2041"/>
      <c r="BD82" s="2042"/>
      <c r="BE82" s="2042"/>
      <c r="BF82" s="2042"/>
      <c r="BG82" s="2042"/>
      <c r="BH82" s="2042"/>
      <c r="BI82" s="2042"/>
      <c r="BJ82" s="2043"/>
      <c r="BK82" s="1618"/>
      <c r="BL82" s="1619"/>
      <c r="BM82" s="1620"/>
      <c r="BN82" s="1542"/>
      <c r="BO82" s="1542"/>
      <c r="BP82" s="1542"/>
      <c r="BQ82" s="1542"/>
      <c r="BR82" s="1542"/>
      <c r="BS82" s="1542"/>
      <c r="BT82" s="1542"/>
      <c r="BU82" s="1542"/>
      <c r="BV82" s="1542"/>
      <c r="BW82" s="2026"/>
      <c r="BX82" s="824"/>
    </row>
    <row r="83" spans="1:76" ht="27.95" hidden="1" customHeight="1" outlineLevel="1">
      <c r="B83" s="1347"/>
      <c r="C83" s="2022"/>
      <c r="D83" s="1615"/>
      <c r="E83" s="1616"/>
      <c r="F83" s="1616"/>
      <c r="G83" s="1616"/>
      <c r="H83" s="1616"/>
      <c r="I83" s="1616"/>
      <c r="J83" s="1616"/>
      <c r="K83" s="1616"/>
      <c r="L83" s="1616"/>
      <c r="M83" s="1616"/>
      <c r="N83" s="1617"/>
      <c r="O83" s="2038"/>
      <c r="P83" s="2039"/>
      <c r="Q83" s="2039"/>
      <c r="R83" s="2039"/>
      <c r="S83" s="2039"/>
      <c r="T83" s="2039"/>
      <c r="U83" s="2039"/>
      <c r="V83" s="2040"/>
      <c r="W83" s="1618"/>
      <c r="X83" s="1619"/>
      <c r="Y83" s="1620"/>
      <c r="Z83" s="1542"/>
      <c r="AA83" s="1542"/>
      <c r="AB83" s="1542"/>
      <c r="AC83" s="1542"/>
      <c r="AD83" s="1542"/>
      <c r="AE83" s="1542"/>
      <c r="AF83" s="1542"/>
      <c r="AG83" s="1542"/>
      <c r="AH83" s="1542"/>
      <c r="AI83" s="2026"/>
      <c r="AJ83" s="824"/>
      <c r="AK83" s="128"/>
      <c r="AL83" s="128"/>
      <c r="AM83" s="128"/>
      <c r="AN83" s="128"/>
      <c r="AP83" s="1347"/>
      <c r="AQ83" s="2022"/>
      <c r="AR83" s="1615"/>
      <c r="AS83" s="1616"/>
      <c r="AT83" s="1616"/>
      <c r="AU83" s="1616"/>
      <c r="AV83" s="1616"/>
      <c r="AW83" s="1616"/>
      <c r="AX83" s="1616"/>
      <c r="AY83" s="1616"/>
      <c r="AZ83" s="1616"/>
      <c r="BA83" s="1616"/>
      <c r="BB83" s="1617"/>
      <c r="BC83" s="2041"/>
      <c r="BD83" s="2042"/>
      <c r="BE83" s="2042"/>
      <c r="BF83" s="2042"/>
      <c r="BG83" s="2042"/>
      <c r="BH83" s="2042"/>
      <c r="BI83" s="2042"/>
      <c r="BJ83" s="2043"/>
      <c r="BK83" s="1618"/>
      <c r="BL83" s="1619"/>
      <c r="BM83" s="1620"/>
      <c r="BN83" s="1542"/>
      <c r="BO83" s="1542"/>
      <c r="BP83" s="1542"/>
      <c r="BQ83" s="1542"/>
      <c r="BR83" s="1542"/>
      <c r="BS83" s="1542"/>
      <c r="BT83" s="1542"/>
      <c r="BU83" s="1542"/>
      <c r="BV83" s="1542"/>
      <c r="BW83" s="2026"/>
      <c r="BX83" s="824"/>
    </row>
    <row r="84" spans="1:76" ht="27.95" hidden="1" customHeight="1" outlineLevel="1">
      <c r="B84" s="1347"/>
      <c r="C84" s="2022"/>
      <c r="D84" s="1615"/>
      <c r="E84" s="1616"/>
      <c r="F84" s="1616"/>
      <c r="G84" s="1616"/>
      <c r="H84" s="1616"/>
      <c r="I84" s="1616"/>
      <c r="J84" s="1616"/>
      <c r="K84" s="1616"/>
      <c r="L84" s="1616"/>
      <c r="M84" s="1616"/>
      <c r="N84" s="1617"/>
      <c r="O84" s="2038"/>
      <c r="P84" s="2039"/>
      <c r="Q84" s="2039"/>
      <c r="R84" s="2039"/>
      <c r="S84" s="2039"/>
      <c r="T84" s="2039"/>
      <c r="U84" s="2039"/>
      <c r="V84" s="2040"/>
      <c r="W84" s="1618"/>
      <c r="X84" s="1619"/>
      <c r="Y84" s="1620"/>
      <c r="Z84" s="1542"/>
      <c r="AA84" s="1542"/>
      <c r="AB84" s="1542"/>
      <c r="AC84" s="1542"/>
      <c r="AD84" s="1542"/>
      <c r="AE84" s="1542"/>
      <c r="AF84" s="1542"/>
      <c r="AG84" s="1542"/>
      <c r="AH84" s="1542"/>
      <c r="AI84" s="2026"/>
      <c r="AJ84" s="824"/>
      <c r="AK84" s="128"/>
      <c r="AL84" s="128"/>
      <c r="AM84" s="128"/>
      <c r="AN84" s="128"/>
      <c r="AP84" s="1347"/>
      <c r="AQ84" s="2022"/>
      <c r="AR84" s="1615"/>
      <c r="AS84" s="1616"/>
      <c r="AT84" s="1616"/>
      <c r="AU84" s="1616"/>
      <c r="AV84" s="1616"/>
      <c r="AW84" s="1616"/>
      <c r="AX84" s="1616"/>
      <c r="AY84" s="1616"/>
      <c r="AZ84" s="1616"/>
      <c r="BA84" s="1616"/>
      <c r="BB84" s="1617"/>
      <c r="BC84" s="2041"/>
      <c r="BD84" s="2042"/>
      <c r="BE84" s="2042"/>
      <c r="BF84" s="2042"/>
      <c r="BG84" s="2042"/>
      <c r="BH84" s="2042"/>
      <c r="BI84" s="2042"/>
      <c r="BJ84" s="2043"/>
      <c r="BK84" s="1618"/>
      <c r="BL84" s="1619"/>
      <c r="BM84" s="1620"/>
      <c r="BN84" s="1542"/>
      <c r="BO84" s="1542"/>
      <c r="BP84" s="1542"/>
      <c r="BQ84" s="1542"/>
      <c r="BR84" s="1542"/>
      <c r="BS84" s="1542"/>
      <c r="BT84" s="1542"/>
      <c r="BU84" s="1542"/>
      <c r="BV84" s="1542"/>
      <c r="BW84" s="2026"/>
      <c r="BX84" s="824"/>
    </row>
    <row r="85" spans="1:76" ht="27.95" hidden="1" customHeight="1" outlineLevel="1">
      <c r="B85" s="1347"/>
      <c r="C85" s="2022"/>
      <c r="D85" s="1615"/>
      <c r="E85" s="1616"/>
      <c r="F85" s="1616"/>
      <c r="G85" s="1616"/>
      <c r="H85" s="1616"/>
      <c r="I85" s="1616"/>
      <c r="J85" s="1616"/>
      <c r="K85" s="1616"/>
      <c r="L85" s="1616"/>
      <c r="M85" s="1616"/>
      <c r="N85" s="1617"/>
      <c r="O85" s="2038"/>
      <c r="P85" s="2039"/>
      <c r="Q85" s="2039"/>
      <c r="R85" s="2039"/>
      <c r="S85" s="2039"/>
      <c r="T85" s="2039"/>
      <c r="U85" s="2039"/>
      <c r="V85" s="2040"/>
      <c r="W85" s="1618"/>
      <c r="X85" s="1619"/>
      <c r="Y85" s="1620"/>
      <c r="Z85" s="1542"/>
      <c r="AA85" s="1542"/>
      <c r="AB85" s="1542"/>
      <c r="AC85" s="1542"/>
      <c r="AD85" s="1542"/>
      <c r="AE85" s="1542"/>
      <c r="AF85" s="1542"/>
      <c r="AG85" s="1542"/>
      <c r="AH85" s="1542"/>
      <c r="AI85" s="2026"/>
      <c r="AJ85" s="824"/>
      <c r="AK85" s="128"/>
      <c r="AL85" s="128"/>
      <c r="AM85" s="128"/>
      <c r="AN85" s="128"/>
      <c r="AP85" s="1347"/>
      <c r="AQ85" s="2022"/>
      <c r="AR85" s="1615"/>
      <c r="AS85" s="1616"/>
      <c r="AT85" s="1616"/>
      <c r="AU85" s="1616"/>
      <c r="AV85" s="1616"/>
      <c r="AW85" s="1616"/>
      <c r="AX85" s="1616"/>
      <c r="AY85" s="1616"/>
      <c r="AZ85" s="1616"/>
      <c r="BA85" s="1616"/>
      <c r="BB85" s="1617"/>
      <c r="BC85" s="2041"/>
      <c r="BD85" s="2042"/>
      <c r="BE85" s="2042"/>
      <c r="BF85" s="2042"/>
      <c r="BG85" s="2042"/>
      <c r="BH85" s="2042"/>
      <c r="BI85" s="2042"/>
      <c r="BJ85" s="2043"/>
      <c r="BK85" s="1618"/>
      <c r="BL85" s="1619"/>
      <c r="BM85" s="1620"/>
      <c r="BN85" s="1542"/>
      <c r="BO85" s="1542"/>
      <c r="BP85" s="1542"/>
      <c r="BQ85" s="1542"/>
      <c r="BR85" s="1542"/>
      <c r="BS85" s="1542"/>
      <c r="BT85" s="1542"/>
      <c r="BU85" s="1542"/>
      <c r="BV85" s="1542"/>
      <c r="BW85" s="2026"/>
      <c r="BX85" s="824"/>
    </row>
    <row r="86" spans="1:76" ht="27.95" hidden="1" customHeight="1" outlineLevel="1">
      <c r="B86" s="1347"/>
      <c r="C86" s="2022"/>
      <c r="D86" s="1615"/>
      <c r="E86" s="1616"/>
      <c r="F86" s="1616"/>
      <c r="G86" s="1616"/>
      <c r="H86" s="1616"/>
      <c r="I86" s="1616"/>
      <c r="J86" s="1616"/>
      <c r="K86" s="1616"/>
      <c r="L86" s="1616"/>
      <c r="M86" s="1616"/>
      <c r="N86" s="1617"/>
      <c r="O86" s="2038"/>
      <c r="P86" s="2039"/>
      <c r="Q86" s="2039"/>
      <c r="R86" s="2039"/>
      <c r="S86" s="2039"/>
      <c r="T86" s="2039"/>
      <c r="U86" s="2039"/>
      <c r="V86" s="2040"/>
      <c r="W86" s="1618"/>
      <c r="X86" s="1619"/>
      <c r="Y86" s="1620"/>
      <c r="Z86" s="1542"/>
      <c r="AA86" s="1542"/>
      <c r="AB86" s="1542"/>
      <c r="AC86" s="1542"/>
      <c r="AD86" s="1542"/>
      <c r="AE86" s="1542"/>
      <c r="AF86" s="1542"/>
      <c r="AG86" s="1542"/>
      <c r="AH86" s="1542"/>
      <c r="AI86" s="2026"/>
      <c r="AJ86" s="824"/>
      <c r="AK86" s="128"/>
      <c r="AL86" s="128"/>
      <c r="AM86" s="128"/>
      <c r="AN86" s="128"/>
      <c r="AP86" s="1347"/>
      <c r="AQ86" s="2022"/>
      <c r="AR86" s="1615"/>
      <c r="AS86" s="1616"/>
      <c r="AT86" s="1616"/>
      <c r="AU86" s="1616"/>
      <c r="AV86" s="1616"/>
      <c r="AW86" s="1616"/>
      <c r="AX86" s="1616"/>
      <c r="AY86" s="1616"/>
      <c r="AZ86" s="1616"/>
      <c r="BA86" s="1616"/>
      <c r="BB86" s="1617"/>
      <c r="BC86" s="2041"/>
      <c r="BD86" s="2042"/>
      <c r="BE86" s="2042"/>
      <c r="BF86" s="2042"/>
      <c r="BG86" s="2042"/>
      <c r="BH86" s="2042"/>
      <c r="BI86" s="2042"/>
      <c r="BJ86" s="2043"/>
      <c r="BK86" s="1618"/>
      <c r="BL86" s="1619"/>
      <c r="BM86" s="1620"/>
      <c r="BN86" s="1542"/>
      <c r="BO86" s="1542"/>
      <c r="BP86" s="1542"/>
      <c r="BQ86" s="1542"/>
      <c r="BR86" s="1542"/>
      <c r="BS86" s="1542"/>
      <c r="BT86" s="1542"/>
      <c r="BU86" s="1542"/>
      <c r="BV86" s="1542"/>
      <c r="BW86" s="2026"/>
      <c r="BX86" s="824"/>
    </row>
    <row r="87" spans="1:76" ht="27.95" hidden="1" customHeight="1" outlineLevel="1">
      <c r="B87" s="1347"/>
      <c r="C87" s="2022"/>
      <c r="D87" s="1615"/>
      <c r="E87" s="1616"/>
      <c r="F87" s="1616"/>
      <c r="G87" s="1616"/>
      <c r="H87" s="1616"/>
      <c r="I87" s="1616"/>
      <c r="J87" s="1616"/>
      <c r="K87" s="1616"/>
      <c r="L87" s="1616"/>
      <c r="M87" s="1616"/>
      <c r="N87" s="1617"/>
      <c r="O87" s="2038"/>
      <c r="P87" s="2039"/>
      <c r="Q87" s="2039"/>
      <c r="R87" s="2039"/>
      <c r="S87" s="2039"/>
      <c r="T87" s="2039"/>
      <c r="U87" s="2039"/>
      <c r="V87" s="2040"/>
      <c r="W87" s="1618"/>
      <c r="X87" s="1619"/>
      <c r="Y87" s="1620"/>
      <c r="Z87" s="1542"/>
      <c r="AA87" s="1542"/>
      <c r="AB87" s="1542"/>
      <c r="AC87" s="1542"/>
      <c r="AD87" s="1542"/>
      <c r="AE87" s="1542"/>
      <c r="AF87" s="1542"/>
      <c r="AG87" s="1542"/>
      <c r="AH87" s="1542"/>
      <c r="AI87" s="2026"/>
      <c r="AJ87" s="824"/>
      <c r="AK87" s="128"/>
      <c r="AL87" s="128"/>
      <c r="AM87" s="128"/>
      <c r="AN87" s="128"/>
      <c r="AP87" s="1347"/>
      <c r="AQ87" s="2022"/>
      <c r="AR87" s="1615"/>
      <c r="AS87" s="1616"/>
      <c r="AT87" s="1616"/>
      <c r="AU87" s="1616"/>
      <c r="AV87" s="1616"/>
      <c r="AW87" s="1616"/>
      <c r="AX87" s="1616"/>
      <c r="AY87" s="1616"/>
      <c r="AZ87" s="1616"/>
      <c r="BA87" s="1616"/>
      <c r="BB87" s="1617"/>
      <c r="BC87" s="2041"/>
      <c r="BD87" s="2042"/>
      <c r="BE87" s="2042"/>
      <c r="BF87" s="2042"/>
      <c r="BG87" s="2042"/>
      <c r="BH87" s="2042"/>
      <c r="BI87" s="2042"/>
      <c r="BJ87" s="2043"/>
      <c r="BK87" s="1618"/>
      <c r="BL87" s="1619"/>
      <c r="BM87" s="1620"/>
      <c r="BN87" s="1542"/>
      <c r="BO87" s="1542"/>
      <c r="BP87" s="1542"/>
      <c r="BQ87" s="1542"/>
      <c r="BR87" s="1542"/>
      <c r="BS87" s="1542"/>
      <c r="BT87" s="1542"/>
      <c r="BU87" s="1542"/>
      <c r="BV87" s="1542"/>
      <c r="BW87" s="2026"/>
      <c r="BX87" s="824"/>
    </row>
    <row r="88" spans="1:76" ht="27.95" hidden="1" customHeight="1" outlineLevel="1">
      <c r="B88" s="1347"/>
      <c r="C88" s="2022"/>
      <c r="D88" s="1615"/>
      <c r="E88" s="1616"/>
      <c r="F88" s="1616"/>
      <c r="G88" s="1616"/>
      <c r="H88" s="1616"/>
      <c r="I88" s="1616"/>
      <c r="J88" s="1616"/>
      <c r="K88" s="1616"/>
      <c r="L88" s="1616"/>
      <c r="M88" s="1616"/>
      <c r="N88" s="1617"/>
      <c r="O88" s="2038"/>
      <c r="P88" s="2039"/>
      <c r="Q88" s="2039"/>
      <c r="R88" s="2039"/>
      <c r="S88" s="2039"/>
      <c r="T88" s="2039"/>
      <c r="U88" s="2039"/>
      <c r="V88" s="2040"/>
      <c r="W88" s="1618"/>
      <c r="X88" s="1619"/>
      <c r="Y88" s="1620"/>
      <c r="Z88" s="1542"/>
      <c r="AA88" s="1542"/>
      <c r="AB88" s="1542"/>
      <c r="AC88" s="1542"/>
      <c r="AD88" s="1542"/>
      <c r="AE88" s="1542"/>
      <c r="AF88" s="1542"/>
      <c r="AG88" s="1542"/>
      <c r="AH88" s="1542"/>
      <c r="AI88" s="2026"/>
      <c r="AJ88" s="824"/>
      <c r="AK88" s="128"/>
      <c r="AL88" s="128"/>
      <c r="AM88" s="128"/>
      <c r="AN88" s="128"/>
      <c r="AP88" s="1347"/>
      <c r="AQ88" s="2022"/>
      <c r="AR88" s="1615"/>
      <c r="AS88" s="1616"/>
      <c r="AT88" s="1616"/>
      <c r="AU88" s="1616"/>
      <c r="AV88" s="1616"/>
      <c r="AW88" s="1616"/>
      <c r="AX88" s="1616"/>
      <c r="AY88" s="1616"/>
      <c r="AZ88" s="1616"/>
      <c r="BA88" s="1616"/>
      <c r="BB88" s="1617"/>
      <c r="BC88" s="2041"/>
      <c r="BD88" s="2042"/>
      <c r="BE88" s="2042"/>
      <c r="BF88" s="2042"/>
      <c r="BG88" s="2042"/>
      <c r="BH88" s="2042"/>
      <c r="BI88" s="2042"/>
      <c r="BJ88" s="2043"/>
      <c r="BK88" s="1618"/>
      <c r="BL88" s="1619"/>
      <c r="BM88" s="1620"/>
      <c r="BN88" s="1542"/>
      <c r="BO88" s="1542"/>
      <c r="BP88" s="1542"/>
      <c r="BQ88" s="1542"/>
      <c r="BR88" s="1542"/>
      <c r="BS88" s="1542"/>
      <c r="BT88" s="1542"/>
      <c r="BU88" s="1542"/>
      <c r="BV88" s="1542"/>
      <c r="BW88" s="2026"/>
      <c r="BX88" s="824"/>
    </row>
    <row r="89" spans="1:76" ht="27.95" hidden="1" customHeight="1" outlineLevel="1">
      <c r="B89" s="1347"/>
      <c r="C89" s="2022"/>
      <c r="D89" s="1615"/>
      <c r="E89" s="1616"/>
      <c r="F89" s="1616"/>
      <c r="G89" s="1616"/>
      <c r="H89" s="1616"/>
      <c r="I89" s="1616"/>
      <c r="J89" s="1616"/>
      <c r="K89" s="1616"/>
      <c r="L89" s="1616"/>
      <c r="M89" s="1616"/>
      <c r="N89" s="1617"/>
      <c r="O89" s="2038"/>
      <c r="P89" s="2039"/>
      <c r="Q89" s="2039"/>
      <c r="R89" s="2039"/>
      <c r="S89" s="2039"/>
      <c r="T89" s="2039"/>
      <c r="U89" s="2039"/>
      <c r="V89" s="2040"/>
      <c r="W89" s="1618"/>
      <c r="X89" s="1619"/>
      <c r="Y89" s="1620"/>
      <c r="Z89" s="1542"/>
      <c r="AA89" s="1542"/>
      <c r="AB89" s="1542"/>
      <c r="AC89" s="1542"/>
      <c r="AD89" s="1542"/>
      <c r="AE89" s="1542"/>
      <c r="AF89" s="1542"/>
      <c r="AG89" s="1542"/>
      <c r="AH89" s="1542"/>
      <c r="AI89" s="2026"/>
      <c r="AJ89" s="824"/>
      <c r="AK89" s="128"/>
      <c r="AL89" s="128"/>
      <c r="AM89" s="128"/>
      <c r="AN89" s="128"/>
      <c r="AP89" s="1347"/>
      <c r="AQ89" s="2022"/>
      <c r="AR89" s="1615"/>
      <c r="AS89" s="1616"/>
      <c r="AT89" s="1616"/>
      <c r="AU89" s="1616"/>
      <c r="AV89" s="1616"/>
      <c r="AW89" s="1616"/>
      <c r="AX89" s="1616"/>
      <c r="AY89" s="1616"/>
      <c r="AZ89" s="1616"/>
      <c r="BA89" s="1616"/>
      <c r="BB89" s="1617"/>
      <c r="BC89" s="2041"/>
      <c r="BD89" s="2042"/>
      <c r="BE89" s="2042"/>
      <c r="BF89" s="2042"/>
      <c r="BG89" s="2042"/>
      <c r="BH89" s="2042"/>
      <c r="BI89" s="2042"/>
      <c r="BJ89" s="2043"/>
      <c r="BK89" s="1618"/>
      <c r="BL89" s="1619"/>
      <c r="BM89" s="1620"/>
      <c r="BN89" s="1542"/>
      <c r="BO89" s="1542"/>
      <c r="BP89" s="1542"/>
      <c r="BQ89" s="1542"/>
      <c r="BR89" s="1542"/>
      <c r="BS89" s="1542"/>
      <c r="BT89" s="1542"/>
      <c r="BU89" s="1542"/>
      <c r="BV89" s="1542"/>
      <c r="BW89" s="2026"/>
      <c r="BX89" s="824"/>
    </row>
    <row r="90" spans="1:76" ht="27.95" hidden="1" customHeight="1" outlineLevel="1">
      <c r="A90" s="827"/>
      <c r="B90" s="1347"/>
      <c r="C90" s="2022"/>
      <c r="D90" s="1615"/>
      <c r="E90" s="1616"/>
      <c r="F90" s="1616"/>
      <c r="G90" s="1616"/>
      <c r="H90" s="1616"/>
      <c r="I90" s="1616"/>
      <c r="J90" s="1616"/>
      <c r="K90" s="1616"/>
      <c r="L90" s="1616"/>
      <c r="M90" s="1616"/>
      <c r="N90" s="1617"/>
      <c r="O90" s="2038"/>
      <c r="P90" s="2039"/>
      <c r="Q90" s="2039"/>
      <c r="R90" s="2039"/>
      <c r="S90" s="2039"/>
      <c r="T90" s="2039"/>
      <c r="U90" s="2039"/>
      <c r="V90" s="2040"/>
      <c r="W90" s="1618"/>
      <c r="X90" s="1619"/>
      <c r="Y90" s="1620"/>
      <c r="Z90" s="1542"/>
      <c r="AA90" s="1542"/>
      <c r="AB90" s="1542"/>
      <c r="AC90" s="1542"/>
      <c r="AD90" s="1542"/>
      <c r="AE90" s="1542"/>
      <c r="AF90" s="1542"/>
      <c r="AG90" s="1542"/>
      <c r="AH90" s="1542"/>
      <c r="AI90" s="2026"/>
      <c r="AJ90" s="824"/>
      <c r="AK90" s="128"/>
      <c r="AL90" s="128"/>
      <c r="AM90" s="128"/>
      <c r="AN90" s="128"/>
      <c r="AP90" s="1347"/>
      <c r="AQ90" s="2022"/>
      <c r="AR90" s="1615"/>
      <c r="AS90" s="1616"/>
      <c r="AT90" s="1616"/>
      <c r="AU90" s="1616"/>
      <c r="AV90" s="1616"/>
      <c r="AW90" s="1616"/>
      <c r="AX90" s="1616"/>
      <c r="AY90" s="1616"/>
      <c r="AZ90" s="1616"/>
      <c r="BA90" s="1616"/>
      <c r="BB90" s="1617"/>
      <c r="BC90" s="2041"/>
      <c r="BD90" s="2042"/>
      <c r="BE90" s="2042"/>
      <c r="BF90" s="2042"/>
      <c r="BG90" s="2042"/>
      <c r="BH90" s="2042"/>
      <c r="BI90" s="2042"/>
      <c r="BJ90" s="2043"/>
      <c r="BK90" s="1618"/>
      <c r="BL90" s="1619"/>
      <c r="BM90" s="1620"/>
      <c r="BN90" s="1542"/>
      <c r="BO90" s="1542"/>
      <c r="BP90" s="1542"/>
      <c r="BQ90" s="1542"/>
      <c r="BR90" s="1542"/>
      <c r="BS90" s="1542"/>
      <c r="BT90" s="1542"/>
      <c r="BU90" s="1542"/>
      <c r="BV90" s="1542"/>
      <c r="BW90" s="2026"/>
      <c r="BX90" s="824"/>
    </row>
    <row r="91" spans="1:76" ht="27.95" hidden="1" customHeight="1" outlineLevel="1">
      <c r="B91" s="1347"/>
      <c r="C91" s="2022"/>
      <c r="D91" s="1615"/>
      <c r="E91" s="1616"/>
      <c r="F91" s="1616"/>
      <c r="G91" s="1616"/>
      <c r="H91" s="1616"/>
      <c r="I91" s="1616"/>
      <c r="J91" s="1616"/>
      <c r="K91" s="1616"/>
      <c r="L91" s="1616"/>
      <c r="M91" s="1616"/>
      <c r="N91" s="1617"/>
      <c r="O91" s="2038"/>
      <c r="P91" s="2039"/>
      <c r="Q91" s="2039"/>
      <c r="R91" s="2039"/>
      <c r="S91" s="2039"/>
      <c r="T91" s="2039"/>
      <c r="U91" s="2039"/>
      <c r="V91" s="2040"/>
      <c r="W91" s="1618"/>
      <c r="X91" s="1619"/>
      <c r="Y91" s="1620"/>
      <c r="Z91" s="1542"/>
      <c r="AA91" s="1542"/>
      <c r="AB91" s="1542"/>
      <c r="AC91" s="1542"/>
      <c r="AD91" s="1542"/>
      <c r="AE91" s="1542"/>
      <c r="AF91" s="1542"/>
      <c r="AG91" s="1542"/>
      <c r="AH91" s="1542"/>
      <c r="AI91" s="2026"/>
      <c r="AJ91" s="824"/>
      <c r="AK91" s="128"/>
      <c r="AL91" s="128"/>
      <c r="AM91" s="128"/>
      <c r="AN91" s="128"/>
      <c r="AP91" s="1347"/>
      <c r="AQ91" s="2022"/>
      <c r="AR91" s="1615"/>
      <c r="AS91" s="1616"/>
      <c r="AT91" s="1616"/>
      <c r="AU91" s="1616"/>
      <c r="AV91" s="1616"/>
      <c r="AW91" s="1616"/>
      <c r="AX91" s="1616"/>
      <c r="AY91" s="1616"/>
      <c r="AZ91" s="1616"/>
      <c r="BA91" s="1616"/>
      <c r="BB91" s="1617"/>
      <c r="BC91" s="2041"/>
      <c r="BD91" s="2042"/>
      <c r="BE91" s="2042"/>
      <c r="BF91" s="2042"/>
      <c r="BG91" s="2042"/>
      <c r="BH91" s="2042"/>
      <c r="BI91" s="2042"/>
      <c r="BJ91" s="2043"/>
      <c r="BK91" s="1618"/>
      <c r="BL91" s="1619"/>
      <c r="BM91" s="1620"/>
      <c r="BN91" s="1542"/>
      <c r="BO91" s="1542"/>
      <c r="BP91" s="1542"/>
      <c r="BQ91" s="1542"/>
      <c r="BR91" s="1542"/>
      <c r="BS91" s="1542"/>
      <c r="BT91" s="1542"/>
      <c r="BU91" s="1542"/>
      <c r="BV91" s="1542"/>
      <c r="BW91" s="2026"/>
      <c r="BX91" s="824"/>
    </row>
    <row r="92" spans="1:76" ht="27.95" hidden="1" customHeight="1" outlineLevel="1">
      <c r="B92" s="1347"/>
      <c r="C92" s="2022"/>
      <c r="D92" s="1615"/>
      <c r="E92" s="1616"/>
      <c r="F92" s="1616"/>
      <c r="G92" s="1616"/>
      <c r="H92" s="1616"/>
      <c r="I92" s="1616"/>
      <c r="J92" s="1616"/>
      <c r="K92" s="1616"/>
      <c r="L92" s="1616"/>
      <c r="M92" s="1616"/>
      <c r="N92" s="1617"/>
      <c r="O92" s="2038"/>
      <c r="P92" s="2039"/>
      <c r="Q92" s="2039"/>
      <c r="R92" s="2039"/>
      <c r="S92" s="2039"/>
      <c r="T92" s="2039"/>
      <c r="U92" s="2039"/>
      <c r="V92" s="2040"/>
      <c r="W92" s="1618"/>
      <c r="X92" s="1619"/>
      <c r="Y92" s="1620"/>
      <c r="Z92" s="1542"/>
      <c r="AA92" s="1542"/>
      <c r="AB92" s="1542"/>
      <c r="AC92" s="1542"/>
      <c r="AD92" s="1542"/>
      <c r="AE92" s="1542"/>
      <c r="AF92" s="1542"/>
      <c r="AG92" s="1542"/>
      <c r="AH92" s="1542"/>
      <c r="AI92" s="2026"/>
      <c r="AJ92" s="824"/>
      <c r="AK92" s="128"/>
      <c r="AL92" s="128"/>
      <c r="AM92" s="128"/>
      <c r="AN92" s="128"/>
      <c r="AP92" s="1347"/>
      <c r="AQ92" s="2022"/>
      <c r="AR92" s="1615"/>
      <c r="AS92" s="1616"/>
      <c r="AT92" s="1616"/>
      <c r="AU92" s="1616"/>
      <c r="AV92" s="1616"/>
      <c r="AW92" s="1616"/>
      <c r="AX92" s="1616"/>
      <c r="AY92" s="1616"/>
      <c r="AZ92" s="1616"/>
      <c r="BA92" s="1616"/>
      <c r="BB92" s="1617"/>
      <c r="BC92" s="2041"/>
      <c r="BD92" s="2042"/>
      <c r="BE92" s="2042"/>
      <c r="BF92" s="2042"/>
      <c r="BG92" s="2042"/>
      <c r="BH92" s="2042"/>
      <c r="BI92" s="2042"/>
      <c r="BJ92" s="2043"/>
      <c r="BK92" s="1618"/>
      <c r="BL92" s="1619"/>
      <c r="BM92" s="1620"/>
      <c r="BN92" s="1542"/>
      <c r="BO92" s="1542"/>
      <c r="BP92" s="1542"/>
      <c r="BQ92" s="1542"/>
      <c r="BR92" s="1542"/>
      <c r="BS92" s="1542"/>
      <c r="BT92" s="1542"/>
      <c r="BU92" s="1542"/>
      <c r="BV92" s="1542"/>
      <c r="BW92" s="2026"/>
      <c r="BX92" s="824"/>
    </row>
    <row r="93" spans="1:76" ht="27.95" hidden="1" customHeight="1" outlineLevel="1">
      <c r="B93" s="1347"/>
      <c r="C93" s="2022"/>
      <c r="D93" s="1615"/>
      <c r="E93" s="1616"/>
      <c r="F93" s="1616"/>
      <c r="G93" s="1616"/>
      <c r="H93" s="1616"/>
      <c r="I93" s="1616"/>
      <c r="J93" s="1616"/>
      <c r="K93" s="1616"/>
      <c r="L93" s="1616"/>
      <c r="M93" s="1616"/>
      <c r="N93" s="1617"/>
      <c r="O93" s="2038"/>
      <c r="P93" s="2039"/>
      <c r="Q93" s="2039"/>
      <c r="R93" s="2039"/>
      <c r="S93" s="2039"/>
      <c r="T93" s="2039"/>
      <c r="U93" s="2039"/>
      <c r="V93" s="2040"/>
      <c r="W93" s="1618"/>
      <c r="X93" s="1619"/>
      <c r="Y93" s="1620"/>
      <c r="Z93" s="1542"/>
      <c r="AA93" s="1542"/>
      <c r="AB93" s="1542"/>
      <c r="AC93" s="1542"/>
      <c r="AD93" s="1542"/>
      <c r="AE93" s="1542"/>
      <c r="AF93" s="1542"/>
      <c r="AG93" s="1542"/>
      <c r="AH93" s="1542"/>
      <c r="AI93" s="2026"/>
      <c r="AJ93" s="824"/>
      <c r="AK93" s="128"/>
      <c r="AL93" s="128"/>
      <c r="AM93" s="128"/>
      <c r="AN93" s="128"/>
      <c r="AP93" s="1347"/>
      <c r="AQ93" s="2022"/>
      <c r="AR93" s="1615"/>
      <c r="AS93" s="1616"/>
      <c r="AT93" s="1616"/>
      <c r="AU93" s="1616"/>
      <c r="AV93" s="1616"/>
      <c r="AW93" s="1616"/>
      <c r="AX93" s="1616"/>
      <c r="AY93" s="1616"/>
      <c r="AZ93" s="1616"/>
      <c r="BA93" s="1616"/>
      <c r="BB93" s="1617"/>
      <c r="BC93" s="2041"/>
      <c r="BD93" s="2042"/>
      <c r="BE93" s="2042"/>
      <c r="BF93" s="2042"/>
      <c r="BG93" s="2042"/>
      <c r="BH93" s="2042"/>
      <c r="BI93" s="2042"/>
      <c r="BJ93" s="2043"/>
      <c r="BK93" s="1618"/>
      <c r="BL93" s="1619"/>
      <c r="BM93" s="1620"/>
      <c r="BN93" s="1542"/>
      <c r="BO93" s="1542"/>
      <c r="BP93" s="1542"/>
      <c r="BQ93" s="1542"/>
      <c r="BR93" s="1542"/>
      <c r="BS93" s="1542"/>
      <c r="BT93" s="1542"/>
      <c r="BU93" s="1542"/>
      <c r="BV93" s="1542"/>
      <c r="BW93" s="2026"/>
      <c r="BX93" s="824"/>
    </row>
    <row r="94" spans="1:76" ht="27.95" hidden="1" customHeight="1" outlineLevel="1">
      <c r="B94" s="1347"/>
      <c r="C94" s="2022"/>
      <c r="D94" s="1615"/>
      <c r="E94" s="1616"/>
      <c r="F94" s="1616"/>
      <c r="G94" s="1616"/>
      <c r="H94" s="1616"/>
      <c r="I94" s="1616"/>
      <c r="J94" s="1616"/>
      <c r="K94" s="1616"/>
      <c r="L94" s="1616"/>
      <c r="M94" s="1616"/>
      <c r="N94" s="1617"/>
      <c r="O94" s="2038"/>
      <c r="P94" s="2039"/>
      <c r="Q94" s="2039"/>
      <c r="R94" s="2039"/>
      <c r="S94" s="2039"/>
      <c r="T94" s="2039"/>
      <c r="U94" s="2039"/>
      <c r="V94" s="2040"/>
      <c r="W94" s="1618"/>
      <c r="X94" s="1619"/>
      <c r="Y94" s="1620"/>
      <c r="Z94" s="1542"/>
      <c r="AA94" s="1542"/>
      <c r="AB94" s="1542"/>
      <c r="AC94" s="1542"/>
      <c r="AD94" s="1542"/>
      <c r="AE94" s="1542"/>
      <c r="AF94" s="1542"/>
      <c r="AG94" s="1542"/>
      <c r="AH94" s="1542"/>
      <c r="AI94" s="2026"/>
      <c r="AJ94" s="824"/>
      <c r="AK94" s="128"/>
      <c r="AL94" s="128"/>
      <c r="AM94" s="128"/>
      <c r="AN94" s="128"/>
      <c r="AP94" s="1347"/>
      <c r="AQ94" s="2022"/>
      <c r="AR94" s="1615"/>
      <c r="AS94" s="1616"/>
      <c r="AT94" s="1616"/>
      <c r="AU94" s="1616"/>
      <c r="AV94" s="1616"/>
      <c r="AW94" s="1616"/>
      <c r="AX94" s="1616"/>
      <c r="AY94" s="1616"/>
      <c r="AZ94" s="1616"/>
      <c r="BA94" s="1616"/>
      <c r="BB94" s="1617"/>
      <c r="BC94" s="2041"/>
      <c r="BD94" s="2042"/>
      <c r="BE94" s="2042"/>
      <c r="BF94" s="2042"/>
      <c r="BG94" s="2042"/>
      <c r="BH94" s="2042"/>
      <c r="BI94" s="2042"/>
      <c r="BJ94" s="2043"/>
      <c r="BK94" s="1618"/>
      <c r="BL94" s="1619"/>
      <c r="BM94" s="1620"/>
      <c r="BN94" s="1542"/>
      <c r="BO94" s="1542"/>
      <c r="BP94" s="1542"/>
      <c r="BQ94" s="1542"/>
      <c r="BR94" s="1542"/>
      <c r="BS94" s="1542"/>
      <c r="BT94" s="1542"/>
      <c r="BU94" s="1542"/>
      <c r="BV94" s="1542"/>
      <c r="BW94" s="2026"/>
      <c r="BX94" s="824"/>
    </row>
    <row r="95" spans="1:76" ht="27.95" hidden="1" customHeight="1" outlineLevel="1">
      <c r="B95" s="1347"/>
      <c r="C95" s="2022"/>
      <c r="D95" s="1615"/>
      <c r="E95" s="1616"/>
      <c r="F95" s="1616"/>
      <c r="G95" s="1616"/>
      <c r="H95" s="1616"/>
      <c r="I95" s="1616"/>
      <c r="J95" s="1616"/>
      <c r="K95" s="1616"/>
      <c r="L95" s="1616"/>
      <c r="M95" s="1616"/>
      <c r="N95" s="1617"/>
      <c r="O95" s="2038"/>
      <c r="P95" s="2039"/>
      <c r="Q95" s="2039"/>
      <c r="R95" s="2039"/>
      <c r="S95" s="2039"/>
      <c r="T95" s="2039"/>
      <c r="U95" s="2039"/>
      <c r="V95" s="2040"/>
      <c r="W95" s="1618"/>
      <c r="X95" s="1619"/>
      <c r="Y95" s="1620"/>
      <c r="Z95" s="1542"/>
      <c r="AA95" s="1542"/>
      <c r="AB95" s="1542"/>
      <c r="AC95" s="1542"/>
      <c r="AD95" s="1542"/>
      <c r="AE95" s="1542"/>
      <c r="AF95" s="1542"/>
      <c r="AG95" s="1542"/>
      <c r="AH95" s="1542"/>
      <c r="AI95" s="2026"/>
      <c r="AJ95" s="824"/>
      <c r="AK95" s="128"/>
      <c r="AL95" s="128"/>
      <c r="AM95" s="128"/>
      <c r="AN95" s="128"/>
      <c r="AP95" s="1347"/>
      <c r="AQ95" s="2022"/>
      <c r="AR95" s="1615"/>
      <c r="AS95" s="1616"/>
      <c r="AT95" s="1616"/>
      <c r="AU95" s="1616"/>
      <c r="AV95" s="1616"/>
      <c r="AW95" s="1616"/>
      <c r="AX95" s="1616"/>
      <c r="AY95" s="1616"/>
      <c r="AZ95" s="1616"/>
      <c r="BA95" s="1616"/>
      <c r="BB95" s="1617"/>
      <c r="BC95" s="2041"/>
      <c r="BD95" s="2042"/>
      <c r="BE95" s="2042"/>
      <c r="BF95" s="2042"/>
      <c r="BG95" s="2042"/>
      <c r="BH95" s="2042"/>
      <c r="BI95" s="2042"/>
      <c r="BJ95" s="2043"/>
      <c r="BK95" s="1618"/>
      <c r="BL95" s="1619"/>
      <c r="BM95" s="1620"/>
      <c r="BN95" s="1542"/>
      <c r="BO95" s="1542"/>
      <c r="BP95" s="1542"/>
      <c r="BQ95" s="1542"/>
      <c r="BR95" s="1542"/>
      <c r="BS95" s="1542"/>
      <c r="BT95" s="1542"/>
      <c r="BU95" s="1542"/>
      <c r="BV95" s="1542"/>
      <c r="BW95" s="2026"/>
      <c r="BX95" s="824"/>
    </row>
    <row r="96" spans="1:76" ht="27.95" hidden="1" customHeight="1" outlineLevel="1">
      <c r="B96" s="1347"/>
      <c r="C96" s="2022"/>
      <c r="D96" s="1615"/>
      <c r="E96" s="1616"/>
      <c r="F96" s="1616"/>
      <c r="G96" s="1616"/>
      <c r="H96" s="1616"/>
      <c r="I96" s="1616"/>
      <c r="J96" s="1616"/>
      <c r="K96" s="1616"/>
      <c r="L96" s="1616"/>
      <c r="M96" s="1616"/>
      <c r="N96" s="1617"/>
      <c r="O96" s="2038"/>
      <c r="P96" s="2039"/>
      <c r="Q96" s="2039"/>
      <c r="R96" s="2039"/>
      <c r="S96" s="2039"/>
      <c r="T96" s="2039"/>
      <c r="U96" s="2039"/>
      <c r="V96" s="2040"/>
      <c r="W96" s="1618"/>
      <c r="X96" s="1619"/>
      <c r="Y96" s="1620"/>
      <c r="Z96" s="1542"/>
      <c r="AA96" s="1542"/>
      <c r="AB96" s="1542"/>
      <c r="AC96" s="1542"/>
      <c r="AD96" s="1542"/>
      <c r="AE96" s="1542"/>
      <c r="AF96" s="1542"/>
      <c r="AG96" s="1542"/>
      <c r="AH96" s="1542"/>
      <c r="AI96" s="2026"/>
      <c r="AJ96" s="824"/>
      <c r="AK96" s="128"/>
      <c r="AL96" s="128"/>
      <c r="AM96" s="128"/>
      <c r="AN96" s="128"/>
      <c r="AP96" s="1347"/>
      <c r="AQ96" s="2022"/>
      <c r="AR96" s="1615"/>
      <c r="AS96" s="1616"/>
      <c r="AT96" s="1616"/>
      <c r="AU96" s="1616"/>
      <c r="AV96" s="1616"/>
      <c r="AW96" s="1616"/>
      <c r="AX96" s="1616"/>
      <c r="AY96" s="1616"/>
      <c r="AZ96" s="1616"/>
      <c r="BA96" s="1616"/>
      <c r="BB96" s="1617"/>
      <c r="BC96" s="2041"/>
      <c r="BD96" s="2042"/>
      <c r="BE96" s="2042"/>
      <c r="BF96" s="2042"/>
      <c r="BG96" s="2042"/>
      <c r="BH96" s="2042"/>
      <c r="BI96" s="2042"/>
      <c r="BJ96" s="2043"/>
      <c r="BK96" s="1618"/>
      <c r="BL96" s="1619"/>
      <c r="BM96" s="1620"/>
      <c r="BN96" s="1542"/>
      <c r="BO96" s="1542"/>
      <c r="BP96" s="1542"/>
      <c r="BQ96" s="1542"/>
      <c r="BR96" s="1542"/>
      <c r="BS96" s="1542"/>
      <c r="BT96" s="1542"/>
      <c r="BU96" s="1542"/>
      <c r="BV96" s="1542"/>
      <c r="BW96" s="2026"/>
      <c r="BX96" s="824"/>
    </row>
    <row r="97" spans="2:76" ht="27.95" hidden="1" customHeight="1" outlineLevel="1">
      <c r="B97" s="1347"/>
      <c r="C97" s="2022"/>
      <c r="D97" s="1615"/>
      <c r="E97" s="1616"/>
      <c r="F97" s="1616"/>
      <c r="G97" s="1616"/>
      <c r="H97" s="1616"/>
      <c r="I97" s="1616"/>
      <c r="J97" s="1616"/>
      <c r="K97" s="1616"/>
      <c r="L97" s="1616"/>
      <c r="M97" s="1616"/>
      <c r="N97" s="1617"/>
      <c r="O97" s="2038"/>
      <c r="P97" s="2039"/>
      <c r="Q97" s="2039"/>
      <c r="R97" s="2039"/>
      <c r="S97" s="2039"/>
      <c r="T97" s="2039"/>
      <c r="U97" s="2039"/>
      <c r="V97" s="2040"/>
      <c r="W97" s="1618"/>
      <c r="X97" s="1619"/>
      <c r="Y97" s="1620"/>
      <c r="Z97" s="1542"/>
      <c r="AA97" s="1542"/>
      <c r="AB97" s="1542"/>
      <c r="AC97" s="1542"/>
      <c r="AD97" s="1542"/>
      <c r="AE97" s="1542"/>
      <c r="AF97" s="1542"/>
      <c r="AG97" s="1542"/>
      <c r="AH97" s="1542"/>
      <c r="AI97" s="2026"/>
      <c r="AJ97" s="824"/>
      <c r="AK97" s="128"/>
      <c r="AL97" s="128"/>
      <c r="AM97" s="128"/>
      <c r="AN97" s="128"/>
      <c r="AP97" s="1347"/>
      <c r="AQ97" s="2022"/>
      <c r="AR97" s="1615"/>
      <c r="AS97" s="1616"/>
      <c r="AT97" s="1616"/>
      <c r="AU97" s="1616"/>
      <c r="AV97" s="1616"/>
      <c r="AW97" s="1616"/>
      <c r="AX97" s="1616"/>
      <c r="AY97" s="1616"/>
      <c r="AZ97" s="1616"/>
      <c r="BA97" s="1616"/>
      <c r="BB97" s="1617"/>
      <c r="BC97" s="2041"/>
      <c r="BD97" s="2042"/>
      <c r="BE97" s="2042"/>
      <c r="BF97" s="2042"/>
      <c r="BG97" s="2042"/>
      <c r="BH97" s="2042"/>
      <c r="BI97" s="2042"/>
      <c r="BJ97" s="2043"/>
      <c r="BK97" s="1618"/>
      <c r="BL97" s="1619"/>
      <c r="BM97" s="1620"/>
      <c r="BN97" s="1542"/>
      <c r="BO97" s="1542"/>
      <c r="BP97" s="1542"/>
      <c r="BQ97" s="1542"/>
      <c r="BR97" s="1542"/>
      <c r="BS97" s="1542"/>
      <c r="BT97" s="1542"/>
      <c r="BU97" s="1542"/>
      <c r="BV97" s="1542"/>
      <c r="BW97" s="2026"/>
      <c r="BX97" s="824"/>
    </row>
    <row r="98" spans="2:76" ht="27.95" hidden="1" customHeight="1" outlineLevel="1">
      <c r="B98" s="1347"/>
      <c r="C98" s="2022"/>
      <c r="D98" s="1615"/>
      <c r="E98" s="1616"/>
      <c r="F98" s="1616"/>
      <c r="G98" s="1616"/>
      <c r="H98" s="1616"/>
      <c r="I98" s="1616"/>
      <c r="J98" s="1616"/>
      <c r="K98" s="1616"/>
      <c r="L98" s="1616"/>
      <c r="M98" s="1616"/>
      <c r="N98" s="1617"/>
      <c r="O98" s="2038"/>
      <c r="P98" s="2039"/>
      <c r="Q98" s="2039"/>
      <c r="R98" s="2039"/>
      <c r="S98" s="2039"/>
      <c r="T98" s="2039"/>
      <c r="U98" s="2039"/>
      <c r="V98" s="2040"/>
      <c r="W98" s="1618"/>
      <c r="X98" s="1619"/>
      <c r="Y98" s="1620"/>
      <c r="Z98" s="1542"/>
      <c r="AA98" s="1542"/>
      <c r="AB98" s="1542"/>
      <c r="AC98" s="1542"/>
      <c r="AD98" s="1542"/>
      <c r="AE98" s="1542"/>
      <c r="AF98" s="1542"/>
      <c r="AG98" s="1542"/>
      <c r="AH98" s="1542"/>
      <c r="AI98" s="2026"/>
      <c r="AJ98" s="824"/>
      <c r="AK98" s="128"/>
      <c r="AL98" s="128"/>
      <c r="AM98" s="128"/>
      <c r="AN98" s="128"/>
      <c r="AP98" s="1347"/>
      <c r="AQ98" s="2022"/>
      <c r="AR98" s="1615"/>
      <c r="AS98" s="1616"/>
      <c r="AT98" s="1616"/>
      <c r="AU98" s="1616"/>
      <c r="AV98" s="1616"/>
      <c r="AW98" s="1616"/>
      <c r="AX98" s="1616"/>
      <c r="AY98" s="1616"/>
      <c r="AZ98" s="1616"/>
      <c r="BA98" s="1616"/>
      <c r="BB98" s="1617"/>
      <c r="BC98" s="2041"/>
      <c r="BD98" s="2042"/>
      <c r="BE98" s="2042"/>
      <c r="BF98" s="2042"/>
      <c r="BG98" s="2042"/>
      <c r="BH98" s="2042"/>
      <c r="BI98" s="2042"/>
      <c r="BJ98" s="2043"/>
      <c r="BK98" s="1618"/>
      <c r="BL98" s="1619"/>
      <c r="BM98" s="1620"/>
      <c r="BN98" s="1542"/>
      <c r="BO98" s="1542"/>
      <c r="BP98" s="1542"/>
      <c r="BQ98" s="1542"/>
      <c r="BR98" s="1542"/>
      <c r="BS98" s="1542"/>
      <c r="BT98" s="1542"/>
      <c r="BU98" s="1542"/>
      <c r="BV98" s="1542"/>
      <c r="BW98" s="2026"/>
      <c r="BX98" s="824"/>
    </row>
    <row r="99" spans="2:76" ht="27.95" hidden="1" customHeight="1" outlineLevel="1">
      <c r="B99" s="1347"/>
      <c r="C99" s="2022"/>
      <c r="D99" s="1615"/>
      <c r="E99" s="1616"/>
      <c r="F99" s="1616"/>
      <c r="G99" s="1616"/>
      <c r="H99" s="1616"/>
      <c r="I99" s="1616"/>
      <c r="J99" s="1616"/>
      <c r="K99" s="1616"/>
      <c r="L99" s="1616"/>
      <c r="M99" s="1616"/>
      <c r="N99" s="1617"/>
      <c r="O99" s="2038"/>
      <c r="P99" s="2039"/>
      <c r="Q99" s="2039"/>
      <c r="R99" s="2039"/>
      <c r="S99" s="2039"/>
      <c r="T99" s="2039"/>
      <c r="U99" s="2039"/>
      <c r="V99" s="2040"/>
      <c r="W99" s="1618"/>
      <c r="X99" s="1619"/>
      <c r="Y99" s="1620"/>
      <c r="Z99" s="1542"/>
      <c r="AA99" s="1542"/>
      <c r="AB99" s="1542"/>
      <c r="AC99" s="1542"/>
      <c r="AD99" s="1542"/>
      <c r="AE99" s="1542"/>
      <c r="AF99" s="1542"/>
      <c r="AG99" s="1542"/>
      <c r="AH99" s="1542"/>
      <c r="AI99" s="2026"/>
      <c r="AJ99" s="824"/>
      <c r="AK99" s="128"/>
      <c r="AL99" s="128"/>
      <c r="AM99" s="128"/>
      <c r="AN99" s="128"/>
      <c r="AP99" s="1347"/>
      <c r="AQ99" s="2022"/>
      <c r="AR99" s="1615"/>
      <c r="AS99" s="1616"/>
      <c r="AT99" s="1616"/>
      <c r="AU99" s="1616"/>
      <c r="AV99" s="1616"/>
      <c r="AW99" s="1616"/>
      <c r="AX99" s="1616"/>
      <c r="AY99" s="1616"/>
      <c r="AZ99" s="1616"/>
      <c r="BA99" s="1616"/>
      <c r="BB99" s="1617"/>
      <c r="BC99" s="2041"/>
      <c r="BD99" s="2042"/>
      <c r="BE99" s="2042"/>
      <c r="BF99" s="2042"/>
      <c r="BG99" s="2042"/>
      <c r="BH99" s="2042"/>
      <c r="BI99" s="2042"/>
      <c r="BJ99" s="2043"/>
      <c r="BK99" s="1618"/>
      <c r="BL99" s="1619"/>
      <c r="BM99" s="1620"/>
      <c r="BN99" s="1542"/>
      <c r="BO99" s="1542"/>
      <c r="BP99" s="1542"/>
      <c r="BQ99" s="1542"/>
      <c r="BR99" s="1542"/>
      <c r="BS99" s="1542"/>
      <c r="BT99" s="1542"/>
      <c r="BU99" s="1542"/>
      <c r="BV99" s="1542"/>
      <c r="BW99" s="2026"/>
      <c r="BX99" s="824"/>
    </row>
    <row r="100" spans="2:76" ht="27.95" hidden="1" customHeight="1" outlineLevel="1">
      <c r="B100" s="1347"/>
      <c r="C100" s="2022"/>
      <c r="D100" s="1615"/>
      <c r="E100" s="1616"/>
      <c r="F100" s="1616"/>
      <c r="G100" s="1616"/>
      <c r="H100" s="1616"/>
      <c r="I100" s="1616"/>
      <c r="J100" s="1616"/>
      <c r="K100" s="1616"/>
      <c r="L100" s="1616"/>
      <c r="M100" s="1616"/>
      <c r="N100" s="1617"/>
      <c r="O100" s="2038"/>
      <c r="P100" s="2039"/>
      <c r="Q100" s="2039"/>
      <c r="R100" s="2039"/>
      <c r="S100" s="2039"/>
      <c r="T100" s="2039"/>
      <c r="U100" s="2039"/>
      <c r="V100" s="2040"/>
      <c r="W100" s="1618"/>
      <c r="X100" s="1619"/>
      <c r="Y100" s="1620"/>
      <c r="Z100" s="1542"/>
      <c r="AA100" s="1542"/>
      <c r="AB100" s="1542"/>
      <c r="AC100" s="1542"/>
      <c r="AD100" s="1542"/>
      <c r="AE100" s="1542"/>
      <c r="AF100" s="1542"/>
      <c r="AG100" s="1542"/>
      <c r="AH100" s="1542"/>
      <c r="AI100" s="2026"/>
      <c r="AJ100" s="824"/>
      <c r="AK100" s="128"/>
      <c r="AL100" s="128"/>
      <c r="AM100" s="128"/>
      <c r="AN100" s="128"/>
      <c r="AP100" s="1347"/>
      <c r="AQ100" s="2022"/>
      <c r="AR100" s="1615"/>
      <c r="AS100" s="1616"/>
      <c r="AT100" s="1616"/>
      <c r="AU100" s="1616"/>
      <c r="AV100" s="1616"/>
      <c r="AW100" s="1616"/>
      <c r="AX100" s="1616"/>
      <c r="AY100" s="1616"/>
      <c r="AZ100" s="1616"/>
      <c r="BA100" s="1616"/>
      <c r="BB100" s="1617"/>
      <c r="BC100" s="2041"/>
      <c r="BD100" s="2042"/>
      <c r="BE100" s="2042"/>
      <c r="BF100" s="2042"/>
      <c r="BG100" s="2042"/>
      <c r="BH100" s="2042"/>
      <c r="BI100" s="2042"/>
      <c r="BJ100" s="2043"/>
      <c r="BK100" s="1618"/>
      <c r="BL100" s="1619"/>
      <c r="BM100" s="1620"/>
      <c r="BN100" s="1542"/>
      <c r="BO100" s="1542"/>
      <c r="BP100" s="1542"/>
      <c r="BQ100" s="1542"/>
      <c r="BR100" s="1542"/>
      <c r="BS100" s="1542"/>
      <c r="BT100" s="1542"/>
      <c r="BU100" s="1542"/>
      <c r="BV100" s="1542"/>
      <c r="BW100" s="2026"/>
      <c r="BX100" s="824"/>
    </row>
    <row r="101" spans="2:76" ht="27.95" hidden="1" customHeight="1" outlineLevel="1">
      <c r="B101" s="1347"/>
      <c r="C101" s="2022"/>
      <c r="D101" s="1615"/>
      <c r="E101" s="1616"/>
      <c r="F101" s="1616"/>
      <c r="G101" s="1616"/>
      <c r="H101" s="1616"/>
      <c r="I101" s="1616"/>
      <c r="J101" s="1616"/>
      <c r="K101" s="1616"/>
      <c r="L101" s="1616"/>
      <c r="M101" s="1616"/>
      <c r="N101" s="1617"/>
      <c r="O101" s="2038"/>
      <c r="P101" s="2039"/>
      <c r="Q101" s="2039"/>
      <c r="R101" s="2039"/>
      <c r="S101" s="2039"/>
      <c r="T101" s="2039"/>
      <c r="U101" s="2039"/>
      <c r="V101" s="2040"/>
      <c r="W101" s="1618"/>
      <c r="X101" s="1619"/>
      <c r="Y101" s="1620"/>
      <c r="Z101" s="1542"/>
      <c r="AA101" s="1542"/>
      <c r="AB101" s="1542"/>
      <c r="AC101" s="1542"/>
      <c r="AD101" s="1542"/>
      <c r="AE101" s="1542"/>
      <c r="AF101" s="1542"/>
      <c r="AG101" s="1542"/>
      <c r="AH101" s="1542"/>
      <c r="AI101" s="2026"/>
      <c r="AJ101" s="824"/>
      <c r="AK101" s="128"/>
      <c r="AL101" s="128"/>
      <c r="AM101" s="128"/>
      <c r="AN101" s="128"/>
      <c r="AP101" s="1347"/>
      <c r="AQ101" s="2022"/>
      <c r="AR101" s="1615"/>
      <c r="AS101" s="1616"/>
      <c r="AT101" s="1616"/>
      <c r="AU101" s="1616"/>
      <c r="AV101" s="1616"/>
      <c r="AW101" s="1616"/>
      <c r="AX101" s="1616"/>
      <c r="AY101" s="1616"/>
      <c r="AZ101" s="1616"/>
      <c r="BA101" s="1616"/>
      <c r="BB101" s="1617"/>
      <c r="BC101" s="2041"/>
      <c r="BD101" s="2042"/>
      <c r="BE101" s="2042"/>
      <c r="BF101" s="2042"/>
      <c r="BG101" s="2042"/>
      <c r="BH101" s="2042"/>
      <c r="BI101" s="2042"/>
      <c r="BJ101" s="2043"/>
      <c r="BK101" s="1618"/>
      <c r="BL101" s="1619"/>
      <c r="BM101" s="1620"/>
      <c r="BN101" s="1542"/>
      <c r="BO101" s="1542"/>
      <c r="BP101" s="1542"/>
      <c r="BQ101" s="1542"/>
      <c r="BR101" s="1542"/>
      <c r="BS101" s="1542"/>
      <c r="BT101" s="1542"/>
      <c r="BU101" s="1542"/>
      <c r="BV101" s="1542"/>
      <c r="BW101" s="2026"/>
      <c r="BX101" s="824"/>
    </row>
    <row r="102" spans="2:76" ht="27.95" hidden="1" customHeight="1" outlineLevel="1">
      <c r="B102" s="1347"/>
      <c r="C102" s="2022"/>
      <c r="D102" s="1615"/>
      <c r="E102" s="1616"/>
      <c r="F102" s="1616"/>
      <c r="G102" s="1616"/>
      <c r="H102" s="1616"/>
      <c r="I102" s="1616"/>
      <c r="J102" s="1616"/>
      <c r="K102" s="1616"/>
      <c r="L102" s="1616"/>
      <c r="M102" s="1616"/>
      <c r="N102" s="1617"/>
      <c r="O102" s="2038"/>
      <c r="P102" s="2039"/>
      <c r="Q102" s="2039"/>
      <c r="R102" s="2039"/>
      <c r="S102" s="2039"/>
      <c r="T102" s="2039"/>
      <c r="U102" s="2039"/>
      <c r="V102" s="2040"/>
      <c r="W102" s="1618"/>
      <c r="X102" s="1619"/>
      <c r="Y102" s="1620"/>
      <c r="Z102" s="1542"/>
      <c r="AA102" s="1542"/>
      <c r="AB102" s="1542"/>
      <c r="AC102" s="1542"/>
      <c r="AD102" s="1542"/>
      <c r="AE102" s="1542"/>
      <c r="AF102" s="1542"/>
      <c r="AG102" s="1542"/>
      <c r="AH102" s="1542"/>
      <c r="AI102" s="2026"/>
      <c r="AJ102" s="824"/>
      <c r="AK102" s="128"/>
      <c r="AL102" s="128"/>
      <c r="AM102" s="128"/>
      <c r="AN102" s="128"/>
      <c r="AP102" s="1347"/>
      <c r="AQ102" s="2022"/>
      <c r="AR102" s="1615"/>
      <c r="AS102" s="1616"/>
      <c r="AT102" s="1616"/>
      <c r="AU102" s="1616"/>
      <c r="AV102" s="1616"/>
      <c r="AW102" s="1616"/>
      <c r="AX102" s="1616"/>
      <c r="AY102" s="1616"/>
      <c r="AZ102" s="1616"/>
      <c r="BA102" s="1616"/>
      <c r="BB102" s="1617"/>
      <c r="BC102" s="2041"/>
      <c r="BD102" s="2042"/>
      <c r="BE102" s="2042"/>
      <c r="BF102" s="2042"/>
      <c r="BG102" s="2042"/>
      <c r="BH102" s="2042"/>
      <c r="BI102" s="2042"/>
      <c r="BJ102" s="2043"/>
      <c r="BK102" s="1618"/>
      <c r="BL102" s="1619"/>
      <c r="BM102" s="1620"/>
      <c r="BN102" s="1542"/>
      <c r="BO102" s="1542"/>
      <c r="BP102" s="1542"/>
      <c r="BQ102" s="1542"/>
      <c r="BR102" s="1542"/>
      <c r="BS102" s="1542"/>
      <c r="BT102" s="1542"/>
      <c r="BU102" s="1542"/>
      <c r="BV102" s="1542"/>
      <c r="BW102" s="2026"/>
      <c r="BX102" s="824"/>
    </row>
    <row r="103" spans="2:76" ht="27.95" hidden="1" customHeight="1" outlineLevel="1">
      <c r="B103" s="1347"/>
      <c r="C103" s="2022"/>
      <c r="D103" s="1615"/>
      <c r="E103" s="1616"/>
      <c r="F103" s="1616"/>
      <c r="G103" s="1616"/>
      <c r="H103" s="1616"/>
      <c r="I103" s="1616"/>
      <c r="J103" s="1616"/>
      <c r="K103" s="1616"/>
      <c r="L103" s="1616"/>
      <c r="M103" s="1616"/>
      <c r="N103" s="1617"/>
      <c r="O103" s="2038"/>
      <c r="P103" s="2039"/>
      <c r="Q103" s="2039"/>
      <c r="R103" s="2039"/>
      <c r="S103" s="2039"/>
      <c r="T103" s="2039"/>
      <c r="U103" s="2039"/>
      <c r="V103" s="2040"/>
      <c r="W103" s="1618"/>
      <c r="X103" s="1619"/>
      <c r="Y103" s="1620"/>
      <c r="Z103" s="1542"/>
      <c r="AA103" s="1542"/>
      <c r="AB103" s="1542"/>
      <c r="AC103" s="1542"/>
      <c r="AD103" s="1542"/>
      <c r="AE103" s="1542"/>
      <c r="AF103" s="1542"/>
      <c r="AG103" s="1542"/>
      <c r="AH103" s="1542"/>
      <c r="AI103" s="2026"/>
      <c r="AJ103" s="824"/>
      <c r="AK103" s="128"/>
      <c r="AL103" s="128"/>
      <c r="AM103" s="128"/>
      <c r="AN103" s="128"/>
      <c r="AP103" s="1347"/>
      <c r="AQ103" s="2022"/>
      <c r="AR103" s="1615"/>
      <c r="AS103" s="1616"/>
      <c r="AT103" s="1616"/>
      <c r="AU103" s="1616"/>
      <c r="AV103" s="1616"/>
      <c r="AW103" s="1616"/>
      <c r="AX103" s="1616"/>
      <c r="AY103" s="1616"/>
      <c r="AZ103" s="1616"/>
      <c r="BA103" s="1616"/>
      <c r="BB103" s="1617"/>
      <c r="BC103" s="2041"/>
      <c r="BD103" s="2042"/>
      <c r="BE103" s="2042"/>
      <c r="BF103" s="2042"/>
      <c r="BG103" s="2042"/>
      <c r="BH103" s="2042"/>
      <c r="BI103" s="2042"/>
      <c r="BJ103" s="2043"/>
      <c r="BK103" s="1618"/>
      <c r="BL103" s="1619"/>
      <c r="BM103" s="1620"/>
      <c r="BN103" s="1542"/>
      <c r="BO103" s="1542"/>
      <c r="BP103" s="1542"/>
      <c r="BQ103" s="1542"/>
      <c r="BR103" s="1542"/>
      <c r="BS103" s="1542"/>
      <c r="BT103" s="1542"/>
      <c r="BU103" s="1542"/>
      <c r="BV103" s="1542"/>
      <c r="BW103" s="2026"/>
      <c r="BX103" s="824"/>
    </row>
    <row r="104" spans="2:76" ht="27.95" hidden="1" customHeight="1" outlineLevel="1">
      <c r="B104" s="1347"/>
      <c r="C104" s="2022"/>
      <c r="D104" s="1615"/>
      <c r="E104" s="1616"/>
      <c r="F104" s="1616"/>
      <c r="G104" s="1616"/>
      <c r="H104" s="1616"/>
      <c r="I104" s="1616"/>
      <c r="J104" s="1616"/>
      <c r="K104" s="1616"/>
      <c r="L104" s="1616"/>
      <c r="M104" s="1616"/>
      <c r="N104" s="1617"/>
      <c r="O104" s="2038"/>
      <c r="P104" s="2039"/>
      <c r="Q104" s="2039"/>
      <c r="R104" s="2039"/>
      <c r="S104" s="2039"/>
      <c r="T104" s="2039"/>
      <c r="U104" s="2039"/>
      <c r="V104" s="2040"/>
      <c r="W104" s="1618"/>
      <c r="X104" s="1619"/>
      <c r="Y104" s="1620"/>
      <c r="Z104" s="1542"/>
      <c r="AA104" s="1542"/>
      <c r="AB104" s="1542"/>
      <c r="AC104" s="1542"/>
      <c r="AD104" s="1542"/>
      <c r="AE104" s="1542"/>
      <c r="AF104" s="1542"/>
      <c r="AG104" s="1542"/>
      <c r="AH104" s="1542"/>
      <c r="AI104" s="2026"/>
      <c r="AJ104" s="824"/>
      <c r="AK104" s="128"/>
      <c r="AL104" s="128"/>
      <c r="AM104" s="128"/>
      <c r="AN104" s="128"/>
      <c r="AP104" s="1347"/>
      <c r="AQ104" s="2022"/>
      <c r="AR104" s="1615"/>
      <c r="AS104" s="1616"/>
      <c r="AT104" s="1616"/>
      <c r="AU104" s="1616"/>
      <c r="AV104" s="1616"/>
      <c r="AW104" s="1616"/>
      <c r="AX104" s="1616"/>
      <c r="AY104" s="1616"/>
      <c r="AZ104" s="1616"/>
      <c r="BA104" s="1616"/>
      <c r="BB104" s="1617"/>
      <c r="BC104" s="2041"/>
      <c r="BD104" s="2042"/>
      <c r="BE104" s="2042"/>
      <c r="BF104" s="2042"/>
      <c r="BG104" s="2042"/>
      <c r="BH104" s="2042"/>
      <c r="BI104" s="2042"/>
      <c r="BJ104" s="2043"/>
      <c r="BK104" s="1618"/>
      <c r="BL104" s="1619"/>
      <c r="BM104" s="1620"/>
      <c r="BN104" s="1542"/>
      <c r="BO104" s="1542"/>
      <c r="BP104" s="1542"/>
      <c r="BQ104" s="1542"/>
      <c r="BR104" s="1542"/>
      <c r="BS104" s="1542"/>
      <c r="BT104" s="1542"/>
      <c r="BU104" s="1542"/>
      <c r="BV104" s="1542"/>
      <c r="BW104" s="2026"/>
      <c r="BX104" s="824"/>
    </row>
    <row r="105" spans="2:76" ht="27.95" hidden="1" customHeight="1" outlineLevel="1">
      <c r="B105" s="1347"/>
      <c r="C105" s="2022"/>
      <c r="D105" s="1615"/>
      <c r="E105" s="1616"/>
      <c r="F105" s="1616"/>
      <c r="G105" s="1616"/>
      <c r="H105" s="1616"/>
      <c r="I105" s="1616"/>
      <c r="J105" s="1616"/>
      <c r="K105" s="1616"/>
      <c r="L105" s="1616"/>
      <c r="M105" s="1616"/>
      <c r="N105" s="1617"/>
      <c r="O105" s="2038"/>
      <c r="P105" s="2039"/>
      <c r="Q105" s="2039"/>
      <c r="R105" s="2039"/>
      <c r="S105" s="2039"/>
      <c r="T105" s="2039"/>
      <c r="U105" s="2039"/>
      <c r="V105" s="2040"/>
      <c r="W105" s="1618"/>
      <c r="X105" s="1619"/>
      <c r="Y105" s="1620"/>
      <c r="Z105" s="1542"/>
      <c r="AA105" s="1542"/>
      <c r="AB105" s="1542"/>
      <c r="AC105" s="1542"/>
      <c r="AD105" s="1542"/>
      <c r="AE105" s="1542"/>
      <c r="AF105" s="1542"/>
      <c r="AG105" s="1542"/>
      <c r="AH105" s="1542"/>
      <c r="AI105" s="2026"/>
      <c r="AJ105" s="824"/>
      <c r="AK105" s="128"/>
      <c r="AL105" s="128"/>
      <c r="AM105" s="128"/>
      <c r="AN105" s="128"/>
      <c r="AP105" s="1347"/>
      <c r="AQ105" s="2022"/>
      <c r="AR105" s="1615"/>
      <c r="AS105" s="1616"/>
      <c r="AT105" s="1616"/>
      <c r="AU105" s="1616"/>
      <c r="AV105" s="1616"/>
      <c r="AW105" s="1616"/>
      <c r="AX105" s="1616"/>
      <c r="AY105" s="1616"/>
      <c r="AZ105" s="1616"/>
      <c r="BA105" s="1616"/>
      <c r="BB105" s="1617"/>
      <c r="BC105" s="2041"/>
      <c r="BD105" s="2042"/>
      <c r="BE105" s="2042"/>
      <c r="BF105" s="2042"/>
      <c r="BG105" s="2042"/>
      <c r="BH105" s="2042"/>
      <c r="BI105" s="2042"/>
      <c r="BJ105" s="2043"/>
      <c r="BK105" s="1618"/>
      <c r="BL105" s="1619"/>
      <c r="BM105" s="1620"/>
      <c r="BN105" s="1542"/>
      <c r="BO105" s="1542"/>
      <c r="BP105" s="1542"/>
      <c r="BQ105" s="1542"/>
      <c r="BR105" s="1542"/>
      <c r="BS105" s="1542"/>
      <c r="BT105" s="1542"/>
      <c r="BU105" s="1542"/>
      <c r="BV105" s="1542"/>
      <c r="BW105" s="2026"/>
      <c r="BX105" s="824"/>
    </row>
    <row r="106" spans="2:76" ht="27.95" hidden="1" customHeight="1" outlineLevel="1">
      <c r="B106" s="1347"/>
      <c r="C106" s="2022"/>
      <c r="D106" s="1615"/>
      <c r="E106" s="1616"/>
      <c r="F106" s="1616"/>
      <c r="G106" s="1616"/>
      <c r="H106" s="1616"/>
      <c r="I106" s="1616"/>
      <c r="J106" s="1616"/>
      <c r="K106" s="1616"/>
      <c r="L106" s="1616"/>
      <c r="M106" s="1616"/>
      <c r="N106" s="1617"/>
      <c r="O106" s="2038"/>
      <c r="P106" s="2039"/>
      <c r="Q106" s="2039"/>
      <c r="R106" s="2039"/>
      <c r="S106" s="2039"/>
      <c r="T106" s="2039"/>
      <c r="U106" s="2039"/>
      <c r="V106" s="2040"/>
      <c r="W106" s="1618"/>
      <c r="X106" s="1619"/>
      <c r="Y106" s="1620"/>
      <c r="Z106" s="1542"/>
      <c r="AA106" s="1542"/>
      <c r="AB106" s="1542"/>
      <c r="AC106" s="1542"/>
      <c r="AD106" s="1542"/>
      <c r="AE106" s="1542"/>
      <c r="AF106" s="1542"/>
      <c r="AG106" s="1542"/>
      <c r="AH106" s="1542"/>
      <c r="AI106" s="2026"/>
      <c r="AJ106" s="824"/>
      <c r="AK106" s="128"/>
      <c r="AL106" s="128"/>
      <c r="AM106" s="128"/>
      <c r="AN106" s="128"/>
      <c r="AP106" s="1347"/>
      <c r="AQ106" s="2022"/>
      <c r="AR106" s="1615"/>
      <c r="AS106" s="1616"/>
      <c r="AT106" s="1616"/>
      <c r="AU106" s="1616"/>
      <c r="AV106" s="1616"/>
      <c r="AW106" s="1616"/>
      <c r="AX106" s="1616"/>
      <c r="AY106" s="1616"/>
      <c r="AZ106" s="1616"/>
      <c r="BA106" s="1616"/>
      <c r="BB106" s="1617"/>
      <c r="BC106" s="2041"/>
      <c r="BD106" s="2042"/>
      <c r="BE106" s="2042"/>
      <c r="BF106" s="2042"/>
      <c r="BG106" s="2042"/>
      <c r="BH106" s="2042"/>
      <c r="BI106" s="2042"/>
      <c r="BJ106" s="2043"/>
      <c r="BK106" s="1618"/>
      <c r="BL106" s="1619"/>
      <c r="BM106" s="1620"/>
      <c r="BN106" s="1542"/>
      <c r="BO106" s="1542"/>
      <c r="BP106" s="1542"/>
      <c r="BQ106" s="1542"/>
      <c r="BR106" s="1542"/>
      <c r="BS106" s="1542"/>
      <c r="BT106" s="1542"/>
      <c r="BU106" s="1542"/>
      <c r="BV106" s="1542"/>
      <c r="BW106" s="2026"/>
      <c r="BX106" s="824"/>
    </row>
    <row r="107" spans="2:76" ht="27.95" hidden="1" customHeight="1" outlineLevel="1">
      <c r="B107" s="1347"/>
      <c r="C107" s="2022"/>
      <c r="D107" s="1615"/>
      <c r="E107" s="1616"/>
      <c r="F107" s="1616"/>
      <c r="G107" s="1616"/>
      <c r="H107" s="1616"/>
      <c r="I107" s="1616"/>
      <c r="J107" s="1616"/>
      <c r="K107" s="1616"/>
      <c r="L107" s="1616"/>
      <c r="M107" s="1616"/>
      <c r="N107" s="1617"/>
      <c r="O107" s="2038"/>
      <c r="P107" s="2039"/>
      <c r="Q107" s="2039"/>
      <c r="R107" s="2039"/>
      <c r="S107" s="2039"/>
      <c r="T107" s="2039"/>
      <c r="U107" s="2039"/>
      <c r="V107" s="2040"/>
      <c r="W107" s="1618"/>
      <c r="X107" s="1619"/>
      <c r="Y107" s="1620"/>
      <c r="Z107" s="1542"/>
      <c r="AA107" s="1542"/>
      <c r="AB107" s="1542"/>
      <c r="AC107" s="1542"/>
      <c r="AD107" s="1542"/>
      <c r="AE107" s="1542"/>
      <c r="AF107" s="1542"/>
      <c r="AG107" s="1542"/>
      <c r="AH107" s="1542"/>
      <c r="AI107" s="2026"/>
      <c r="AJ107" s="824"/>
      <c r="AK107" s="128"/>
      <c r="AL107" s="128"/>
      <c r="AM107" s="128"/>
      <c r="AN107" s="128"/>
      <c r="AP107" s="1347"/>
      <c r="AQ107" s="2022"/>
      <c r="AR107" s="1615"/>
      <c r="AS107" s="1616"/>
      <c r="AT107" s="1616"/>
      <c r="AU107" s="1616"/>
      <c r="AV107" s="1616"/>
      <c r="AW107" s="1616"/>
      <c r="AX107" s="1616"/>
      <c r="AY107" s="1616"/>
      <c r="AZ107" s="1616"/>
      <c r="BA107" s="1616"/>
      <c r="BB107" s="1617"/>
      <c r="BC107" s="2041"/>
      <c r="BD107" s="2042"/>
      <c r="BE107" s="2042"/>
      <c r="BF107" s="2042"/>
      <c r="BG107" s="2042"/>
      <c r="BH107" s="2042"/>
      <c r="BI107" s="2042"/>
      <c r="BJ107" s="2043"/>
      <c r="BK107" s="1618"/>
      <c r="BL107" s="1619"/>
      <c r="BM107" s="1620"/>
      <c r="BN107" s="1542"/>
      <c r="BO107" s="1542"/>
      <c r="BP107" s="1542"/>
      <c r="BQ107" s="1542"/>
      <c r="BR107" s="1542"/>
      <c r="BS107" s="1542"/>
      <c r="BT107" s="1542"/>
      <c r="BU107" s="1542"/>
      <c r="BV107" s="1542"/>
      <c r="BW107" s="2026"/>
      <c r="BX107" s="824"/>
    </row>
    <row r="108" spans="2:76" ht="27.95" hidden="1" customHeight="1" outlineLevel="1">
      <c r="B108" s="1347"/>
      <c r="C108" s="2022"/>
      <c r="D108" s="1615"/>
      <c r="E108" s="1616"/>
      <c r="F108" s="1616"/>
      <c r="G108" s="1616"/>
      <c r="H108" s="1616"/>
      <c r="I108" s="1616"/>
      <c r="J108" s="1616"/>
      <c r="K108" s="1616"/>
      <c r="L108" s="1616"/>
      <c r="M108" s="1616"/>
      <c r="N108" s="1617"/>
      <c r="O108" s="2038"/>
      <c r="P108" s="2039"/>
      <c r="Q108" s="2039"/>
      <c r="R108" s="2039"/>
      <c r="S108" s="2039"/>
      <c r="T108" s="2039"/>
      <c r="U108" s="2039"/>
      <c r="V108" s="2040"/>
      <c r="W108" s="1618"/>
      <c r="X108" s="1619"/>
      <c r="Y108" s="1620"/>
      <c r="Z108" s="1542"/>
      <c r="AA108" s="1542"/>
      <c r="AB108" s="1542"/>
      <c r="AC108" s="1542"/>
      <c r="AD108" s="1542"/>
      <c r="AE108" s="1542"/>
      <c r="AF108" s="1542"/>
      <c r="AG108" s="1542"/>
      <c r="AH108" s="1542"/>
      <c r="AI108" s="2026"/>
      <c r="AJ108" s="824"/>
      <c r="AK108" s="128"/>
      <c r="AL108" s="128"/>
      <c r="AM108" s="128"/>
      <c r="AN108" s="128"/>
      <c r="AP108" s="1347"/>
      <c r="AQ108" s="2022"/>
      <c r="AR108" s="1615"/>
      <c r="AS108" s="1616"/>
      <c r="AT108" s="1616"/>
      <c r="AU108" s="1616"/>
      <c r="AV108" s="1616"/>
      <c r="AW108" s="1616"/>
      <c r="AX108" s="1616"/>
      <c r="AY108" s="1616"/>
      <c r="AZ108" s="1616"/>
      <c r="BA108" s="1616"/>
      <c r="BB108" s="1617"/>
      <c r="BC108" s="2041"/>
      <c r="BD108" s="2042"/>
      <c r="BE108" s="2042"/>
      <c r="BF108" s="2042"/>
      <c r="BG108" s="2042"/>
      <c r="BH108" s="2042"/>
      <c r="BI108" s="2042"/>
      <c r="BJ108" s="2043"/>
      <c r="BK108" s="1618"/>
      <c r="BL108" s="1619"/>
      <c r="BM108" s="1620"/>
      <c r="BN108" s="1542"/>
      <c r="BO108" s="1542"/>
      <c r="BP108" s="1542"/>
      <c r="BQ108" s="1542"/>
      <c r="BR108" s="1542"/>
      <c r="BS108" s="1542"/>
      <c r="BT108" s="1542"/>
      <c r="BU108" s="1542"/>
      <c r="BV108" s="1542"/>
      <c r="BW108" s="2026"/>
      <c r="BX108" s="824"/>
    </row>
    <row r="109" spans="2:76" ht="27.95" hidden="1" customHeight="1" outlineLevel="1">
      <c r="B109" s="1347"/>
      <c r="C109" s="2022"/>
      <c r="D109" s="1615"/>
      <c r="E109" s="1616"/>
      <c r="F109" s="1616"/>
      <c r="G109" s="1616"/>
      <c r="H109" s="1616"/>
      <c r="I109" s="1616"/>
      <c r="J109" s="1616"/>
      <c r="K109" s="1616"/>
      <c r="L109" s="1616"/>
      <c r="M109" s="1616"/>
      <c r="N109" s="1617"/>
      <c r="O109" s="2038"/>
      <c r="P109" s="2039"/>
      <c r="Q109" s="2039"/>
      <c r="R109" s="2039"/>
      <c r="S109" s="2039"/>
      <c r="T109" s="2039"/>
      <c r="U109" s="2039"/>
      <c r="V109" s="2040"/>
      <c r="W109" s="1618"/>
      <c r="X109" s="1619"/>
      <c r="Y109" s="1620"/>
      <c r="Z109" s="1542"/>
      <c r="AA109" s="1542"/>
      <c r="AB109" s="1542"/>
      <c r="AC109" s="1542"/>
      <c r="AD109" s="1542"/>
      <c r="AE109" s="1542"/>
      <c r="AF109" s="1542"/>
      <c r="AG109" s="1542"/>
      <c r="AH109" s="1542"/>
      <c r="AI109" s="2026"/>
      <c r="AJ109" s="824"/>
      <c r="AK109" s="128"/>
      <c r="AL109" s="128"/>
      <c r="AM109" s="128"/>
      <c r="AN109" s="128"/>
      <c r="AP109" s="1347"/>
      <c r="AQ109" s="2022"/>
      <c r="AR109" s="1615"/>
      <c r="AS109" s="1616"/>
      <c r="AT109" s="1616"/>
      <c r="AU109" s="1616"/>
      <c r="AV109" s="1616"/>
      <c r="AW109" s="1616"/>
      <c r="AX109" s="1616"/>
      <c r="AY109" s="1616"/>
      <c r="AZ109" s="1616"/>
      <c r="BA109" s="1616"/>
      <c r="BB109" s="1617"/>
      <c r="BC109" s="2041"/>
      <c r="BD109" s="2042"/>
      <c r="BE109" s="2042"/>
      <c r="BF109" s="2042"/>
      <c r="BG109" s="2042"/>
      <c r="BH109" s="2042"/>
      <c r="BI109" s="2042"/>
      <c r="BJ109" s="2043"/>
      <c r="BK109" s="1618"/>
      <c r="BL109" s="1619"/>
      <c r="BM109" s="1620"/>
      <c r="BN109" s="1542"/>
      <c r="BO109" s="1542"/>
      <c r="BP109" s="1542"/>
      <c r="BQ109" s="1542"/>
      <c r="BR109" s="1542"/>
      <c r="BS109" s="1542"/>
      <c r="BT109" s="1542"/>
      <c r="BU109" s="1542"/>
      <c r="BV109" s="1542"/>
      <c r="BW109" s="2026"/>
      <c r="BX109" s="824"/>
    </row>
    <row r="110" spans="2:76" ht="27.95" hidden="1" customHeight="1" outlineLevel="1">
      <c r="B110" s="1347"/>
      <c r="C110" s="2022"/>
      <c r="D110" s="1615"/>
      <c r="E110" s="1616"/>
      <c r="F110" s="1616"/>
      <c r="G110" s="1616"/>
      <c r="H110" s="1616"/>
      <c r="I110" s="1616"/>
      <c r="J110" s="1616"/>
      <c r="K110" s="1616"/>
      <c r="L110" s="1616"/>
      <c r="M110" s="1616"/>
      <c r="N110" s="1617"/>
      <c r="O110" s="2038"/>
      <c r="P110" s="2039"/>
      <c r="Q110" s="2039"/>
      <c r="R110" s="2039"/>
      <c r="S110" s="2039"/>
      <c r="T110" s="2039"/>
      <c r="U110" s="2039"/>
      <c r="V110" s="2040"/>
      <c r="W110" s="1618"/>
      <c r="X110" s="1619"/>
      <c r="Y110" s="1620"/>
      <c r="Z110" s="1542"/>
      <c r="AA110" s="1542"/>
      <c r="AB110" s="1542"/>
      <c r="AC110" s="1542"/>
      <c r="AD110" s="1542"/>
      <c r="AE110" s="1542"/>
      <c r="AF110" s="1542"/>
      <c r="AG110" s="1542"/>
      <c r="AH110" s="1542"/>
      <c r="AI110" s="2026"/>
      <c r="AJ110" s="824"/>
      <c r="AK110" s="128"/>
      <c r="AL110" s="128"/>
      <c r="AM110" s="128"/>
      <c r="AN110" s="128"/>
      <c r="AP110" s="1347"/>
      <c r="AQ110" s="2022"/>
      <c r="AR110" s="1615"/>
      <c r="AS110" s="1616"/>
      <c r="AT110" s="1616"/>
      <c r="AU110" s="1616"/>
      <c r="AV110" s="1616"/>
      <c r="AW110" s="1616"/>
      <c r="AX110" s="1616"/>
      <c r="AY110" s="1616"/>
      <c r="AZ110" s="1616"/>
      <c r="BA110" s="1616"/>
      <c r="BB110" s="1617"/>
      <c r="BC110" s="2041"/>
      <c r="BD110" s="2042"/>
      <c r="BE110" s="2042"/>
      <c r="BF110" s="2042"/>
      <c r="BG110" s="2042"/>
      <c r="BH110" s="2042"/>
      <c r="BI110" s="2042"/>
      <c r="BJ110" s="2043"/>
      <c r="BK110" s="1618"/>
      <c r="BL110" s="1619"/>
      <c r="BM110" s="1620"/>
      <c r="BN110" s="1542"/>
      <c r="BO110" s="1542"/>
      <c r="BP110" s="1542"/>
      <c r="BQ110" s="1542"/>
      <c r="BR110" s="1542"/>
      <c r="BS110" s="1542"/>
      <c r="BT110" s="1542"/>
      <c r="BU110" s="1542"/>
      <c r="BV110" s="1542"/>
      <c r="BW110" s="2026"/>
      <c r="BX110" s="824"/>
    </row>
    <row r="111" spans="2:76" ht="27.95" hidden="1" customHeight="1" outlineLevel="1">
      <c r="B111" s="1347"/>
      <c r="C111" s="2022"/>
      <c r="D111" s="1615"/>
      <c r="E111" s="1616"/>
      <c r="F111" s="1616"/>
      <c r="G111" s="1616"/>
      <c r="H111" s="1616"/>
      <c r="I111" s="1616"/>
      <c r="J111" s="1616"/>
      <c r="K111" s="1616"/>
      <c r="L111" s="1616"/>
      <c r="M111" s="1616"/>
      <c r="N111" s="1617"/>
      <c r="O111" s="2038"/>
      <c r="P111" s="2039"/>
      <c r="Q111" s="2039"/>
      <c r="R111" s="2039"/>
      <c r="S111" s="2039"/>
      <c r="T111" s="2039"/>
      <c r="U111" s="2039"/>
      <c r="V111" s="2040"/>
      <c r="W111" s="1618"/>
      <c r="X111" s="1619"/>
      <c r="Y111" s="1620"/>
      <c r="Z111" s="1542"/>
      <c r="AA111" s="1542"/>
      <c r="AB111" s="1542"/>
      <c r="AC111" s="1542"/>
      <c r="AD111" s="1542"/>
      <c r="AE111" s="1542"/>
      <c r="AF111" s="1542"/>
      <c r="AG111" s="1542"/>
      <c r="AH111" s="1542"/>
      <c r="AI111" s="2026"/>
      <c r="AJ111" s="824"/>
      <c r="AK111" s="128"/>
      <c r="AL111" s="128"/>
      <c r="AM111" s="128"/>
      <c r="AN111" s="128"/>
      <c r="AP111" s="1347"/>
      <c r="AQ111" s="2022"/>
      <c r="AR111" s="1615"/>
      <c r="AS111" s="1616"/>
      <c r="AT111" s="1616"/>
      <c r="AU111" s="1616"/>
      <c r="AV111" s="1616"/>
      <c r="AW111" s="1616"/>
      <c r="AX111" s="1616"/>
      <c r="AY111" s="1616"/>
      <c r="AZ111" s="1616"/>
      <c r="BA111" s="1616"/>
      <c r="BB111" s="1617"/>
      <c r="BC111" s="2041"/>
      <c r="BD111" s="2042"/>
      <c r="BE111" s="2042"/>
      <c r="BF111" s="2042"/>
      <c r="BG111" s="2042"/>
      <c r="BH111" s="2042"/>
      <c r="BI111" s="2042"/>
      <c r="BJ111" s="2043"/>
      <c r="BK111" s="1618"/>
      <c r="BL111" s="1619"/>
      <c r="BM111" s="1620"/>
      <c r="BN111" s="1542"/>
      <c r="BO111" s="1542"/>
      <c r="BP111" s="1542"/>
      <c r="BQ111" s="1542"/>
      <c r="BR111" s="1542"/>
      <c r="BS111" s="1542"/>
      <c r="BT111" s="1542"/>
      <c r="BU111" s="1542"/>
      <c r="BV111" s="1542"/>
      <c r="BW111" s="2026"/>
      <c r="BX111" s="824"/>
    </row>
    <row r="112" spans="2:76" ht="27.95" hidden="1" customHeight="1" outlineLevel="1">
      <c r="B112" s="1347"/>
      <c r="C112" s="2022"/>
      <c r="D112" s="1615"/>
      <c r="E112" s="1616"/>
      <c r="F112" s="1616"/>
      <c r="G112" s="1616"/>
      <c r="H112" s="1616"/>
      <c r="I112" s="1616"/>
      <c r="J112" s="1616"/>
      <c r="K112" s="1616"/>
      <c r="L112" s="1616"/>
      <c r="M112" s="1616"/>
      <c r="N112" s="1617"/>
      <c r="O112" s="2038"/>
      <c r="P112" s="2039"/>
      <c r="Q112" s="2039"/>
      <c r="R112" s="2039"/>
      <c r="S112" s="2039"/>
      <c r="T112" s="2039"/>
      <c r="U112" s="2039"/>
      <c r="V112" s="2040"/>
      <c r="W112" s="1618"/>
      <c r="X112" s="1619"/>
      <c r="Y112" s="1620"/>
      <c r="Z112" s="1542"/>
      <c r="AA112" s="1542"/>
      <c r="AB112" s="1542"/>
      <c r="AC112" s="1542"/>
      <c r="AD112" s="1542"/>
      <c r="AE112" s="1542"/>
      <c r="AF112" s="1542"/>
      <c r="AG112" s="1542"/>
      <c r="AH112" s="1542"/>
      <c r="AI112" s="2026"/>
      <c r="AJ112" s="824"/>
      <c r="AK112" s="128"/>
      <c r="AL112" s="128"/>
      <c r="AM112" s="128"/>
      <c r="AN112" s="128"/>
      <c r="AP112" s="1347"/>
      <c r="AQ112" s="2022"/>
      <c r="AR112" s="1615"/>
      <c r="AS112" s="1616"/>
      <c r="AT112" s="1616"/>
      <c r="AU112" s="1616"/>
      <c r="AV112" s="1616"/>
      <c r="AW112" s="1616"/>
      <c r="AX112" s="1616"/>
      <c r="AY112" s="1616"/>
      <c r="AZ112" s="1616"/>
      <c r="BA112" s="1616"/>
      <c r="BB112" s="1617"/>
      <c r="BC112" s="2041"/>
      <c r="BD112" s="2042"/>
      <c r="BE112" s="2042"/>
      <c r="BF112" s="2042"/>
      <c r="BG112" s="2042"/>
      <c r="BH112" s="2042"/>
      <c r="BI112" s="2042"/>
      <c r="BJ112" s="2043"/>
      <c r="BK112" s="1618"/>
      <c r="BL112" s="1619"/>
      <c r="BM112" s="1620"/>
      <c r="BN112" s="1542"/>
      <c r="BO112" s="1542"/>
      <c r="BP112" s="1542"/>
      <c r="BQ112" s="1542"/>
      <c r="BR112" s="1542"/>
      <c r="BS112" s="1542"/>
      <c r="BT112" s="1542"/>
      <c r="BU112" s="1542"/>
      <c r="BV112" s="1542"/>
      <c r="BW112" s="2026"/>
      <c r="BX112" s="824"/>
    </row>
    <row r="113" spans="2:76" ht="27.95" hidden="1" customHeight="1" outlineLevel="1">
      <c r="B113" s="1347"/>
      <c r="C113" s="2022"/>
      <c r="D113" s="1615"/>
      <c r="E113" s="1616"/>
      <c r="F113" s="1616"/>
      <c r="G113" s="1616"/>
      <c r="H113" s="1616"/>
      <c r="I113" s="1616"/>
      <c r="J113" s="1616"/>
      <c r="K113" s="1616"/>
      <c r="L113" s="1616"/>
      <c r="M113" s="1616"/>
      <c r="N113" s="1617"/>
      <c r="O113" s="2038"/>
      <c r="P113" s="2039"/>
      <c r="Q113" s="2039"/>
      <c r="R113" s="2039"/>
      <c r="S113" s="2039"/>
      <c r="T113" s="2039"/>
      <c r="U113" s="2039"/>
      <c r="V113" s="2040"/>
      <c r="W113" s="1618"/>
      <c r="X113" s="1619"/>
      <c r="Y113" s="1620"/>
      <c r="Z113" s="1542"/>
      <c r="AA113" s="1542"/>
      <c r="AB113" s="1542"/>
      <c r="AC113" s="1542"/>
      <c r="AD113" s="1542"/>
      <c r="AE113" s="1542"/>
      <c r="AF113" s="1542"/>
      <c r="AG113" s="1542"/>
      <c r="AH113" s="1542"/>
      <c r="AI113" s="2026"/>
      <c r="AJ113" s="824"/>
      <c r="AK113" s="128"/>
      <c r="AL113" s="128"/>
      <c r="AM113" s="128"/>
      <c r="AN113" s="128"/>
      <c r="AP113" s="1347"/>
      <c r="AQ113" s="2022"/>
      <c r="AR113" s="1615"/>
      <c r="AS113" s="1616"/>
      <c r="AT113" s="1616"/>
      <c r="AU113" s="1616"/>
      <c r="AV113" s="1616"/>
      <c r="AW113" s="1616"/>
      <c r="AX113" s="1616"/>
      <c r="AY113" s="1616"/>
      <c r="AZ113" s="1616"/>
      <c r="BA113" s="1616"/>
      <c r="BB113" s="1617"/>
      <c r="BC113" s="2041"/>
      <c r="BD113" s="2042"/>
      <c r="BE113" s="2042"/>
      <c r="BF113" s="2042"/>
      <c r="BG113" s="2042"/>
      <c r="BH113" s="2042"/>
      <c r="BI113" s="2042"/>
      <c r="BJ113" s="2043"/>
      <c r="BK113" s="1618"/>
      <c r="BL113" s="1619"/>
      <c r="BM113" s="1620"/>
      <c r="BN113" s="1542"/>
      <c r="BO113" s="1542"/>
      <c r="BP113" s="1542"/>
      <c r="BQ113" s="1542"/>
      <c r="BR113" s="1542"/>
      <c r="BS113" s="1542"/>
      <c r="BT113" s="1542"/>
      <c r="BU113" s="1542"/>
      <c r="BV113" s="1542"/>
      <c r="BW113" s="2026"/>
      <c r="BX113" s="824"/>
    </row>
    <row r="114" spans="2:76" ht="27.95" hidden="1" customHeight="1" outlineLevel="1" thickBot="1">
      <c r="B114" s="1357"/>
      <c r="C114" s="2023"/>
      <c r="D114" s="2047"/>
      <c r="E114" s="2048"/>
      <c r="F114" s="2048"/>
      <c r="G114" s="2048"/>
      <c r="H114" s="2048"/>
      <c r="I114" s="2048"/>
      <c r="J114" s="2048"/>
      <c r="K114" s="2048"/>
      <c r="L114" s="2048"/>
      <c r="M114" s="2048"/>
      <c r="N114" s="2049"/>
      <c r="O114" s="2050"/>
      <c r="P114" s="2051"/>
      <c r="Q114" s="2051"/>
      <c r="R114" s="2051"/>
      <c r="S114" s="2051"/>
      <c r="T114" s="2051"/>
      <c r="U114" s="2051"/>
      <c r="V114" s="2052"/>
      <c r="W114" s="2053"/>
      <c r="X114" s="2054"/>
      <c r="Y114" s="2055"/>
      <c r="Z114" s="1653"/>
      <c r="AA114" s="1653"/>
      <c r="AB114" s="1653"/>
      <c r="AC114" s="1653"/>
      <c r="AD114" s="1653"/>
      <c r="AE114" s="1653"/>
      <c r="AF114" s="1653"/>
      <c r="AG114" s="1653"/>
      <c r="AH114" s="1653"/>
      <c r="AI114" s="2027"/>
      <c r="AJ114" s="824"/>
      <c r="AK114" s="128"/>
      <c r="AL114" s="128"/>
      <c r="AM114" s="128"/>
      <c r="AN114" s="128"/>
      <c r="AP114" s="1357"/>
      <c r="AQ114" s="2023"/>
      <c r="AR114" s="2047"/>
      <c r="AS114" s="2048"/>
      <c r="AT114" s="2048"/>
      <c r="AU114" s="2048"/>
      <c r="AV114" s="2048"/>
      <c r="AW114" s="2048"/>
      <c r="AX114" s="2048"/>
      <c r="AY114" s="2048"/>
      <c r="AZ114" s="2048"/>
      <c r="BA114" s="2048"/>
      <c r="BB114" s="2049"/>
      <c r="BC114" s="2050"/>
      <c r="BD114" s="2051"/>
      <c r="BE114" s="2051"/>
      <c r="BF114" s="2051"/>
      <c r="BG114" s="2051"/>
      <c r="BH114" s="2051"/>
      <c r="BI114" s="2051"/>
      <c r="BJ114" s="2052"/>
      <c r="BK114" s="2053"/>
      <c r="BL114" s="2054"/>
      <c r="BM114" s="2055"/>
      <c r="BN114" s="1653"/>
      <c r="BO114" s="1653"/>
      <c r="BP114" s="1653"/>
      <c r="BQ114" s="1653"/>
      <c r="BR114" s="1653"/>
      <c r="BS114" s="1653"/>
      <c r="BT114" s="1653"/>
      <c r="BU114" s="1653"/>
      <c r="BV114" s="1653"/>
      <c r="BW114" s="2027"/>
      <c r="BX114" s="824"/>
    </row>
    <row r="115" spans="2:76" ht="27.95" customHeight="1">
      <c r="B115" s="828"/>
      <c r="C115" s="828"/>
      <c r="D115" s="828"/>
      <c r="E115" s="828"/>
      <c r="F115" s="828"/>
      <c r="G115" s="828"/>
      <c r="H115" s="828"/>
      <c r="I115" s="828"/>
      <c r="J115" s="828"/>
      <c r="K115" s="828"/>
      <c r="L115" s="828"/>
      <c r="M115" s="828"/>
      <c r="N115" s="829"/>
      <c r="O115" s="829"/>
      <c r="P115" s="829"/>
      <c r="Q115" s="829"/>
      <c r="R115" s="829"/>
      <c r="S115" s="829"/>
      <c r="T115" s="829"/>
      <c r="U115" s="829"/>
      <c r="V115" s="342"/>
      <c r="W115" s="830"/>
      <c r="X115" s="830"/>
      <c r="Y115" s="831"/>
      <c r="Z115" s="831"/>
      <c r="AA115" s="831"/>
      <c r="AB115" s="831"/>
      <c r="AC115" s="831"/>
      <c r="AD115" s="831"/>
      <c r="AE115" s="831"/>
      <c r="AF115" s="831"/>
      <c r="AG115" s="831"/>
      <c r="AH115" s="404"/>
      <c r="AI115" s="404"/>
      <c r="AP115" s="404"/>
      <c r="AQ115" s="404"/>
      <c r="AR115" s="404"/>
      <c r="AS115" s="404"/>
      <c r="AT115" s="404"/>
      <c r="AU115" s="404"/>
      <c r="AV115" s="404"/>
      <c r="AW115" s="404"/>
      <c r="AX115" s="404"/>
      <c r="AY115" s="404"/>
      <c r="AZ115" s="404"/>
      <c r="BA115" s="404"/>
      <c r="BB115" s="404"/>
      <c r="BC115" s="404"/>
      <c r="BD115" s="404"/>
      <c r="BE115" s="404"/>
      <c r="BF115" s="404"/>
      <c r="BG115" s="404"/>
      <c r="BH115" s="404"/>
      <c r="BI115" s="404"/>
      <c r="BJ115" s="404"/>
      <c r="BK115" s="404"/>
      <c r="BL115" s="404"/>
      <c r="BM115" s="404"/>
      <c r="BN115" s="404"/>
      <c r="BO115" s="404"/>
      <c r="BP115" s="404"/>
      <c r="BQ115" s="404"/>
      <c r="BR115" s="404"/>
      <c r="BS115" s="404"/>
      <c r="BT115" s="404"/>
      <c r="BU115" s="404"/>
      <c r="BV115" s="404"/>
      <c r="BW115" s="404"/>
    </row>
    <row r="116" spans="2:76" ht="27.95" customHeight="1">
      <c r="B116" s="312"/>
      <c r="C116" s="312"/>
      <c r="D116" s="127"/>
      <c r="E116" s="127"/>
      <c r="F116" s="127"/>
      <c r="G116" s="127"/>
      <c r="H116" s="127"/>
      <c r="I116" s="127"/>
      <c r="J116" s="127"/>
      <c r="K116" s="127"/>
      <c r="L116" s="127"/>
      <c r="M116" s="127"/>
      <c r="N116" s="237"/>
      <c r="O116" s="237"/>
      <c r="P116" s="237"/>
      <c r="Q116" s="237"/>
      <c r="R116" s="237"/>
      <c r="S116" s="237"/>
      <c r="T116" s="237"/>
      <c r="U116" s="237"/>
      <c r="V116" s="127"/>
      <c r="W116" s="610"/>
      <c r="X116" s="610"/>
      <c r="Y116" s="260"/>
      <c r="Z116" s="260"/>
      <c r="AA116" s="260"/>
      <c r="AB116" s="260"/>
      <c r="AC116" s="260"/>
      <c r="AD116" s="260"/>
      <c r="AE116" s="260"/>
      <c r="AF116" s="260"/>
      <c r="AG116" s="260"/>
    </row>
    <row r="117" spans="2:76" ht="27.95" customHeight="1">
      <c r="B117" s="312"/>
      <c r="C117" s="312"/>
      <c r="D117" s="127"/>
      <c r="E117" s="127"/>
      <c r="F117" s="127"/>
      <c r="G117" s="127"/>
      <c r="H117" s="127"/>
      <c r="I117" s="127"/>
      <c r="J117" s="127"/>
      <c r="K117" s="127"/>
      <c r="L117" s="127"/>
      <c r="M117" s="127"/>
      <c r="N117" s="237"/>
      <c r="O117" s="237"/>
      <c r="P117" s="237"/>
      <c r="Q117" s="237"/>
      <c r="R117" s="237"/>
      <c r="S117" s="237"/>
      <c r="T117" s="237"/>
      <c r="U117" s="237"/>
      <c r="V117" s="127"/>
      <c r="W117" s="610"/>
      <c r="X117" s="610"/>
      <c r="Y117" s="260"/>
      <c r="Z117" s="260"/>
      <c r="AA117" s="260"/>
      <c r="AB117" s="260"/>
      <c r="AC117" s="260"/>
      <c r="AD117" s="260"/>
      <c r="AE117" s="260"/>
      <c r="AF117" s="260"/>
      <c r="AG117" s="260"/>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09" r:id="rId4" name="Label1">
          <controlPr defaultSize="0" print="0" autoLine="0" r:id="rId5">
            <anchor moveWithCells="1">
              <from>
                <xdr:col>52</xdr:col>
                <xdr:colOff>38100</xdr:colOff>
                <xdr:row>3</xdr:row>
                <xdr:rowOff>152400</xdr:rowOff>
              </from>
              <to>
                <xdr:col>57</xdr:col>
                <xdr:colOff>104775</xdr:colOff>
                <xdr:row>5</xdr:row>
                <xdr:rowOff>0</xdr:rowOff>
              </to>
            </anchor>
          </controlPr>
        </control>
      </mc:Choice>
      <mc:Fallback>
        <control shapeId="17409" r:id="rId4" name="Label1"/>
      </mc:Fallback>
    </mc:AlternateContent>
    <mc:AlternateContent xmlns:mc="http://schemas.openxmlformats.org/markup-compatibility/2006">
      <mc:Choice Requires="x14">
        <control shapeId="17410" r:id="rId6" name="txt_hyouji">
          <controlPr locked="0" defaultSize="0" print="0" autoLine="0" r:id="rId7">
            <anchor moveWithCells="1">
              <from>
                <xdr:col>52</xdr:col>
                <xdr:colOff>38100</xdr:colOff>
                <xdr:row>5</xdr:row>
                <xdr:rowOff>0</xdr:rowOff>
              </from>
              <to>
                <xdr:col>57</xdr:col>
                <xdr:colOff>104775</xdr:colOff>
                <xdr:row>6</xdr:row>
                <xdr:rowOff>28575</xdr:rowOff>
              </to>
            </anchor>
          </controlPr>
        </control>
      </mc:Choice>
      <mc:Fallback>
        <control shapeId="17410" r:id="rId6" name="txt_hyouji"/>
      </mc:Fallback>
    </mc:AlternateContent>
    <mc:AlternateContent xmlns:mc="http://schemas.openxmlformats.org/markup-compatibility/2006">
      <mc:Choice Requires="x14">
        <control shapeId="17411" r:id="rId8" name="btnKoushin1">
          <controlPr defaultSize="0" print="0" autoLine="0" r:id="rId9">
            <anchor moveWithCells="1">
              <from>
                <xdr:col>58</xdr:col>
                <xdr:colOff>19050</xdr:colOff>
                <xdr:row>3</xdr:row>
                <xdr:rowOff>152400</xdr:rowOff>
              </from>
              <to>
                <xdr:col>64</xdr:col>
                <xdr:colOff>85725</xdr:colOff>
                <xdr:row>6</xdr:row>
                <xdr:rowOff>28575</xdr:rowOff>
              </to>
            </anchor>
          </controlPr>
        </control>
      </mc:Choice>
      <mc:Fallback>
        <control shapeId="17411"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646</v>
      </c>
      <c r="Y1" s="30"/>
      <c r="AD1" s="832"/>
    </row>
    <row r="2" spans="1:30" s="30" customFormat="1" ht="18" customHeight="1">
      <c r="A2" s="152" t="s">
        <v>647</v>
      </c>
      <c r="C2" s="20"/>
      <c r="H2" s="2"/>
      <c r="I2" s="2"/>
      <c r="J2" s="2"/>
      <c r="K2" s="2"/>
      <c r="AD2" s="833"/>
    </row>
    <row r="3" spans="1:30" ht="14.25" customHeight="1">
      <c r="A3" s="130"/>
      <c r="AD3" s="832"/>
    </row>
    <row r="4" spans="1:30" ht="14.25" customHeight="1">
      <c r="A4" s="108"/>
      <c r="AD4" s="832"/>
    </row>
    <row r="5" spans="1:30" ht="14.25" customHeight="1">
      <c r="B5" s="834"/>
      <c r="C5" s="835"/>
      <c r="D5" s="627"/>
      <c r="AD5" s="832"/>
    </row>
    <row r="6" spans="1:30" ht="14.25" customHeight="1">
      <c r="B6" s="834"/>
      <c r="C6" s="835"/>
      <c r="D6" s="627"/>
      <c r="AD6" s="832"/>
    </row>
    <row r="7" spans="1:30" ht="14.25" customHeight="1">
      <c r="A7" s="108"/>
      <c r="AD7" s="832"/>
    </row>
    <row r="8" spans="1:30" ht="14.25" customHeight="1">
      <c r="A8" s="108"/>
      <c r="AD8" s="832"/>
    </row>
    <row r="9" spans="1:30" ht="14.25" customHeight="1">
      <c r="A9" s="108"/>
      <c r="AD9" s="832"/>
    </row>
    <row r="10" spans="1:30" ht="14.25" customHeight="1">
      <c r="A10" s="108"/>
      <c r="AD10" s="832"/>
    </row>
    <row r="11" spans="1:30" ht="14.25" customHeight="1">
      <c r="A11" s="108"/>
      <c r="AD11" s="832"/>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648</v>
      </c>
      <c r="S18" s="610"/>
      <c r="X18" s="2"/>
    </row>
    <row r="19" spans="1:53" ht="18" customHeight="1">
      <c r="C19" s="769" t="s">
        <v>649</v>
      </c>
      <c r="H19" s="627"/>
      <c r="R19" s="2056"/>
      <c r="S19" s="836" t="s">
        <v>650</v>
      </c>
      <c r="X19" s="2"/>
    </row>
    <row r="20" spans="1:53" s="30" customFormat="1" ht="18" customHeight="1">
      <c r="B20" s="834"/>
      <c r="C20" s="20"/>
      <c r="D20" s="626" t="s">
        <v>651</v>
      </c>
      <c r="H20" s="627"/>
      <c r="I20" s="627"/>
      <c r="J20" s="2"/>
      <c r="K20" s="2"/>
      <c r="L20" s="147" t="s">
        <v>652</v>
      </c>
      <c r="R20" s="2056"/>
      <c r="S20" s="2061" t="s">
        <v>653</v>
      </c>
      <c r="T20" s="2"/>
      <c r="U20" s="2"/>
      <c r="X20" s="2"/>
      <c r="Y20" s="2"/>
      <c r="Z20" s="2"/>
      <c r="AA20" s="2"/>
      <c r="AB20" s="2"/>
      <c r="AC20" s="2"/>
    </row>
    <row r="21" spans="1:53" s="30" customFormat="1" ht="18" customHeight="1">
      <c r="B21" s="834"/>
      <c r="C21" s="20"/>
      <c r="D21" s="626" t="s">
        <v>654</v>
      </c>
      <c r="H21" s="627"/>
      <c r="I21" s="627"/>
      <c r="J21" s="2"/>
      <c r="K21" s="2"/>
      <c r="L21" s="147"/>
      <c r="R21" s="2056"/>
      <c r="S21" s="2062"/>
      <c r="T21" s="2"/>
      <c r="U21" s="2"/>
      <c r="X21" s="2"/>
      <c r="Y21" s="2"/>
      <c r="Z21" s="2"/>
      <c r="AA21" s="2"/>
      <c r="AB21" s="2"/>
      <c r="AC21" s="2"/>
    </row>
    <row r="22" spans="1:53" s="30" customFormat="1" ht="18" hidden="1" customHeight="1">
      <c r="B22" s="834"/>
      <c r="C22" s="20"/>
      <c r="D22" s="626"/>
      <c r="H22" s="627"/>
      <c r="I22" s="627"/>
      <c r="J22" s="2"/>
      <c r="K22" s="2"/>
      <c r="L22" s="147"/>
      <c r="R22" s="2056"/>
      <c r="S22" s="2062"/>
      <c r="T22" s="2"/>
      <c r="U22" s="2"/>
      <c r="X22" s="2"/>
      <c r="Y22" s="2"/>
      <c r="Z22" s="2"/>
      <c r="AA22" s="2"/>
      <c r="AB22" s="2"/>
      <c r="AC22" s="2"/>
    </row>
    <row r="23" spans="1:53" s="30" customFormat="1" ht="18.75" customHeight="1" thickBot="1">
      <c r="B23" s="834"/>
      <c r="H23" s="627"/>
      <c r="I23" s="627"/>
      <c r="J23" s="2"/>
      <c r="K23" s="2"/>
      <c r="L23" s="2064" t="s">
        <v>650</v>
      </c>
      <c r="M23" s="2064"/>
      <c r="N23" s="2064"/>
      <c r="O23" s="2064"/>
      <c r="P23" s="2064"/>
      <c r="R23" s="2056"/>
      <c r="S23" s="2063"/>
      <c r="T23" s="2"/>
      <c r="U23" s="2"/>
      <c r="X23" s="2"/>
      <c r="Y23" s="2"/>
      <c r="Z23" s="2"/>
      <c r="AA23" s="2"/>
      <c r="AB23" s="2"/>
      <c r="AC23" s="2"/>
      <c r="AD23" s="832"/>
    </row>
    <row r="24" spans="1:53" ht="30" customHeight="1">
      <c r="C24" s="2067" t="s">
        <v>655</v>
      </c>
      <c r="D24" s="1213" t="s">
        <v>656</v>
      </c>
      <c r="E24" s="1935" t="s">
        <v>657</v>
      </c>
      <c r="F24" s="1935" t="s">
        <v>658</v>
      </c>
      <c r="G24" s="1154" t="s">
        <v>301</v>
      </c>
      <c r="H24" s="1863" t="s">
        <v>659</v>
      </c>
      <c r="I24" s="2058" t="s">
        <v>660</v>
      </c>
      <c r="L24" s="2062" t="s">
        <v>661</v>
      </c>
      <c r="M24" s="2062" t="s">
        <v>662</v>
      </c>
      <c r="N24" s="2065" t="s">
        <v>663</v>
      </c>
      <c r="O24" s="2062" t="s">
        <v>664</v>
      </c>
      <c r="P24" s="2062" t="s">
        <v>665</v>
      </c>
      <c r="R24" s="644" t="s">
        <v>306</v>
      </c>
      <c r="S24" s="837">
        <f>SUM(S25:S26)</f>
        <v>0</v>
      </c>
      <c r="X24" s="2"/>
      <c r="AD24" s="832"/>
      <c r="AN24" s="2"/>
      <c r="BA24" s="2"/>
    </row>
    <row r="25" spans="1:53" ht="30" customHeight="1">
      <c r="C25" s="2068"/>
      <c r="D25" s="1216"/>
      <c r="E25" s="1965"/>
      <c r="F25" s="1965"/>
      <c r="G25" s="1545"/>
      <c r="H25" s="1864"/>
      <c r="I25" s="2059"/>
      <c r="L25" s="2063"/>
      <c r="M25" s="2063"/>
      <c r="N25" s="2066"/>
      <c r="O25" s="2063"/>
      <c r="P25" s="2063"/>
      <c r="R25" s="644" t="s">
        <v>666</v>
      </c>
      <c r="S25" s="838">
        <f>SUMIF(H27:H176,"[1]田",M27:M176)+
SUMIF(【11】土地_２借入地_米・さとうきび以外!I25:I174,"[1]田",【11】土地_２借入地_米・さとうきび以外!N25:N174)</f>
        <v>0</v>
      </c>
      <c r="X25" s="2"/>
      <c r="AD25" s="832"/>
    </row>
    <row r="26" spans="1:53" ht="30" customHeight="1" thickBot="1">
      <c r="C26" s="2069"/>
      <c r="D26" s="1216"/>
      <c r="E26" s="1965"/>
      <c r="F26" s="1458"/>
      <c r="G26" s="2029"/>
      <c r="H26" s="2057"/>
      <c r="I26" s="2060"/>
      <c r="L26" s="839">
        <f>SUM(L27:L176)</f>
        <v>0</v>
      </c>
      <c r="M26" s="839">
        <f>SUM(M27:M176)</f>
        <v>0</v>
      </c>
      <c r="N26" s="840"/>
      <c r="O26" s="841">
        <f>SUM(O27:O176)</f>
        <v>0</v>
      </c>
      <c r="P26" s="841">
        <f>SUM(P27:P176)</f>
        <v>0</v>
      </c>
      <c r="R26" s="644" t="s">
        <v>667</v>
      </c>
      <c r="S26" s="838">
        <f>SUMIF(H27:H176,"[2]畑",M27:M176)+
SUMIF(【11】土地_２借入地_米・さとうきび以外!I25:I174,"[2]畑",【11】土地_２借入地_米・さとうきび以外!N25:N174)</f>
        <v>0</v>
      </c>
      <c r="X26" s="2"/>
      <c r="AD26" s="832"/>
    </row>
    <row r="27" spans="1:53" ht="30" customHeight="1" thickTop="1">
      <c r="C27" s="842">
        <v>1</v>
      </c>
      <c r="D27" s="843"/>
      <c r="E27" s="844"/>
      <c r="F27" s="844"/>
      <c r="G27" s="1077"/>
      <c r="H27" s="845"/>
      <c r="I27" s="846"/>
      <c r="L27" s="837">
        <f>IF($G27&gt;0,E27,)</f>
        <v>0</v>
      </c>
      <c r="M27" s="837">
        <f>IF($G27&gt;0,F27,)</f>
        <v>0</v>
      </c>
      <c r="N27" s="847"/>
      <c r="O27" s="848">
        <f>ROUND(L27*N27/10,)</f>
        <v>0</v>
      </c>
      <c r="P27" s="849">
        <f>ROUND(O27*G27%,)</f>
        <v>0</v>
      </c>
      <c r="AD27" s="832"/>
    </row>
    <row r="28" spans="1:53" ht="30" customHeight="1">
      <c r="C28" s="850">
        <v>2</v>
      </c>
      <c r="D28" s="851"/>
      <c r="E28" s="852"/>
      <c r="F28" s="852"/>
      <c r="G28" s="1078"/>
      <c r="H28" s="853"/>
      <c r="I28" s="854"/>
      <c r="L28" s="838">
        <f t="shared" ref="L28:M155" si="0">IF($G28&gt;0,E28,)</f>
        <v>0</v>
      </c>
      <c r="M28" s="855">
        <f t="shared" si="0"/>
        <v>0</v>
      </c>
      <c r="N28" s="856"/>
      <c r="O28" s="857">
        <f t="shared" ref="O28:O176" si="1">ROUND(L28*N28/10,)</f>
        <v>0</v>
      </c>
      <c r="P28" s="849">
        <f t="shared" ref="P28:P91" si="2">ROUND(O28*G28%,)</f>
        <v>0</v>
      </c>
      <c r="AD28" s="832"/>
    </row>
    <row r="29" spans="1:53" ht="30" customHeight="1">
      <c r="C29" s="850">
        <v>3</v>
      </c>
      <c r="D29" s="851"/>
      <c r="E29" s="852"/>
      <c r="F29" s="852"/>
      <c r="G29" s="1078"/>
      <c r="H29" s="853"/>
      <c r="I29" s="854"/>
      <c r="L29" s="838">
        <f t="shared" si="0"/>
        <v>0</v>
      </c>
      <c r="M29" s="855">
        <f t="shared" si="0"/>
        <v>0</v>
      </c>
      <c r="N29" s="856"/>
      <c r="O29" s="857">
        <f t="shared" si="1"/>
        <v>0</v>
      </c>
      <c r="P29" s="849">
        <f t="shared" si="2"/>
        <v>0</v>
      </c>
      <c r="AD29" s="832"/>
    </row>
    <row r="30" spans="1:53" ht="30" customHeight="1">
      <c r="C30" s="850">
        <v>4</v>
      </c>
      <c r="D30" s="851"/>
      <c r="E30" s="852"/>
      <c r="F30" s="852"/>
      <c r="G30" s="1078"/>
      <c r="H30" s="853"/>
      <c r="I30" s="854"/>
      <c r="L30" s="838">
        <f t="shared" si="0"/>
        <v>0</v>
      </c>
      <c r="M30" s="855">
        <f t="shared" si="0"/>
        <v>0</v>
      </c>
      <c r="N30" s="856"/>
      <c r="O30" s="857">
        <f t="shared" si="1"/>
        <v>0</v>
      </c>
      <c r="P30" s="849">
        <f t="shared" si="2"/>
        <v>0</v>
      </c>
      <c r="AD30" s="832"/>
    </row>
    <row r="31" spans="1:53" ht="30" customHeight="1">
      <c r="C31" s="850">
        <v>5</v>
      </c>
      <c r="D31" s="851"/>
      <c r="E31" s="852"/>
      <c r="F31" s="852"/>
      <c r="G31" s="1078"/>
      <c r="H31" s="853"/>
      <c r="I31" s="854"/>
      <c r="L31" s="838">
        <f t="shared" si="0"/>
        <v>0</v>
      </c>
      <c r="M31" s="855">
        <f t="shared" si="0"/>
        <v>0</v>
      </c>
      <c r="N31" s="856"/>
      <c r="O31" s="857">
        <f t="shared" si="1"/>
        <v>0</v>
      </c>
      <c r="P31" s="849">
        <f t="shared" si="2"/>
        <v>0</v>
      </c>
      <c r="AD31" s="832"/>
    </row>
    <row r="32" spans="1:53" ht="30" customHeight="1">
      <c r="C32" s="850">
        <v>6</v>
      </c>
      <c r="D32" s="851"/>
      <c r="E32" s="852"/>
      <c r="F32" s="852"/>
      <c r="G32" s="1078"/>
      <c r="H32" s="853"/>
      <c r="I32" s="854"/>
      <c r="L32" s="838">
        <f t="shared" si="0"/>
        <v>0</v>
      </c>
      <c r="M32" s="855">
        <f t="shared" si="0"/>
        <v>0</v>
      </c>
      <c r="N32" s="856"/>
      <c r="O32" s="857">
        <f t="shared" si="1"/>
        <v>0</v>
      </c>
      <c r="P32" s="849">
        <f t="shared" si="2"/>
        <v>0</v>
      </c>
      <c r="AD32" s="832"/>
    </row>
    <row r="33" spans="3:30" ht="30" customHeight="1">
      <c r="C33" s="850">
        <v>7</v>
      </c>
      <c r="D33" s="851"/>
      <c r="E33" s="852"/>
      <c r="F33" s="852"/>
      <c r="G33" s="1078"/>
      <c r="H33" s="853"/>
      <c r="I33" s="854"/>
      <c r="L33" s="838">
        <f t="shared" si="0"/>
        <v>0</v>
      </c>
      <c r="M33" s="855">
        <f t="shared" si="0"/>
        <v>0</v>
      </c>
      <c r="N33" s="856"/>
      <c r="O33" s="857">
        <f t="shared" si="1"/>
        <v>0</v>
      </c>
      <c r="P33" s="849">
        <f t="shared" si="2"/>
        <v>0</v>
      </c>
      <c r="AD33" s="832"/>
    </row>
    <row r="34" spans="3:30" ht="30" customHeight="1">
      <c r="C34" s="850">
        <v>8</v>
      </c>
      <c r="D34" s="851"/>
      <c r="E34" s="852"/>
      <c r="F34" s="852"/>
      <c r="G34" s="1078"/>
      <c r="H34" s="853"/>
      <c r="I34" s="854"/>
      <c r="L34" s="838">
        <f t="shared" si="0"/>
        <v>0</v>
      </c>
      <c r="M34" s="855">
        <f t="shared" si="0"/>
        <v>0</v>
      </c>
      <c r="N34" s="856"/>
      <c r="O34" s="857">
        <f t="shared" si="1"/>
        <v>0</v>
      </c>
      <c r="P34" s="849">
        <f t="shared" si="2"/>
        <v>0</v>
      </c>
      <c r="AD34" s="832"/>
    </row>
    <row r="35" spans="3:30" ht="30" customHeight="1">
      <c r="C35" s="850">
        <v>9</v>
      </c>
      <c r="D35" s="851"/>
      <c r="E35" s="852"/>
      <c r="F35" s="852"/>
      <c r="G35" s="1078"/>
      <c r="H35" s="853"/>
      <c r="I35" s="854"/>
      <c r="L35" s="838">
        <f t="shared" si="0"/>
        <v>0</v>
      </c>
      <c r="M35" s="855">
        <f t="shared" si="0"/>
        <v>0</v>
      </c>
      <c r="N35" s="856"/>
      <c r="O35" s="857">
        <f t="shared" si="1"/>
        <v>0</v>
      </c>
      <c r="P35" s="849">
        <f t="shared" si="2"/>
        <v>0</v>
      </c>
      <c r="AD35" s="832"/>
    </row>
    <row r="36" spans="3:30" ht="30" customHeight="1" collapsed="1" thickBot="1">
      <c r="C36" s="850">
        <v>10</v>
      </c>
      <c r="D36" s="851"/>
      <c r="E36" s="852"/>
      <c r="F36" s="852"/>
      <c r="G36" s="1078"/>
      <c r="H36" s="853"/>
      <c r="I36" s="854"/>
      <c r="L36" s="838">
        <f t="shared" si="0"/>
        <v>0</v>
      </c>
      <c r="M36" s="855">
        <f t="shared" si="0"/>
        <v>0</v>
      </c>
      <c r="N36" s="856"/>
      <c r="O36" s="857">
        <f t="shared" si="1"/>
        <v>0</v>
      </c>
      <c r="P36" s="849">
        <f t="shared" si="2"/>
        <v>0</v>
      </c>
      <c r="AD36" s="832"/>
    </row>
    <row r="37" spans="3:30" ht="30" hidden="1" customHeight="1" outlineLevel="1">
      <c r="C37" s="850">
        <v>11</v>
      </c>
      <c r="D37" s="851"/>
      <c r="E37" s="852"/>
      <c r="F37" s="852"/>
      <c r="G37" s="1078"/>
      <c r="H37" s="853"/>
      <c r="I37" s="854"/>
      <c r="L37" s="838">
        <f t="shared" si="0"/>
        <v>0</v>
      </c>
      <c r="M37" s="855">
        <f t="shared" si="0"/>
        <v>0</v>
      </c>
      <c r="N37" s="856"/>
      <c r="O37" s="857">
        <f t="shared" si="1"/>
        <v>0</v>
      </c>
      <c r="P37" s="849">
        <f t="shared" si="2"/>
        <v>0</v>
      </c>
      <c r="AD37" s="832"/>
    </row>
    <row r="38" spans="3:30" ht="30" hidden="1" customHeight="1" outlineLevel="1">
      <c r="C38" s="850">
        <v>12</v>
      </c>
      <c r="D38" s="851"/>
      <c r="E38" s="852"/>
      <c r="F38" s="852"/>
      <c r="G38" s="1078"/>
      <c r="H38" s="853"/>
      <c r="I38" s="854"/>
      <c r="L38" s="838">
        <f t="shared" si="0"/>
        <v>0</v>
      </c>
      <c r="M38" s="855">
        <f t="shared" si="0"/>
        <v>0</v>
      </c>
      <c r="N38" s="856"/>
      <c r="O38" s="857">
        <f t="shared" si="1"/>
        <v>0</v>
      </c>
      <c r="P38" s="849">
        <f t="shared" si="2"/>
        <v>0</v>
      </c>
      <c r="AD38" s="832"/>
    </row>
    <row r="39" spans="3:30" ht="30" hidden="1" customHeight="1" outlineLevel="1">
      <c r="C39" s="850">
        <v>13</v>
      </c>
      <c r="D39" s="851"/>
      <c r="E39" s="852"/>
      <c r="F39" s="852"/>
      <c r="G39" s="1078"/>
      <c r="H39" s="853"/>
      <c r="I39" s="854"/>
      <c r="L39" s="838">
        <f t="shared" si="0"/>
        <v>0</v>
      </c>
      <c r="M39" s="855">
        <f t="shared" si="0"/>
        <v>0</v>
      </c>
      <c r="N39" s="856"/>
      <c r="O39" s="857">
        <f t="shared" si="1"/>
        <v>0</v>
      </c>
      <c r="P39" s="849">
        <f t="shared" si="2"/>
        <v>0</v>
      </c>
      <c r="AD39" s="832"/>
    </row>
    <row r="40" spans="3:30" ht="30" hidden="1" customHeight="1" outlineLevel="1">
      <c r="C40" s="850">
        <v>14</v>
      </c>
      <c r="D40" s="851"/>
      <c r="E40" s="852"/>
      <c r="F40" s="852"/>
      <c r="G40" s="1078"/>
      <c r="H40" s="853"/>
      <c r="I40" s="854"/>
      <c r="L40" s="838">
        <f t="shared" si="0"/>
        <v>0</v>
      </c>
      <c r="M40" s="855">
        <f t="shared" si="0"/>
        <v>0</v>
      </c>
      <c r="N40" s="856"/>
      <c r="O40" s="857">
        <f t="shared" si="1"/>
        <v>0</v>
      </c>
      <c r="P40" s="849">
        <f t="shared" si="2"/>
        <v>0</v>
      </c>
      <c r="AD40" s="832"/>
    </row>
    <row r="41" spans="3:30" ht="30" hidden="1" customHeight="1" outlineLevel="1">
      <c r="C41" s="850">
        <v>15</v>
      </c>
      <c r="D41" s="851"/>
      <c r="E41" s="852"/>
      <c r="F41" s="852"/>
      <c r="G41" s="1078"/>
      <c r="H41" s="853"/>
      <c r="I41" s="854"/>
      <c r="L41" s="838">
        <f t="shared" si="0"/>
        <v>0</v>
      </c>
      <c r="M41" s="855">
        <f t="shared" si="0"/>
        <v>0</v>
      </c>
      <c r="N41" s="856"/>
      <c r="O41" s="857">
        <f t="shared" si="1"/>
        <v>0</v>
      </c>
      <c r="P41" s="849">
        <f t="shared" si="2"/>
        <v>0</v>
      </c>
      <c r="AD41" s="832"/>
    </row>
    <row r="42" spans="3:30" ht="30" hidden="1" customHeight="1" outlineLevel="1">
      <c r="C42" s="850">
        <v>16</v>
      </c>
      <c r="D42" s="851"/>
      <c r="E42" s="852"/>
      <c r="F42" s="852"/>
      <c r="G42" s="1078"/>
      <c r="H42" s="853"/>
      <c r="I42" s="854"/>
      <c r="L42" s="838">
        <f t="shared" si="0"/>
        <v>0</v>
      </c>
      <c r="M42" s="855">
        <f t="shared" si="0"/>
        <v>0</v>
      </c>
      <c r="N42" s="856"/>
      <c r="O42" s="857">
        <f t="shared" si="1"/>
        <v>0</v>
      </c>
      <c r="P42" s="849">
        <f t="shared" si="2"/>
        <v>0</v>
      </c>
      <c r="AD42" s="832"/>
    </row>
    <row r="43" spans="3:30" ht="30" hidden="1" customHeight="1" outlineLevel="1">
      <c r="C43" s="850">
        <v>17</v>
      </c>
      <c r="D43" s="851"/>
      <c r="E43" s="852"/>
      <c r="F43" s="852"/>
      <c r="G43" s="1078"/>
      <c r="H43" s="853"/>
      <c r="I43" s="854"/>
      <c r="L43" s="838">
        <f t="shared" si="0"/>
        <v>0</v>
      </c>
      <c r="M43" s="855">
        <f t="shared" si="0"/>
        <v>0</v>
      </c>
      <c r="N43" s="856"/>
      <c r="O43" s="857">
        <f t="shared" si="1"/>
        <v>0</v>
      </c>
      <c r="P43" s="849">
        <f t="shared" si="2"/>
        <v>0</v>
      </c>
      <c r="AD43" s="832"/>
    </row>
    <row r="44" spans="3:30" ht="30" hidden="1" customHeight="1" outlineLevel="1">
      <c r="C44" s="850">
        <v>18</v>
      </c>
      <c r="D44" s="851"/>
      <c r="E44" s="852"/>
      <c r="F44" s="852"/>
      <c r="G44" s="1078"/>
      <c r="H44" s="853"/>
      <c r="I44" s="854"/>
      <c r="L44" s="838">
        <f t="shared" si="0"/>
        <v>0</v>
      </c>
      <c r="M44" s="855">
        <f t="shared" si="0"/>
        <v>0</v>
      </c>
      <c r="N44" s="856"/>
      <c r="O44" s="857">
        <f t="shared" si="1"/>
        <v>0</v>
      </c>
      <c r="P44" s="849">
        <f t="shared" si="2"/>
        <v>0</v>
      </c>
      <c r="AD44" s="832"/>
    </row>
    <row r="45" spans="3:30" ht="30" hidden="1" customHeight="1" outlineLevel="1">
      <c r="C45" s="850">
        <v>19</v>
      </c>
      <c r="D45" s="851"/>
      <c r="E45" s="852"/>
      <c r="F45" s="852"/>
      <c r="G45" s="1078"/>
      <c r="H45" s="853"/>
      <c r="I45" s="854"/>
      <c r="L45" s="838">
        <f t="shared" si="0"/>
        <v>0</v>
      </c>
      <c r="M45" s="855">
        <f t="shared" si="0"/>
        <v>0</v>
      </c>
      <c r="N45" s="856"/>
      <c r="O45" s="857">
        <f t="shared" si="1"/>
        <v>0</v>
      </c>
      <c r="P45" s="849">
        <f t="shared" si="2"/>
        <v>0</v>
      </c>
      <c r="AD45" s="832"/>
    </row>
    <row r="46" spans="3:30" ht="30" hidden="1" customHeight="1" outlineLevel="1">
      <c r="C46" s="850">
        <v>20</v>
      </c>
      <c r="D46" s="851"/>
      <c r="E46" s="852"/>
      <c r="F46" s="852"/>
      <c r="G46" s="1078"/>
      <c r="H46" s="853"/>
      <c r="I46" s="854"/>
      <c r="L46" s="838">
        <f t="shared" si="0"/>
        <v>0</v>
      </c>
      <c r="M46" s="855">
        <f t="shared" si="0"/>
        <v>0</v>
      </c>
      <c r="N46" s="856"/>
      <c r="O46" s="857">
        <f t="shared" si="1"/>
        <v>0</v>
      </c>
      <c r="P46" s="849">
        <f t="shared" si="2"/>
        <v>0</v>
      </c>
      <c r="AD46" s="832"/>
    </row>
    <row r="47" spans="3:30" ht="30" hidden="1" customHeight="1" outlineLevel="1">
      <c r="C47" s="850">
        <v>21</v>
      </c>
      <c r="D47" s="851"/>
      <c r="E47" s="852"/>
      <c r="F47" s="852"/>
      <c r="G47" s="1078"/>
      <c r="H47" s="853"/>
      <c r="I47" s="854"/>
      <c r="L47" s="838">
        <f t="shared" si="0"/>
        <v>0</v>
      </c>
      <c r="M47" s="855">
        <f t="shared" si="0"/>
        <v>0</v>
      </c>
      <c r="N47" s="856"/>
      <c r="O47" s="857">
        <f t="shared" si="1"/>
        <v>0</v>
      </c>
      <c r="P47" s="849">
        <f t="shared" si="2"/>
        <v>0</v>
      </c>
      <c r="AD47" s="832"/>
    </row>
    <row r="48" spans="3:30" ht="30" hidden="1" customHeight="1" outlineLevel="1">
      <c r="C48" s="850">
        <v>22</v>
      </c>
      <c r="D48" s="851"/>
      <c r="E48" s="852"/>
      <c r="F48" s="852"/>
      <c r="G48" s="1078"/>
      <c r="H48" s="853"/>
      <c r="I48" s="854"/>
      <c r="L48" s="838">
        <f t="shared" si="0"/>
        <v>0</v>
      </c>
      <c r="M48" s="855">
        <f t="shared" si="0"/>
        <v>0</v>
      </c>
      <c r="N48" s="856"/>
      <c r="O48" s="857">
        <f t="shared" si="1"/>
        <v>0</v>
      </c>
      <c r="P48" s="849">
        <f t="shared" si="2"/>
        <v>0</v>
      </c>
      <c r="AD48" s="832"/>
    </row>
    <row r="49" spans="3:30" ht="30" hidden="1" customHeight="1" outlineLevel="1">
      <c r="C49" s="850">
        <v>23</v>
      </c>
      <c r="D49" s="851"/>
      <c r="E49" s="852"/>
      <c r="F49" s="852"/>
      <c r="G49" s="1078"/>
      <c r="H49" s="853"/>
      <c r="I49" s="854"/>
      <c r="L49" s="838">
        <f t="shared" si="0"/>
        <v>0</v>
      </c>
      <c r="M49" s="855">
        <f t="shared" si="0"/>
        <v>0</v>
      </c>
      <c r="N49" s="856"/>
      <c r="O49" s="857">
        <f t="shared" si="1"/>
        <v>0</v>
      </c>
      <c r="P49" s="849">
        <f t="shared" si="2"/>
        <v>0</v>
      </c>
      <c r="AD49" s="832"/>
    </row>
    <row r="50" spans="3:30" ht="30" hidden="1" customHeight="1" outlineLevel="1">
      <c r="C50" s="850">
        <v>24</v>
      </c>
      <c r="D50" s="851"/>
      <c r="E50" s="852"/>
      <c r="F50" s="852"/>
      <c r="G50" s="1078"/>
      <c r="H50" s="853"/>
      <c r="I50" s="854"/>
      <c r="L50" s="838">
        <f t="shared" si="0"/>
        <v>0</v>
      </c>
      <c r="M50" s="855">
        <f t="shared" si="0"/>
        <v>0</v>
      </c>
      <c r="N50" s="856"/>
      <c r="O50" s="857">
        <f t="shared" si="1"/>
        <v>0</v>
      </c>
      <c r="P50" s="849">
        <f t="shared" si="2"/>
        <v>0</v>
      </c>
      <c r="AD50" s="832"/>
    </row>
    <row r="51" spans="3:30" ht="30" hidden="1" customHeight="1" outlineLevel="1">
      <c r="C51" s="850">
        <v>25</v>
      </c>
      <c r="D51" s="851"/>
      <c r="E51" s="852"/>
      <c r="F51" s="852"/>
      <c r="G51" s="1078"/>
      <c r="H51" s="853"/>
      <c r="I51" s="854"/>
      <c r="L51" s="838">
        <f t="shared" si="0"/>
        <v>0</v>
      </c>
      <c r="M51" s="855">
        <f t="shared" si="0"/>
        <v>0</v>
      </c>
      <c r="N51" s="856"/>
      <c r="O51" s="857">
        <f t="shared" si="1"/>
        <v>0</v>
      </c>
      <c r="P51" s="849">
        <f t="shared" si="2"/>
        <v>0</v>
      </c>
      <c r="AD51" s="832"/>
    </row>
    <row r="52" spans="3:30" ht="30" hidden="1" customHeight="1" outlineLevel="1">
      <c r="C52" s="850">
        <v>26</v>
      </c>
      <c r="D52" s="851"/>
      <c r="E52" s="852"/>
      <c r="F52" s="852"/>
      <c r="G52" s="1078"/>
      <c r="H52" s="853"/>
      <c r="I52" s="854"/>
      <c r="L52" s="838">
        <f t="shared" si="0"/>
        <v>0</v>
      </c>
      <c r="M52" s="855">
        <f t="shared" si="0"/>
        <v>0</v>
      </c>
      <c r="N52" s="856"/>
      <c r="O52" s="857">
        <f t="shared" si="1"/>
        <v>0</v>
      </c>
      <c r="P52" s="849">
        <f t="shared" si="2"/>
        <v>0</v>
      </c>
      <c r="AD52" s="832"/>
    </row>
    <row r="53" spans="3:30" ht="30" hidden="1" customHeight="1" outlineLevel="1">
      <c r="C53" s="850">
        <v>27</v>
      </c>
      <c r="D53" s="851"/>
      <c r="E53" s="852"/>
      <c r="F53" s="852"/>
      <c r="G53" s="1078"/>
      <c r="H53" s="853"/>
      <c r="I53" s="854"/>
      <c r="L53" s="838">
        <f t="shared" si="0"/>
        <v>0</v>
      </c>
      <c r="M53" s="855">
        <f t="shared" si="0"/>
        <v>0</v>
      </c>
      <c r="N53" s="856"/>
      <c r="O53" s="857">
        <f t="shared" si="1"/>
        <v>0</v>
      </c>
      <c r="P53" s="849">
        <f t="shared" si="2"/>
        <v>0</v>
      </c>
      <c r="AD53" s="832"/>
    </row>
    <row r="54" spans="3:30" ht="30" hidden="1" customHeight="1" outlineLevel="1">
      <c r="C54" s="850">
        <v>28</v>
      </c>
      <c r="D54" s="851"/>
      <c r="E54" s="852"/>
      <c r="F54" s="852"/>
      <c r="G54" s="1078"/>
      <c r="H54" s="853"/>
      <c r="I54" s="854"/>
      <c r="L54" s="838">
        <f t="shared" si="0"/>
        <v>0</v>
      </c>
      <c r="M54" s="855">
        <f t="shared" si="0"/>
        <v>0</v>
      </c>
      <c r="N54" s="856"/>
      <c r="O54" s="857">
        <f t="shared" si="1"/>
        <v>0</v>
      </c>
      <c r="P54" s="849">
        <f t="shared" si="2"/>
        <v>0</v>
      </c>
      <c r="AD54" s="832"/>
    </row>
    <row r="55" spans="3:30" ht="30" hidden="1" customHeight="1" outlineLevel="1">
      <c r="C55" s="850">
        <v>29</v>
      </c>
      <c r="D55" s="851"/>
      <c r="E55" s="852"/>
      <c r="F55" s="852"/>
      <c r="G55" s="1078"/>
      <c r="H55" s="853"/>
      <c r="I55" s="854"/>
      <c r="L55" s="838">
        <f t="shared" si="0"/>
        <v>0</v>
      </c>
      <c r="M55" s="855">
        <f t="shared" si="0"/>
        <v>0</v>
      </c>
      <c r="N55" s="856"/>
      <c r="O55" s="857">
        <f t="shared" si="1"/>
        <v>0</v>
      </c>
      <c r="P55" s="849">
        <f t="shared" si="2"/>
        <v>0</v>
      </c>
      <c r="AD55" s="832"/>
    </row>
    <row r="56" spans="3:30" ht="30" hidden="1" customHeight="1" outlineLevel="1">
      <c r="C56" s="850">
        <v>30</v>
      </c>
      <c r="D56" s="851"/>
      <c r="E56" s="852"/>
      <c r="F56" s="852"/>
      <c r="G56" s="1078"/>
      <c r="H56" s="853"/>
      <c r="I56" s="854"/>
      <c r="L56" s="838">
        <f t="shared" si="0"/>
        <v>0</v>
      </c>
      <c r="M56" s="855">
        <f t="shared" si="0"/>
        <v>0</v>
      </c>
      <c r="N56" s="856"/>
      <c r="O56" s="857">
        <f t="shared" si="1"/>
        <v>0</v>
      </c>
      <c r="P56" s="849">
        <f t="shared" si="2"/>
        <v>0</v>
      </c>
      <c r="AD56" s="832"/>
    </row>
    <row r="57" spans="3:30" ht="30" hidden="1" customHeight="1" outlineLevel="1">
      <c r="C57" s="850">
        <v>31</v>
      </c>
      <c r="D57" s="851"/>
      <c r="E57" s="852"/>
      <c r="F57" s="852"/>
      <c r="G57" s="1078"/>
      <c r="H57" s="853"/>
      <c r="I57" s="854"/>
      <c r="L57" s="838">
        <f t="shared" si="0"/>
        <v>0</v>
      </c>
      <c r="M57" s="855">
        <f t="shared" si="0"/>
        <v>0</v>
      </c>
      <c r="N57" s="856"/>
      <c r="O57" s="857">
        <f t="shared" si="1"/>
        <v>0</v>
      </c>
      <c r="P57" s="849">
        <f t="shared" si="2"/>
        <v>0</v>
      </c>
      <c r="AD57" s="832"/>
    </row>
    <row r="58" spans="3:30" ht="30" hidden="1" customHeight="1" outlineLevel="1">
      <c r="C58" s="850">
        <v>32</v>
      </c>
      <c r="D58" s="851"/>
      <c r="E58" s="852"/>
      <c r="F58" s="852"/>
      <c r="G58" s="1078"/>
      <c r="H58" s="853"/>
      <c r="I58" s="854"/>
      <c r="L58" s="838">
        <f t="shared" si="0"/>
        <v>0</v>
      </c>
      <c r="M58" s="855">
        <f t="shared" si="0"/>
        <v>0</v>
      </c>
      <c r="N58" s="856"/>
      <c r="O58" s="857">
        <f t="shared" si="1"/>
        <v>0</v>
      </c>
      <c r="P58" s="849">
        <f t="shared" si="2"/>
        <v>0</v>
      </c>
      <c r="AD58" s="832"/>
    </row>
    <row r="59" spans="3:30" ht="30" hidden="1" customHeight="1" outlineLevel="1">
      <c r="C59" s="850">
        <v>33</v>
      </c>
      <c r="D59" s="851"/>
      <c r="E59" s="852"/>
      <c r="F59" s="852"/>
      <c r="G59" s="1078"/>
      <c r="H59" s="853"/>
      <c r="I59" s="854"/>
      <c r="L59" s="838">
        <f t="shared" si="0"/>
        <v>0</v>
      </c>
      <c r="M59" s="855">
        <f t="shared" si="0"/>
        <v>0</v>
      </c>
      <c r="N59" s="856"/>
      <c r="O59" s="857">
        <f t="shared" si="1"/>
        <v>0</v>
      </c>
      <c r="P59" s="849">
        <f t="shared" si="2"/>
        <v>0</v>
      </c>
      <c r="AD59" s="832"/>
    </row>
    <row r="60" spans="3:30" ht="30" hidden="1" customHeight="1" outlineLevel="1">
      <c r="C60" s="850">
        <v>34</v>
      </c>
      <c r="D60" s="851"/>
      <c r="E60" s="852"/>
      <c r="F60" s="852"/>
      <c r="G60" s="1078"/>
      <c r="H60" s="853"/>
      <c r="I60" s="854"/>
      <c r="L60" s="838">
        <f t="shared" si="0"/>
        <v>0</v>
      </c>
      <c r="M60" s="855">
        <f t="shared" si="0"/>
        <v>0</v>
      </c>
      <c r="N60" s="856"/>
      <c r="O60" s="857">
        <f t="shared" si="1"/>
        <v>0</v>
      </c>
      <c r="P60" s="849">
        <f t="shared" si="2"/>
        <v>0</v>
      </c>
      <c r="AD60" s="832"/>
    </row>
    <row r="61" spans="3:30" ht="30" hidden="1" customHeight="1" outlineLevel="1">
      <c r="C61" s="850">
        <v>35</v>
      </c>
      <c r="D61" s="851"/>
      <c r="E61" s="852"/>
      <c r="F61" s="852"/>
      <c r="G61" s="1078"/>
      <c r="H61" s="853"/>
      <c r="I61" s="854"/>
      <c r="L61" s="838">
        <f t="shared" si="0"/>
        <v>0</v>
      </c>
      <c r="M61" s="855">
        <f t="shared" si="0"/>
        <v>0</v>
      </c>
      <c r="N61" s="856"/>
      <c r="O61" s="857">
        <f t="shared" si="1"/>
        <v>0</v>
      </c>
      <c r="P61" s="849">
        <f t="shared" si="2"/>
        <v>0</v>
      </c>
      <c r="AD61" s="832"/>
    </row>
    <row r="62" spans="3:30" ht="30" hidden="1" customHeight="1" outlineLevel="1">
      <c r="C62" s="850">
        <v>36</v>
      </c>
      <c r="D62" s="851"/>
      <c r="E62" s="852"/>
      <c r="F62" s="852"/>
      <c r="G62" s="1078"/>
      <c r="H62" s="853"/>
      <c r="I62" s="854"/>
      <c r="L62" s="838">
        <f t="shared" si="0"/>
        <v>0</v>
      </c>
      <c r="M62" s="855">
        <f t="shared" si="0"/>
        <v>0</v>
      </c>
      <c r="N62" s="856"/>
      <c r="O62" s="857">
        <f t="shared" si="1"/>
        <v>0</v>
      </c>
      <c r="P62" s="849">
        <f t="shared" si="2"/>
        <v>0</v>
      </c>
      <c r="AD62" s="832"/>
    </row>
    <row r="63" spans="3:30" ht="30" hidden="1" customHeight="1" outlineLevel="1">
      <c r="C63" s="850">
        <v>37</v>
      </c>
      <c r="D63" s="851"/>
      <c r="E63" s="852"/>
      <c r="F63" s="852"/>
      <c r="G63" s="1078"/>
      <c r="H63" s="853"/>
      <c r="I63" s="854"/>
      <c r="L63" s="838">
        <f t="shared" si="0"/>
        <v>0</v>
      </c>
      <c r="M63" s="855">
        <f t="shared" si="0"/>
        <v>0</v>
      </c>
      <c r="N63" s="856"/>
      <c r="O63" s="857">
        <f t="shared" si="1"/>
        <v>0</v>
      </c>
      <c r="P63" s="849">
        <f t="shared" si="2"/>
        <v>0</v>
      </c>
      <c r="AD63" s="832"/>
    </row>
    <row r="64" spans="3:30" ht="30" hidden="1" customHeight="1" outlineLevel="1">
      <c r="C64" s="850">
        <v>38</v>
      </c>
      <c r="D64" s="851"/>
      <c r="E64" s="852"/>
      <c r="F64" s="852"/>
      <c r="G64" s="1078"/>
      <c r="H64" s="853"/>
      <c r="I64" s="854"/>
      <c r="L64" s="838">
        <f t="shared" si="0"/>
        <v>0</v>
      </c>
      <c r="M64" s="855">
        <f t="shared" si="0"/>
        <v>0</v>
      </c>
      <c r="N64" s="856"/>
      <c r="O64" s="857">
        <f t="shared" si="1"/>
        <v>0</v>
      </c>
      <c r="P64" s="849">
        <f t="shared" si="2"/>
        <v>0</v>
      </c>
      <c r="AD64" s="832"/>
    </row>
    <row r="65" spans="3:30" ht="30" hidden="1" customHeight="1" outlineLevel="1">
      <c r="C65" s="850">
        <v>39</v>
      </c>
      <c r="D65" s="851"/>
      <c r="E65" s="852"/>
      <c r="F65" s="852"/>
      <c r="G65" s="1078"/>
      <c r="H65" s="853"/>
      <c r="I65" s="854"/>
      <c r="L65" s="838">
        <f t="shared" si="0"/>
        <v>0</v>
      </c>
      <c r="M65" s="855">
        <f t="shared" si="0"/>
        <v>0</v>
      </c>
      <c r="N65" s="856"/>
      <c r="O65" s="857">
        <f t="shared" si="1"/>
        <v>0</v>
      </c>
      <c r="P65" s="849">
        <f t="shared" si="2"/>
        <v>0</v>
      </c>
      <c r="AD65" s="832"/>
    </row>
    <row r="66" spans="3:30" ht="30" hidden="1" customHeight="1" outlineLevel="1">
      <c r="C66" s="850">
        <v>40</v>
      </c>
      <c r="D66" s="851"/>
      <c r="E66" s="852"/>
      <c r="F66" s="852"/>
      <c r="G66" s="1078"/>
      <c r="H66" s="853"/>
      <c r="I66" s="854"/>
      <c r="L66" s="838">
        <f t="shared" si="0"/>
        <v>0</v>
      </c>
      <c r="M66" s="855">
        <f t="shared" si="0"/>
        <v>0</v>
      </c>
      <c r="N66" s="856"/>
      <c r="O66" s="857">
        <f t="shared" si="1"/>
        <v>0</v>
      </c>
      <c r="P66" s="849">
        <f t="shared" si="2"/>
        <v>0</v>
      </c>
      <c r="AD66" s="832"/>
    </row>
    <row r="67" spans="3:30" ht="30" hidden="1" customHeight="1" outlineLevel="1">
      <c r="C67" s="850">
        <v>41</v>
      </c>
      <c r="D67" s="851"/>
      <c r="E67" s="852"/>
      <c r="F67" s="852"/>
      <c r="G67" s="1078"/>
      <c r="H67" s="853"/>
      <c r="I67" s="854"/>
      <c r="L67" s="838">
        <f t="shared" si="0"/>
        <v>0</v>
      </c>
      <c r="M67" s="855">
        <f t="shared" si="0"/>
        <v>0</v>
      </c>
      <c r="N67" s="856"/>
      <c r="O67" s="857">
        <f t="shared" si="1"/>
        <v>0</v>
      </c>
      <c r="P67" s="849">
        <f t="shared" si="2"/>
        <v>0</v>
      </c>
      <c r="AD67" s="832"/>
    </row>
    <row r="68" spans="3:30" ht="30" hidden="1" customHeight="1" outlineLevel="1">
      <c r="C68" s="850">
        <v>42</v>
      </c>
      <c r="D68" s="851"/>
      <c r="E68" s="852"/>
      <c r="F68" s="852"/>
      <c r="G68" s="1078"/>
      <c r="H68" s="853"/>
      <c r="I68" s="854"/>
      <c r="L68" s="838">
        <f t="shared" si="0"/>
        <v>0</v>
      </c>
      <c r="M68" s="855">
        <f t="shared" si="0"/>
        <v>0</v>
      </c>
      <c r="N68" s="856"/>
      <c r="O68" s="857">
        <f t="shared" si="1"/>
        <v>0</v>
      </c>
      <c r="P68" s="849">
        <f t="shared" si="2"/>
        <v>0</v>
      </c>
      <c r="AD68" s="832"/>
    </row>
    <row r="69" spans="3:30" ht="30" hidden="1" customHeight="1" outlineLevel="1">
      <c r="C69" s="850">
        <v>43</v>
      </c>
      <c r="D69" s="851"/>
      <c r="E69" s="852"/>
      <c r="F69" s="852"/>
      <c r="G69" s="1078"/>
      <c r="H69" s="853"/>
      <c r="I69" s="854"/>
      <c r="L69" s="838">
        <f t="shared" si="0"/>
        <v>0</v>
      </c>
      <c r="M69" s="855">
        <f t="shared" si="0"/>
        <v>0</v>
      </c>
      <c r="N69" s="856"/>
      <c r="O69" s="857">
        <f t="shared" si="1"/>
        <v>0</v>
      </c>
      <c r="P69" s="849">
        <f t="shared" si="2"/>
        <v>0</v>
      </c>
      <c r="AD69" s="832"/>
    </row>
    <row r="70" spans="3:30" ht="30" hidden="1" customHeight="1" outlineLevel="1">
      <c r="C70" s="850">
        <v>44</v>
      </c>
      <c r="D70" s="851"/>
      <c r="E70" s="852"/>
      <c r="F70" s="852"/>
      <c r="G70" s="1078"/>
      <c r="H70" s="853"/>
      <c r="I70" s="854"/>
      <c r="L70" s="838">
        <f t="shared" si="0"/>
        <v>0</v>
      </c>
      <c r="M70" s="855">
        <f t="shared" si="0"/>
        <v>0</v>
      </c>
      <c r="N70" s="856"/>
      <c r="O70" s="857">
        <f t="shared" si="1"/>
        <v>0</v>
      </c>
      <c r="P70" s="849">
        <f t="shared" si="2"/>
        <v>0</v>
      </c>
      <c r="AD70" s="832"/>
    </row>
    <row r="71" spans="3:30" ht="30" hidden="1" customHeight="1" outlineLevel="1">
      <c r="C71" s="850">
        <v>45</v>
      </c>
      <c r="D71" s="851"/>
      <c r="E71" s="852"/>
      <c r="F71" s="852"/>
      <c r="G71" s="1078"/>
      <c r="H71" s="853"/>
      <c r="I71" s="854"/>
      <c r="L71" s="838">
        <f t="shared" si="0"/>
        <v>0</v>
      </c>
      <c r="M71" s="855">
        <f t="shared" si="0"/>
        <v>0</v>
      </c>
      <c r="N71" s="856"/>
      <c r="O71" s="857">
        <f t="shared" si="1"/>
        <v>0</v>
      </c>
      <c r="P71" s="849">
        <f t="shared" si="2"/>
        <v>0</v>
      </c>
      <c r="AD71" s="832"/>
    </row>
    <row r="72" spans="3:30" ht="30" hidden="1" customHeight="1" outlineLevel="1">
      <c r="C72" s="850">
        <v>46</v>
      </c>
      <c r="D72" s="851"/>
      <c r="E72" s="852"/>
      <c r="F72" s="852"/>
      <c r="G72" s="1078"/>
      <c r="H72" s="853"/>
      <c r="I72" s="854"/>
      <c r="L72" s="838">
        <f t="shared" si="0"/>
        <v>0</v>
      </c>
      <c r="M72" s="855">
        <f t="shared" si="0"/>
        <v>0</v>
      </c>
      <c r="N72" s="856"/>
      <c r="O72" s="857">
        <f t="shared" si="1"/>
        <v>0</v>
      </c>
      <c r="P72" s="849">
        <f t="shared" si="2"/>
        <v>0</v>
      </c>
      <c r="AD72" s="832"/>
    </row>
    <row r="73" spans="3:30" ht="30" hidden="1" customHeight="1" outlineLevel="1">
      <c r="C73" s="850">
        <v>47</v>
      </c>
      <c r="D73" s="851"/>
      <c r="E73" s="852"/>
      <c r="F73" s="852"/>
      <c r="G73" s="1078"/>
      <c r="H73" s="853"/>
      <c r="I73" s="854"/>
      <c r="L73" s="838">
        <f t="shared" si="0"/>
        <v>0</v>
      </c>
      <c r="M73" s="855">
        <f t="shared" si="0"/>
        <v>0</v>
      </c>
      <c r="N73" s="856"/>
      <c r="O73" s="857">
        <f t="shared" si="1"/>
        <v>0</v>
      </c>
      <c r="P73" s="849">
        <f t="shared" si="2"/>
        <v>0</v>
      </c>
      <c r="AD73" s="832"/>
    </row>
    <row r="74" spans="3:30" ht="30" hidden="1" customHeight="1" outlineLevel="1">
      <c r="C74" s="850">
        <v>48</v>
      </c>
      <c r="D74" s="851"/>
      <c r="E74" s="852"/>
      <c r="F74" s="852"/>
      <c r="G74" s="1078"/>
      <c r="H74" s="853"/>
      <c r="I74" s="854"/>
      <c r="L74" s="838">
        <f t="shared" si="0"/>
        <v>0</v>
      </c>
      <c r="M74" s="855">
        <f t="shared" si="0"/>
        <v>0</v>
      </c>
      <c r="N74" s="856"/>
      <c r="O74" s="857">
        <f t="shared" si="1"/>
        <v>0</v>
      </c>
      <c r="P74" s="849">
        <f t="shared" si="2"/>
        <v>0</v>
      </c>
      <c r="AD74" s="832"/>
    </row>
    <row r="75" spans="3:30" ht="30" hidden="1" customHeight="1" outlineLevel="1">
      <c r="C75" s="850">
        <v>49</v>
      </c>
      <c r="D75" s="851"/>
      <c r="E75" s="852"/>
      <c r="F75" s="852"/>
      <c r="G75" s="1078"/>
      <c r="H75" s="853"/>
      <c r="I75" s="854"/>
      <c r="L75" s="838">
        <f t="shared" si="0"/>
        <v>0</v>
      </c>
      <c r="M75" s="855">
        <f t="shared" si="0"/>
        <v>0</v>
      </c>
      <c r="N75" s="856"/>
      <c r="O75" s="857">
        <f t="shared" si="1"/>
        <v>0</v>
      </c>
      <c r="P75" s="849">
        <f t="shared" si="2"/>
        <v>0</v>
      </c>
      <c r="AD75" s="832"/>
    </row>
    <row r="76" spans="3:30" ht="30" hidden="1" customHeight="1" outlineLevel="1">
      <c r="C76" s="850">
        <v>50</v>
      </c>
      <c r="D76" s="851"/>
      <c r="E76" s="852"/>
      <c r="F76" s="852"/>
      <c r="G76" s="1078"/>
      <c r="H76" s="853"/>
      <c r="I76" s="854"/>
      <c r="L76" s="838">
        <f t="shared" si="0"/>
        <v>0</v>
      </c>
      <c r="M76" s="855">
        <f t="shared" si="0"/>
        <v>0</v>
      </c>
      <c r="N76" s="856"/>
      <c r="O76" s="857">
        <f t="shared" si="1"/>
        <v>0</v>
      </c>
      <c r="P76" s="849">
        <f t="shared" si="2"/>
        <v>0</v>
      </c>
      <c r="AD76" s="832"/>
    </row>
    <row r="77" spans="3:30" ht="30" hidden="1" customHeight="1" outlineLevel="1">
      <c r="C77" s="850">
        <v>51</v>
      </c>
      <c r="D77" s="851"/>
      <c r="E77" s="852"/>
      <c r="F77" s="852"/>
      <c r="G77" s="1078"/>
      <c r="H77" s="853"/>
      <c r="I77" s="854"/>
      <c r="L77" s="838">
        <f t="shared" si="0"/>
        <v>0</v>
      </c>
      <c r="M77" s="855">
        <f t="shared" si="0"/>
        <v>0</v>
      </c>
      <c r="N77" s="856"/>
      <c r="O77" s="857">
        <f t="shared" si="1"/>
        <v>0</v>
      </c>
      <c r="P77" s="849">
        <f t="shared" si="2"/>
        <v>0</v>
      </c>
      <c r="AD77" s="832"/>
    </row>
    <row r="78" spans="3:30" ht="30" hidden="1" customHeight="1" outlineLevel="1">
      <c r="C78" s="850">
        <v>52</v>
      </c>
      <c r="D78" s="851"/>
      <c r="E78" s="852"/>
      <c r="F78" s="852"/>
      <c r="G78" s="1078"/>
      <c r="H78" s="853"/>
      <c r="I78" s="854"/>
      <c r="L78" s="838">
        <f t="shared" si="0"/>
        <v>0</v>
      </c>
      <c r="M78" s="855">
        <f t="shared" si="0"/>
        <v>0</v>
      </c>
      <c r="N78" s="856"/>
      <c r="O78" s="857">
        <f t="shared" si="1"/>
        <v>0</v>
      </c>
      <c r="P78" s="849">
        <f t="shared" si="2"/>
        <v>0</v>
      </c>
      <c r="AD78" s="832"/>
    </row>
    <row r="79" spans="3:30" ht="30" hidden="1" customHeight="1" outlineLevel="1">
      <c r="C79" s="850">
        <v>53</v>
      </c>
      <c r="D79" s="851"/>
      <c r="E79" s="852"/>
      <c r="F79" s="852"/>
      <c r="G79" s="1078"/>
      <c r="H79" s="853"/>
      <c r="I79" s="854"/>
      <c r="L79" s="838">
        <f t="shared" si="0"/>
        <v>0</v>
      </c>
      <c r="M79" s="855">
        <f t="shared" si="0"/>
        <v>0</v>
      </c>
      <c r="N79" s="856"/>
      <c r="O79" s="857">
        <f t="shared" si="1"/>
        <v>0</v>
      </c>
      <c r="P79" s="849">
        <f t="shared" si="2"/>
        <v>0</v>
      </c>
      <c r="AD79" s="832"/>
    </row>
    <row r="80" spans="3:30" ht="30" hidden="1" customHeight="1" outlineLevel="1">
      <c r="C80" s="850">
        <v>54</v>
      </c>
      <c r="D80" s="851"/>
      <c r="E80" s="852"/>
      <c r="F80" s="852"/>
      <c r="G80" s="1078"/>
      <c r="H80" s="853"/>
      <c r="I80" s="854"/>
      <c r="L80" s="838">
        <f t="shared" si="0"/>
        <v>0</v>
      </c>
      <c r="M80" s="855">
        <f t="shared" si="0"/>
        <v>0</v>
      </c>
      <c r="N80" s="856"/>
      <c r="O80" s="857">
        <f t="shared" si="1"/>
        <v>0</v>
      </c>
      <c r="P80" s="849">
        <f t="shared" si="2"/>
        <v>0</v>
      </c>
      <c r="AD80" s="832"/>
    </row>
    <row r="81" spans="3:30" ht="30" hidden="1" customHeight="1" outlineLevel="1">
      <c r="C81" s="850">
        <v>55</v>
      </c>
      <c r="D81" s="851"/>
      <c r="E81" s="852"/>
      <c r="F81" s="852"/>
      <c r="G81" s="1078"/>
      <c r="H81" s="853"/>
      <c r="I81" s="854"/>
      <c r="L81" s="838">
        <f t="shared" si="0"/>
        <v>0</v>
      </c>
      <c r="M81" s="855">
        <f t="shared" si="0"/>
        <v>0</v>
      </c>
      <c r="N81" s="856"/>
      <c r="O81" s="857">
        <f t="shared" si="1"/>
        <v>0</v>
      </c>
      <c r="P81" s="849">
        <f t="shared" si="2"/>
        <v>0</v>
      </c>
      <c r="AD81" s="832"/>
    </row>
    <row r="82" spans="3:30" ht="30" hidden="1" customHeight="1" outlineLevel="1">
      <c r="C82" s="850">
        <v>56</v>
      </c>
      <c r="D82" s="851"/>
      <c r="E82" s="852"/>
      <c r="F82" s="852"/>
      <c r="G82" s="1078"/>
      <c r="H82" s="853"/>
      <c r="I82" s="854"/>
      <c r="L82" s="838">
        <f t="shared" si="0"/>
        <v>0</v>
      </c>
      <c r="M82" s="855">
        <f t="shared" si="0"/>
        <v>0</v>
      </c>
      <c r="N82" s="856"/>
      <c r="O82" s="857">
        <f t="shared" si="1"/>
        <v>0</v>
      </c>
      <c r="P82" s="849">
        <f t="shared" si="2"/>
        <v>0</v>
      </c>
      <c r="AD82" s="832"/>
    </row>
    <row r="83" spans="3:30" ht="30" hidden="1" customHeight="1" outlineLevel="1">
      <c r="C83" s="850">
        <v>57</v>
      </c>
      <c r="D83" s="851"/>
      <c r="E83" s="852"/>
      <c r="F83" s="852"/>
      <c r="G83" s="1078"/>
      <c r="H83" s="853"/>
      <c r="I83" s="854"/>
      <c r="L83" s="838">
        <f t="shared" si="0"/>
        <v>0</v>
      </c>
      <c r="M83" s="855">
        <f t="shared" si="0"/>
        <v>0</v>
      </c>
      <c r="N83" s="856"/>
      <c r="O83" s="857">
        <f t="shared" si="1"/>
        <v>0</v>
      </c>
      <c r="P83" s="849">
        <f t="shared" si="2"/>
        <v>0</v>
      </c>
      <c r="AD83" s="832"/>
    </row>
    <row r="84" spans="3:30" ht="30" hidden="1" customHeight="1" outlineLevel="1">
      <c r="C84" s="850">
        <v>58</v>
      </c>
      <c r="D84" s="851"/>
      <c r="E84" s="852"/>
      <c r="F84" s="852"/>
      <c r="G84" s="1078"/>
      <c r="H84" s="853"/>
      <c r="I84" s="854"/>
      <c r="L84" s="838">
        <f t="shared" si="0"/>
        <v>0</v>
      </c>
      <c r="M84" s="855">
        <f t="shared" si="0"/>
        <v>0</v>
      </c>
      <c r="N84" s="856"/>
      <c r="O84" s="857">
        <f t="shared" si="1"/>
        <v>0</v>
      </c>
      <c r="P84" s="849">
        <f t="shared" si="2"/>
        <v>0</v>
      </c>
      <c r="AD84" s="832"/>
    </row>
    <row r="85" spans="3:30" ht="30" hidden="1" customHeight="1" outlineLevel="1">
      <c r="C85" s="850">
        <v>59</v>
      </c>
      <c r="D85" s="851"/>
      <c r="E85" s="852"/>
      <c r="F85" s="852"/>
      <c r="G85" s="1078"/>
      <c r="H85" s="853"/>
      <c r="I85" s="854"/>
      <c r="L85" s="838">
        <f t="shared" si="0"/>
        <v>0</v>
      </c>
      <c r="M85" s="855">
        <f t="shared" si="0"/>
        <v>0</v>
      </c>
      <c r="N85" s="856"/>
      <c r="O85" s="857">
        <f t="shared" si="1"/>
        <v>0</v>
      </c>
      <c r="P85" s="849">
        <f t="shared" si="2"/>
        <v>0</v>
      </c>
      <c r="AD85" s="832"/>
    </row>
    <row r="86" spans="3:30" ht="30" hidden="1" customHeight="1" outlineLevel="1">
      <c r="C86" s="850">
        <v>60</v>
      </c>
      <c r="D86" s="851"/>
      <c r="E86" s="852"/>
      <c r="F86" s="852"/>
      <c r="G86" s="1078"/>
      <c r="H86" s="853"/>
      <c r="I86" s="854"/>
      <c r="L86" s="838">
        <f t="shared" si="0"/>
        <v>0</v>
      </c>
      <c r="M86" s="855">
        <f t="shared" si="0"/>
        <v>0</v>
      </c>
      <c r="N86" s="856"/>
      <c r="O86" s="857">
        <f t="shared" si="1"/>
        <v>0</v>
      </c>
      <c r="P86" s="849">
        <f t="shared" si="2"/>
        <v>0</v>
      </c>
      <c r="AD86" s="832"/>
    </row>
    <row r="87" spans="3:30" ht="30" hidden="1" customHeight="1" outlineLevel="1">
      <c r="C87" s="850">
        <v>61</v>
      </c>
      <c r="D87" s="851"/>
      <c r="E87" s="852"/>
      <c r="F87" s="852"/>
      <c r="G87" s="1078"/>
      <c r="H87" s="853"/>
      <c r="I87" s="854"/>
      <c r="L87" s="838">
        <f t="shared" si="0"/>
        <v>0</v>
      </c>
      <c r="M87" s="855">
        <f t="shared" si="0"/>
        <v>0</v>
      </c>
      <c r="N87" s="856"/>
      <c r="O87" s="857">
        <f t="shared" si="1"/>
        <v>0</v>
      </c>
      <c r="P87" s="849">
        <f t="shared" si="2"/>
        <v>0</v>
      </c>
      <c r="AD87" s="832"/>
    </row>
    <row r="88" spans="3:30" ht="30" hidden="1" customHeight="1" outlineLevel="1">
      <c r="C88" s="850">
        <v>62</v>
      </c>
      <c r="D88" s="851"/>
      <c r="E88" s="852"/>
      <c r="F88" s="852"/>
      <c r="G88" s="1078"/>
      <c r="H88" s="853"/>
      <c r="I88" s="854"/>
      <c r="L88" s="838">
        <f t="shared" si="0"/>
        <v>0</v>
      </c>
      <c r="M88" s="855">
        <f t="shared" si="0"/>
        <v>0</v>
      </c>
      <c r="N88" s="856"/>
      <c r="O88" s="857">
        <f t="shared" si="1"/>
        <v>0</v>
      </c>
      <c r="P88" s="849">
        <f t="shared" si="2"/>
        <v>0</v>
      </c>
      <c r="AD88" s="832"/>
    </row>
    <row r="89" spans="3:30" ht="30" hidden="1" customHeight="1" outlineLevel="1">
      <c r="C89" s="850">
        <v>63</v>
      </c>
      <c r="D89" s="851"/>
      <c r="E89" s="852"/>
      <c r="F89" s="852"/>
      <c r="G89" s="1078"/>
      <c r="H89" s="853"/>
      <c r="I89" s="854"/>
      <c r="L89" s="838">
        <f t="shared" si="0"/>
        <v>0</v>
      </c>
      <c r="M89" s="855">
        <f t="shared" si="0"/>
        <v>0</v>
      </c>
      <c r="N89" s="856"/>
      <c r="O89" s="857">
        <f t="shared" si="1"/>
        <v>0</v>
      </c>
      <c r="P89" s="849">
        <f t="shared" si="2"/>
        <v>0</v>
      </c>
      <c r="AD89" s="832"/>
    </row>
    <row r="90" spans="3:30" ht="30" hidden="1" customHeight="1" outlineLevel="1">
      <c r="C90" s="850">
        <v>64</v>
      </c>
      <c r="D90" s="851"/>
      <c r="E90" s="852"/>
      <c r="F90" s="852"/>
      <c r="G90" s="1078"/>
      <c r="H90" s="853"/>
      <c r="I90" s="854"/>
      <c r="L90" s="838">
        <f t="shared" si="0"/>
        <v>0</v>
      </c>
      <c r="M90" s="855">
        <f t="shared" si="0"/>
        <v>0</v>
      </c>
      <c r="N90" s="856"/>
      <c r="O90" s="857">
        <f t="shared" si="1"/>
        <v>0</v>
      </c>
      <c r="P90" s="849">
        <f t="shared" si="2"/>
        <v>0</v>
      </c>
      <c r="AD90" s="832"/>
    </row>
    <row r="91" spans="3:30" ht="30" hidden="1" customHeight="1" outlineLevel="1">
      <c r="C91" s="850">
        <v>65</v>
      </c>
      <c r="D91" s="851"/>
      <c r="E91" s="852"/>
      <c r="F91" s="852"/>
      <c r="G91" s="1078"/>
      <c r="H91" s="853"/>
      <c r="I91" s="854"/>
      <c r="L91" s="838">
        <f t="shared" si="0"/>
        <v>0</v>
      </c>
      <c r="M91" s="855">
        <f t="shared" si="0"/>
        <v>0</v>
      </c>
      <c r="N91" s="856"/>
      <c r="O91" s="857">
        <f t="shared" si="1"/>
        <v>0</v>
      </c>
      <c r="P91" s="849">
        <f t="shared" si="2"/>
        <v>0</v>
      </c>
      <c r="AD91" s="832"/>
    </row>
    <row r="92" spans="3:30" ht="30" hidden="1" customHeight="1" outlineLevel="1">
      <c r="C92" s="850">
        <v>66</v>
      </c>
      <c r="D92" s="851"/>
      <c r="E92" s="852"/>
      <c r="F92" s="852"/>
      <c r="G92" s="1078"/>
      <c r="H92" s="853"/>
      <c r="I92" s="854"/>
      <c r="L92" s="838">
        <f t="shared" si="0"/>
        <v>0</v>
      </c>
      <c r="M92" s="855">
        <f t="shared" si="0"/>
        <v>0</v>
      </c>
      <c r="N92" s="856"/>
      <c r="O92" s="857">
        <f t="shared" si="1"/>
        <v>0</v>
      </c>
      <c r="P92" s="849">
        <f t="shared" ref="P92:P155" si="3">ROUND(O92*G92%,)</f>
        <v>0</v>
      </c>
      <c r="AD92" s="832"/>
    </row>
    <row r="93" spans="3:30" ht="30" hidden="1" customHeight="1" outlineLevel="1">
      <c r="C93" s="850">
        <v>67</v>
      </c>
      <c r="D93" s="851"/>
      <c r="E93" s="852"/>
      <c r="F93" s="852"/>
      <c r="G93" s="1078"/>
      <c r="H93" s="853"/>
      <c r="I93" s="854"/>
      <c r="L93" s="838">
        <f t="shared" si="0"/>
        <v>0</v>
      </c>
      <c r="M93" s="855">
        <f t="shared" si="0"/>
        <v>0</v>
      </c>
      <c r="N93" s="856"/>
      <c r="O93" s="857">
        <f t="shared" si="1"/>
        <v>0</v>
      </c>
      <c r="P93" s="849">
        <f t="shared" si="3"/>
        <v>0</v>
      </c>
      <c r="AD93" s="832"/>
    </row>
    <row r="94" spans="3:30" ht="30" hidden="1" customHeight="1" outlineLevel="1">
      <c r="C94" s="850">
        <v>68</v>
      </c>
      <c r="D94" s="851"/>
      <c r="E94" s="852"/>
      <c r="F94" s="852"/>
      <c r="G94" s="1078"/>
      <c r="H94" s="853"/>
      <c r="I94" s="854"/>
      <c r="L94" s="838">
        <f t="shared" si="0"/>
        <v>0</v>
      </c>
      <c r="M94" s="855">
        <f t="shared" si="0"/>
        <v>0</v>
      </c>
      <c r="N94" s="856"/>
      <c r="O94" s="857">
        <f t="shared" si="1"/>
        <v>0</v>
      </c>
      <c r="P94" s="849">
        <f t="shared" si="3"/>
        <v>0</v>
      </c>
      <c r="AD94" s="832"/>
    </row>
    <row r="95" spans="3:30" ht="30" hidden="1" customHeight="1" outlineLevel="1">
      <c r="C95" s="850">
        <v>69</v>
      </c>
      <c r="D95" s="851"/>
      <c r="E95" s="852"/>
      <c r="F95" s="852"/>
      <c r="G95" s="1078"/>
      <c r="H95" s="853"/>
      <c r="I95" s="854"/>
      <c r="L95" s="838">
        <f t="shared" si="0"/>
        <v>0</v>
      </c>
      <c r="M95" s="855">
        <f t="shared" si="0"/>
        <v>0</v>
      </c>
      <c r="N95" s="856"/>
      <c r="O95" s="857">
        <f t="shared" si="1"/>
        <v>0</v>
      </c>
      <c r="P95" s="849">
        <f t="shared" si="3"/>
        <v>0</v>
      </c>
      <c r="AD95" s="832"/>
    </row>
    <row r="96" spans="3:30" ht="30" hidden="1" customHeight="1" outlineLevel="1">
      <c r="C96" s="850">
        <v>70</v>
      </c>
      <c r="D96" s="851"/>
      <c r="E96" s="852"/>
      <c r="F96" s="852"/>
      <c r="G96" s="1078"/>
      <c r="H96" s="853"/>
      <c r="I96" s="854"/>
      <c r="L96" s="838">
        <f t="shared" si="0"/>
        <v>0</v>
      </c>
      <c r="M96" s="855">
        <f t="shared" si="0"/>
        <v>0</v>
      </c>
      <c r="N96" s="856"/>
      <c r="O96" s="857">
        <f t="shared" si="1"/>
        <v>0</v>
      </c>
      <c r="P96" s="849">
        <f t="shared" si="3"/>
        <v>0</v>
      </c>
      <c r="AD96" s="832"/>
    </row>
    <row r="97" spans="3:30" ht="30" hidden="1" customHeight="1" outlineLevel="1">
      <c r="C97" s="850">
        <v>71</v>
      </c>
      <c r="D97" s="851"/>
      <c r="E97" s="852"/>
      <c r="F97" s="852"/>
      <c r="G97" s="1078"/>
      <c r="H97" s="853"/>
      <c r="I97" s="854"/>
      <c r="L97" s="838">
        <f t="shared" si="0"/>
        <v>0</v>
      </c>
      <c r="M97" s="855">
        <f t="shared" si="0"/>
        <v>0</v>
      </c>
      <c r="N97" s="856"/>
      <c r="O97" s="857">
        <f t="shared" si="1"/>
        <v>0</v>
      </c>
      <c r="P97" s="849">
        <f t="shared" si="3"/>
        <v>0</v>
      </c>
      <c r="AD97" s="832"/>
    </row>
    <row r="98" spans="3:30" ht="30" hidden="1" customHeight="1" outlineLevel="1">
      <c r="C98" s="850">
        <v>72</v>
      </c>
      <c r="D98" s="851"/>
      <c r="E98" s="852"/>
      <c r="F98" s="852"/>
      <c r="G98" s="1078"/>
      <c r="H98" s="853"/>
      <c r="I98" s="854"/>
      <c r="L98" s="838">
        <f t="shared" si="0"/>
        <v>0</v>
      </c>
      <c r="M98" s="855">
        <f t="shared" si="0"/>
        <v>0</v>
      </c>
      <c r="N98" s="856"/>
      <c r="O98" s="857">
        <f t="shared" si="1"/>
        <v>0</v>
      </c>
      <c r="P98" s="849">
        <f t="shared" si="3"/>
        <v>0</v>
      </c>
      <c r="AD98" s="832"/>
    </row>
    <row r="99" spans="3:30" ht="30" hidden="1" customHeight="1" outlineLevel="1">
      <c r="C99" s="850">
        <v>73</v>
      </c>
      <c r="D99" s="851"/>
      <c r="E99" s="852"/>
      <c r="F99" s="852"/>
      <c r="G99" s="1078"/>
      <c r="H99" s="853"/>
      <c r="I99" s="854"/>
      <c r="L99" s="838">
        <f t="shared" si="0"/>
        <v>0</v>
      </c>
      <c r="M99" s="855">
        <f t="shared" si="0"/>
        <v>0</v>
      </c>
      <c r="N99" s="856"/>
      <c r="O99" s="857">
        <f t="shared" si="1"/>
        <v>0</v>
      </c>
      <c r="P99" s="849">
        <f t="shared" si="3"/>
        <v>0</v>
      </c>
      <c r="AD99" s="832"/>
    </row>
    <row r="100" spans="3:30" ht="30" hidden="1" customHeight="1" outlineLevel="1">
      <c r="C100" s="850">
        <v>74</v>
      </c>
      <c r="D100" s="851"/>
      <c r="E100" s="852"/>
      <c r="F100" s="852"/>
      <c r="G100" s="1078"/>
      <c r="H100" s="853"/>
      <c r="I100" s="854"/>
      <c r="L100" s="838">
        <f t="shared" si="0"/>
        <v>0</v>
      </c>
      <c r="M100" s="855">
        <f t="shared" si="0"/>
        <v>0</v>
      </c>
      <c r="N100" s="856"/>
      <c r="O100" s="857">
        <f t="shared" si="1"/>
        <v>0</v>
      </c>
      <c r="P100" s="849">
        <f t="shared" si="3"/>
        <v>0</v>
      </c>
      <c r="AD100" s="832"/>
    </row>
    <row r="101" spans="3:30" ht="30" hidden="1" customHeight="1" outlineLevel="1">
      <c r="C101" s="850">
        <v>75</v>
      </c>
      <c r="D101" s="851"/>
      <c r="E101" s="852"/>
      <c r="F101" s="852"/>
      <c r="G101" s="1078"/>
      <c r="H101" s="853"/>
      <c r="I101" s="854"/>
      <c r="L101" s="838">
        <f t="shared" si="0"/>
        <v>0</v>
      </c>
      <c r="M101" s="855">
        <f t="shared" si="0"/>
        <v>0</v>
      </c>
      <c r="N101" s="856"/>
      <c r="O101" s="857">
        <f t="shared" si="1"/>
        <v>0</v>
      </c>
      <c r="P101" s="849">
        <f t="shared" si="3"/>
        <v>0</v>
      </c>
      <c r="AD101" s="832"/>
    </row>
    <row r="102" spans="3:30" ht="30" hidden="1" customHeight="1" outlineLevel="1">
      <c r="C102" s="850">
        <v>76</v>
      </c>
      <c r="D102" s="851"/>
      <c r="E102" s="852"/>
      <c r="F102" s="852"/>
      <c r="G102" s="1078"/>
      <c r="H102" s="853"/>
      <c r="I102" s="854"/>
      <c r="L102" s="838">
        <f t="shared" si="0"/>
        <v>0</v>
      </c>
      <c r="M102" s="855">
        <f t="shared" si="0"/>
        <v>0</v>
      </c>
      <c r="N102" s="856"/>
      <c r="O102" s="857">
        <f t="shared" si="1"/>
        <v>0</v>
      </c>
      <c r="P102" s="849">
        <f t="shared" si="3"/>
        <v>0</v>
      </c>
      <c r="AD102" s="832"/>
    </row>
    <row r="103" spans="3:30" ht="30" hidden="1" customHeight="1" outlineLevel="1">
      <c r="C103" s="850">
        <v>77</v>
      </c>
      <c r="D103" s="851"/>
      <c r="E103" s="852"/>
      <c r="F103" s="852"/>
      <c r="G103" s="1078"/>
      <c r="H103" s="853"/>
      <c r="I103" s="854"/>
      <c r="L103" s="838">
        <f t="shared" si="0"/>
        <v>0</v>
      </c>
      <c r="M103" s="855">
        <f t="shared" si="0"/>
        <v>0</v>
      </c>
      <c r="N103" s="856"/>
      <c r="O103" s="857">
        <f t="shared" si="1"/>
        <v>0</v>
      </c>
      <c r="P103" s="849">
        <f t="shared" si="3"/>
        <v>0</v>
      </c>
      <c r="AD103" s="832"/>
    </row>
    <row r="104" spans="3:30" ht="30" hidden="1" customHeight="1" outlineLevel="1">
      <c r="C104" s="850">
        <v>78</v>
      </c>
      <c r="D104" s="851"/>
      <c r="E104" s="852"/>
      <c r="F104" s="852"/>
      <c r="G104" s="1078"/>
      <c r="H104" s="853"/>
      <c r="I104" s="854"/>
      <c r="L104" s="838">
        <f t="shared" si="0"/>
        <v>0</v>
      </c>
      <c r="M104" s="855">
        <f t="shared" si="0"/>
        <v>0</v>
      </c>
      <c r="N104" s="856"/>
      <c r="O104" s="857">
        <f t="shared" si="1"/>
        <v>0</v>
      </c>
      <c r="P104" s="849">
        <f t="shared" si="3"/>
        <v>0</v>
      </c>
      <c r="AD104" s="832"/>
    </row>
    <row r="105" spans="3:30" ht="30" hidden="1" customHeight="1" outlineLevel="1">
      <c r="C105" s="850">
        <v>79</v>
      </c>
      <c r="D105" s="851"/>
      <c r="E105" s="852"/>
      <c r="F105" s="852"/>
      <c r="G105" s="1078"/>
      <c r="H105" s="853"/>
      <c r="I105" s="854"/>
      <c r="L105" s="838">
        <f t="shared" si="0"/>
        <v>0</v>
      </c>
      <c r="M105" s="855">
        <f t="shared" si="0"/>
        <v>0</v>
      </c>
      <c r="N105" s="856"/>
      <c r="O105" s="857">
        <f t="shared" si="1"/>
        <v>0</v>
      </c>
      <c r="P105" s="849">
        <f t="shared" si="3"/>
        <v>0</v>
      </c>
      <c r="AD105" s="832"/>
    </row>
    <row r="106" spans="3:30" ht="30" hidden="1" customHeight="1" outlineLevel="1">
      <c r="C106" s="850">
        <v>80</v>
      </c>
      <c r="D106" s="851"/>
      <c r="E106" s="852"/>
      <c r="F106" s="852"/>
      <c r="G106" s="1078"/>
      <c r="H106" s="853"/>
      <c r="I106" s="854"/>
      <c r="L106" s="838">
        <f t="shared" si="0"/>
        <v>0</v>
      </c>
      <c r="M106" s="855">
        <f t="shared" si="0"/>
        <v>0</v>
      </c>
      <c r="N106" s="856"/>
      <c r="O106" s="857">
        <f t="shared" si="1"/>
        <v>0</v>
      </c>
      <c r="P106" s="849">
        <f t="shared" si="3"/>
        <v>0</v>
      </c>
      <c r="AD106" s="832"/>
    </row>
    <row r="107" spans="3:30" ht="30" hidden="1" customHeight="1" outlineLevel="1">
      <c r="C107" s="850">
        <v>81</v>
      </c>
      <c r="D107" s="851"/>
      <c r="E107" s="852"/>
      <c r="F107" s="852"/>
      <c r="G107" s="1078"/>
      <c r="H107" s="853"/>
      <c r="I107" s="854"/>
      <c r="L107" s="838">
        <f t="shared" si="0"/>
        <v>0</v>
      </c>
      <c r="M107" s="855">
        <f t="shared" si="0"/>
        <v>0</v>
      </c>
      <c r="N107" s="856"/>
      <c r="O107" s="857">
        <f t="shared" si="1"/>
        <v>0</v>
      </c>
      <c r="P107" s="849">
        <f t="shared" si="3"/>
        <v>0</v>
      </c>
      <c r="AD107" s="832"/>
    </row>
    <row r="108" spans="3:30" ht="30" hidden="1" customHeight="1" outlineLevel="1">
      <c r="C108" s="850">
        <v>82</v>
      </c>
      <c r="D108" s="851"/>
      <c r="E108" s="852"/>
      <c r="F108" s="852"/>
      <c r="G108" s="1078"/>
      <c r="H108" s="853"/>
      <c r="I108" s="854"/>
      <c r="L108" s="838">
        <f t="shared" si="0"/>
        <v>0</v>
      </c>
      <c r="M108" s="855">
        <f t="shared" si="0"/>
        <v>0</v>
      </c>
      <c r="N108" s="856"/>
      <c r="O108" s="857">
        <f t="shared" si="1"/>
        <v>0</v>
      </c>
      <c r="P108" s="849">
        <f t="shared" si="3"/>
        <v>0</v>
      </c>
      <c r="AD108" s="832"/>
    </row>
    <row r="109" spans="3:30" ht="30" hidden="1" customHeight="1" outlineLevel="1">
      <c r="C109" s="850">
        <v>83</v>
      </c>
      <c r="D109" s="851"/>
      <c r="E109" s="852"/>
      <c r="F109" s="852"/>
      <c r="G109" s="1078"/>
      <c r="H109" s="853"/>
      <c r="I109" s="854"/>
      <c r="L109" s="838">
        <f t="shared" si="0"/>
        <v>0</v>
      </c>
      <c r="M109" s="855">
        <f t="shared" si="0"/>
        <v>0</v>
      </c>
      <c r="N109" s="856"/>
      <c r="O109" s="857">
        <f t="shared" si="1"/>
        <v>0</v>
      </c>
      <c r="P109" s="849">
        <f t="shared" si="3"/>
        <v>0</v>
      </c>
      <c r="AD109" s="832"/>
    </row>
    <row r="110" spans="3:30" ht="30" hidden="1" customHeight="1" outlineLevel="1">
      <c r="C110" s="850">
        <v>84</v>
      </c>
      <c r="D110" s="851"/>
      <c r="E110" s="852"/>
      <c r="F110" s="852"/>
      <c r="G110" s="1078"/>
      <c r="H110" s="853"/>
      <c r="I110" s="854"/>
      <c r="L110" s="838">
        <f t="shared" si="0"/>
        <v>0</v>
      </c>
      <c r="M110" s="855">
        <f t="shared" si="0"/>
        <v>0</v>
      </c>
      <c r="N110" s="856"/>
      <c r="O110" s="857">
        <f t="shared" si="1"/>
        <v>0</v>
      </c>
      <c r="P110" s="849">
        <f t="shared" si="3"/>
        <v>0</v>
      </c>
      <c r="AD110" s="832"/>
    </row>
    <row r="111" spans="3:30" ht="30" hidden="1" customHeight="1" outlineLevel="1">
      <c r="C111" s="850">
        <v>85</v>
      </c>
      <c r="D111" s="851"/>
      <c r="E111" s="852"/>
      <c r="F111" s="852"/>
      <c r="G111" s="1078"/>
      <c r="H111" s="853"/>
      <c r="I111" s="854"/>
      <c r="L111" s="838">
        <f t="shared" si="0"/>
        <v>0</v>
      </c>
      <c r="M111" s="855">
        <f t="shared" si="0"/>
        <v>0</v>
      </c>
      <c r="N111" s="856"/>
      <c r="O111" s="857">
        <f t="shared" si="1"/>
        <v>0</v>
      </c>
      <c r="P111" s="849">
        <f t="shared" si="3"/>
        <v>0</v>
      </c>
      <c r="AD111" s="832"/>
    </row>
    <row r="112" spans="3:30" ht="30" hidden="1" customHeight="1" outlineLevel="1">
      <c r="C112" s="850">
        <v>86</v>
      </c>
      <c r="D112" s="851"/>
      <c r="E112" s="852"/>
      <c r="F112" s="852"/>
      <c r="G112" s="1078"/>
      <c r="H112" s="853"/>
      <c r="I112" s="854"/>
      <c r="L112" s="838">
        <f t="shared" si="0"/>
        <v>0</v>
      </c>
      <c r="M112" s="855">
        <f t="shared" si="0"/>
        <v>0</v>
      </c>
      <c r="N112" s="856"/>
      <c r="O112" s="857">
        <f t="shared" si="1"/>
        <v>0</v>
      </c>
      <c r="P112" s="849">
        <f t="shared" si="3"/>
        <v>0</v>
      </c>
      <c r="AD112" s="832"/>
    </row>
    <row r="113" spans="3:30" ht="30" hidden="1" customHeight="1" outlineLevel="1">
      <c r="C113" s="850">
        <v>87</v>
      </c>
      <c r="D113" s="851"/>
      <c r="E113" s="852"/>
      <c r="F113" s="852"/>
      <c r="G113" s="1078"/>
      <c r="H113" s="853"/>
      <c r="I113" s="854"/>
      <c r="L113" s="838">
        <f t="shared" si="0"/>
        <v>0</v>
      </c>
      <c r="M113" s="855">
        <f t="shared" si="0"/>
        <v>0</v>
      </c>
      <c r="N113" s="856"/>
      <c r="O113" s="857">
        <f t="shared" si="1"/>
        <v>0</v>
      </c>
      <c r="P113" s="849">
        <f t="shared" si="3"/>
        <v>0</v>
      </c>
      <c r="AD113" s="832"/>
    </row>
    <row r="114" spans="3:30" ht="30" hidden="1" customHeight="1" outlineLevel="1">
      <c r="C114" s="850">
        <v>88</v>
      </c>
      <c r="D114" s="851"/>
      <c r="E114" s="852"/>
      <c r="F114" s="852"/>
      <c r="G114" s="1078"/>
      <c r="H114" s="853"/>
      <c r="I114" s="854"/>
      <c r="L114" s="838">
        <f t="shared" si="0"/>
        <v>0</v>
      </c>
      <c r="M114" s="855">
        <f t="shared" si="0"/>
        <v>0</v>
      </c>
      <c r="N114" s="856"/>
      <c r="O114" s="857">
        <f t="shared" si="1"/>
        <v>0</v>
      </c>
      <c r="P114" s="849">
        <f t="shared" si="3"/>
        <v>0</v>
      </c>
      <c r="AD114" s="832"/>
    </row>
    <row r="115" spans="3:30" ht="30" hidden="1" customHeight="1" outlineLevel="1">
      <c r="C115" s="850">
        <v>89</v>
      </c>
      <c r="D115" s="851"/>
      <c r="E115" s="852"/>
      <c r="F115" s="852"/>
      <c r="G115" s="1078"/>
      <c r="H115" s="853"/>
      <c r="I115" s="854"/>
      <c r="L115" s="838">
        <f t="shared" si="0"/>
        <v>0</v>
      </c>
      <c r="M115" s="855">
        <f t="shared" si="0"/>
        <v>0</v>
      </c>
      <c r="N115" s="856"/>
      <c r="O115" s="857">
        <f t="shared" si="1"/>
        <v>0</v>
      </c>
      <c r="P115" s="849">
        <f t="shared" si="3"/>
        <v>0</v>
      </c>
      <c r="AD115" s="832"/>
    </row>
    <row r="116" spans="3:30" ht="30" hidden="1" customHeight="1" outlineLevel="1">
      <c r="C116" s="850">
        <v>90</v>
      </c>
      <c r="D116" s="851"/>
      <c r="E116" s="852"/>
      <c r="F116" s="852"/>
      <c r="G116" s="1078"/>
      <c r="H116" s="853"/>
      <c r="I116" s="854"/>
      <c r="L116" s="838">
        <f t="shared" si="0"/>
        <v>0</v>
      </c>
      <c r="M116" s="855">
        <f t="shared" si="0"/>
        <v>0</v>
      </c>
      <c r="N116" s="856"/>
      <c r="O116" s="857">
        <f t="shared" si="1"/>
        <v>0</v>
      </c>
      <c r="P116" s="849">
        <f t="shared" si="3"/>
        <v>0</v>
      </c>
      <c r="AD116" s="832"/>
    </row>
    <row r="117" spans="3:30" ht="30" hidden="1" customHeight="1" outlineLevel="1">
      <c r="C117" s="850">
        <v>91</v>
      </c>
      <c r="D117" s="851"/>
      <c r="E117" s="852"/>
      <c r="F117" s="852"/>
      <c r="G117" s="1078"/>
      <c r="H117" s="853"/>
      <c r="I117" s="854"/>
      <c r="L117" s="838">
        <f t="shared" si="0"/>
        <v>0</v>
      </c>
      <c r="M117" s="855">
        <f t="shared" si="0"/>
        <v>0</v>
      </c>
      <c r="N117" s="856"/>
      <c r="O117" s="857">
        <f t="shared" si="1"/>
        <v>0</v>
      </c>
      <c r="P117" s="849">
        <f t="shared" si="3"/>
        <v>0</v>
      </c>
      <c r="AD117" s="832"/>
    </row>
    <row r="118" spans="3:30" ht="30" hidden="1" customHeight="1" outlineLevel="1">
      <c r="C118" s="850">
        <v>92</v>
      </c>
      <c r="D118" s="851"/>
      <c r="E118" s="852"/>
      <c r="F118" s="852"/>
      <c r="G118" s="1078"/>
      <c r="H118" s="853"/>
      <c r="I118" s="854"/>
      <c r="L118" s="838">
        <f t="shared" si="0"/>
        <v>0</v>
      </c>
      <c r="M118" s="855">
        <f t="shared" si="0"/>
        <v>0</v>
      </c>
      <c r="N118" s="856"/>
      <c r="O118" s="857">
        <f t="shared" si="1"/>
        <v>0</v>
      </c>
      <c r="P118" s="849">
        <f t="shared" si="3"/>
        <v>0</v>
      </c>
      <c r="AD118" s="832"/>
    </row>
    <row r="119" spans="3:30" ht="30" hidden="1" customHeight="1" outlineLevel="1">
      <c r="C119" s="850">
        <v>93</v>
      </c>
      <c r="D119" s="851"/>
      <c r="E119" s="852"/>
      <c r="F119" s="852"/>
      <c r="G119" s="1078"/>
      <c r="H119" s="853"/>
      <c r="I119" s="854"/>
      <c r="L119" s="838">
        <f t="shared" si="0"/>
        <v>0</v>
      </c>
      <c r="M119" s="855">
        <f t="shared" si="0"/>
        <v>0</v>
      </c>
      <c r="N119" s="856"/>
      <c r="O119" s="857">
        <f t="shared" si="1"/>
        <v>0</v>
      </c>
      <c r="P119" s="849">
        <f t="shared" si="3"/>
        <v>0</v>
      </c>
      <c r="AD119" s="832"/>
    </row>
    <row r="120" spans="3:30" ht="30" hidden="1" customHeight="1" outlineLevel="1">
      <c r="C120" s="850">
        <v>94</v>
      </c>
      <c r="D120" s="851"/>
      <c r="E120" s="852"/>
      <c r="F120" s="852"/>
      <c r="G120" s="1078"/>
      <c r="H120" s="853"/>
      <c r="I120" s="854"/>
      <c r="L120" s="838">
        <f t="shared" si="0"/>
        <v>0</v>
      </c>
      <c r="M120" s="855">
        <f t="shared" si="0"/>
        <v>0</v>
      </c>
      <c r="N120" s="856"/>
      <c r="O120" s="857">
        <f t="shared" si="1"/>
        <v>0</v>
      </c>
      <c r="P120" s="849">
        <f t="shared" si="3"/>
        <v>0</v>
      </c>
      <c r="AD120" s="832"/>
    </row>
    <row r="121" spans="3:30" ht="30" hidden="1" customHeight="1" outlineLevel="1">
      <c r="C121" s="850">
        <v>95</v>
      </c>
      <c r="D121" s="851"/>
      <c r="E121" s="852"/>
      <c r="F121" s="852"/>
      <c r="G121" s="1078"/>
      <c r="H121" s="853"/>
      <c r="I121" s="854"/>
      <c r="L121" s="838">
        <f t="shared" si="0"/>
        <v>0</v>
      </c>
      <c r="M121" s="855">
        <f t="shared" si="0"/>
        <v>0</v>
      </c>
      <c r="N121" s="856"/>
      <c r="O121" s="857">
        <f t="shared" si="1"/>
        <v>0</v>
      </c>
      <c r="P121" s="849">
        <f t="shared" si="3"/>
        <v>0</v>
      </c>
      <c r="AD121" s="832"/>
    </row>
    <row r="122" spans="3:30" ht="30" hidden="1" customHeight="1" outlineLevel="1">
      <c r="C122" s="850">
        <v>96</v>
      </c>
      <c r="D122" s="851"/>
      <c r="E122" s="852"/>
      <c r="F122" s="852"/>
      <c r="G122" s="1078"/>
      <c r="H122" s="853"/>
      <c r="I122" s="854"/>
      <c r="L122" s="838">
        <f t="shared" si="0"/>
        <v>0</v>
      </c>
      <c r="M122" s="855">
        <f t="shared" si="0"/>
        <v>0</v>
      </c>
      <c r="N122" s="856"/>
      <c r="O122" s="857">
        <f t="shared" si="1"/>
        <v>0</v>
      </c>
      <c r="P122" s="849">
        <f t="shared" si="3"/>
        <v>0</v>
      </c>
      <c r="AD122" s="832"/>
    </row>
    <row r="123" spans="3:30" ht="30" hidden="1" customHeight="1" outlineLevel="1">
      <c r="C123" s="850">
        <v>97</v>
      </c>
      <c r="D123" s="851"/>
      <c r="E123" s="852"/>
      <c r="F123" s="852"/>
      <c r="G123" s="1078"/>
      <c r="H123" s="853"/>
      <c r="I123" s="854"/>
      <c r="L123" s="838">
        <f t="shared" si="0"/>
        <v>0</v>
      </c>
      <c r="M123" s="855">
        <f t="shared" si="0"/>
        <v>0</v>
      </c>
      <c r="N123" s="856"/>
      <c r="O123" s="857">
        <f t="shared" si="1"/>
        <v>0</v>
      </c>
      <c r="P123" s="849">
        <f t="shared" si="3"/>
        <v>0</v>
      </c>
      <c r="AD123" s="832"/>
    </row>
    <row r="124" spans="3:30" ht="30" hidden="1" customHeight="1" outlineLevel="1">
      <c r="C124" s="850">
        <v>98</v>
      </c>
      <c r="D124" s="851"/>
      <c r="E124" s="852"/>
      <c r="F124" s="852"/>
      <c r="G124" s="1078"/>
      <c r="H124" s="853"/>
      <c r="I124" s="854"/>
      <c r="L124" s="838">
        <f t="shared" si="0"/>
        <v>0</v>
      </c>
      <c r="M124" s="855">
        <f t="shared" si="0"/>
        <v>0</v>
      </c>
      <c r="N124" s="856"/>
      <c r="O124" s="857">
        <f t="shared" si="1"/>
        <v>0</v>
      </c>
      <c r="P124" s="849">
        <f t="shared" si="3"/>
        <v>0</v>
      </c>
      <c r="AD124" s="832"/>
    </row>
    <row r="125" spans="3:30" ht="30" hidden="1" customHeight="1" outlineLevel="1">
      <c r="C125" s="850">
        <v>99</v>
      </c>
      <c r="D125" s="851"/>
      <c r="E125" s="852"/>
      <c r="F125" s="852"/>
      <c r="G125" s="1078"/>
      <c r="H125" s="853"/>
      <c r="I125" s="854"/>
      <c r="L125" s="838">
        <f t="shared" si="0"/>
        <v>0</v>
      </c>
      <c r="M125" s="855">
        <f t="shared" si="0"/>
        <v>0</v>
      </c>
      <c r="N125" s="856"/>
      <c r="O125" s="857">
        <f t="shared" si="1"/>
        <v>0</v>
      </c>
      <c r="P125" s="849">
        <f t="shared" si="3"/>
        <v>0</v>
      </c>
      <c r="AD125" s="832"/>
    </row>
    <row r="126" spans="3:30" ht="30" hidden="1" customHeight="1" outlineLevel="1">
      <c r="C126" s="850">
        <v>100</v>
      </c>
      <c r="D126" s="851"/>
      <c r="E126" s="852"/>
      <c r="F126" s="852"/>
      <c r="G126" s="1078"/>
      <c r="H126" s="853"/>
      <c r="I126" s="854"/>
      <c r="L126" s="838">
        <f t="shared" si="0"/>
        <v>0</v>
      </c>
      <c r="M126" s="855">
        <f t="shared" si="0"/>
        <v>0</v>
      </c>
      <c r="N126" s="856"/>
      <c r="O126" s="857">
        <f t="shared" si="1"/>
        <v>0</v>
      </c>
      <c r="P126" s="849">
        <f t="shared" si="3"/>
        <v>0</v>
      </c>
      <c r="AD126" s="832"/>
    </row>
    <row r="127" spans="3:30" ht="30" hidden="1" customHeight="1" outlineLevel="1">
      <c r="C127" s="850">
        <v>101</v>
      </c>
      <c r="D127" s="851"/>
      <c r="E127" s="852"/>
      <c r="F127" s="852"/>
      <c r="G127" s="1078"/>
      <c r="H127" s="853"/>
      <c r="I127" s="854"/>
      <c r="L127" s="838">
        <f t="shared" si="0"/>
        <v>0</v>
      </c>
      <c r="M127" s="855">
        <f t="shared" si="0"/>
        <v>0</v>
      </c>
      <c r="N127" s="856"/>
      <c r="O127" s="857">
        <f t="shared" si="1"/>
        <v>0</v>
      </c>
      <c r="P127" s="849">
        <f t="shared" si="3"/>
        <v>0</v>
      </c>
      <c r="AD127" s="832"/>
    </row>
    <row r="128" spans="3:30" ht="30" hidden="1" customHeight="1" outlineLevel="1">
      <c r="C128" s="850">
        <v>102</v>
      </c>
      <c r="D128" s="851"/>
      <c r="E128" s="852"/>
      <c r="F128" s="852"/>
      <c r="G128" s="1078"/>
      <c r="H128" s="853"/>
      <c r="I128" s="854"/>
      <c r="L128" s="838">
        <f t="shared" si="0"/>
        <v>0</v>
      </c>
      <c r="M128" s="855">
        <f t="shared" si="0"/>
        <v>0</v>
      </c>
      <c r="N128" s="856"/>
      <c r="O128" s="857">
        <f t="shared" si="1"/>
        <v>0</v>
      </c>
      <c r="P128" s="849">
        <f t="shared" si="3"/>
        <v>0</v>
      </c>
      <c r="AD128" s="832"/>
    </row>
    <row r="129" spans="3:30" ht="30" hidden="1" customHeight="1" outlineLevel="1">
      <c r="C129" s="850">
        <v>103</v>
      </c>
      <c r="D129" s="851"/>
      <c r="E129" s="852"/>
      <c r="F129" s="852"/>
      <c r="G129" s="1078"/>
      <c r="H129" s="853"/>
      <c r="I129" s="854"/>
      <c r="L129" s="838">
        <f t="shared" si="0"/>
        <v>0</v>
      </c>
      <c r="M129" s="855">
        <f t="shared" si="0"/>
        <v>0</v>
      </c>
      <c r="N129" s="856"/>
      <c r="O129" s="857">
        <f t="shared" si="1"/>
        <v>0</v>
      </c>
      <c r="P129" s="849">
        <f t="shared" si="3"/>
        <v>0</v>
      </c>
      <c r="AD129" s="832"/>
    </row>
    <row r="130" spans="3:30" ht="30" hidden="1" customHeight="1" outlineLevel="1">
      <c r="C130" s="850">
        <v>104</v>
      </c>
      <c r="D130" s="851"/>
      <c r="E130" s="852"/>
      <c r="F130" s="852"/>
      <c r="G130" s="1078"/>
      <c r="H130" s="853"/>
      <c r="I130" s="854"/>
      <c r="L130" s="838">
        <f t="shared" si="0"/>
        <v>0</v>
      </c>
      <c r="M130" s="855">
        <f t="shared" si="0"/>
        <v>0</v>
      </c>
      <c r="N130" s="856"/>
      <c r="O130" s="857">
        <f t="shared" si="1"/>
        <v>0</v>
      </c>
      <c r="P130" s="849">
        <f t="shared" si="3"/>
        <v>0</v>
      </c>
      <c r="AD130" s="832"/>
    </row>
    <row r="131" spans="3:30" ht="30" hidden="1" customHeight="1" outlineLevel="1">
      <c r="C131" s="850">
        <v>105</v>
      </c>
      <c r="D131" s="851"/>
      <c r="E131" s="852"/>
      <c r="F131" s="852"/>
      <c r="G131" s="1078"/>
      <c r="H131" s="853"/>
      <c r="I131" s="854"/>
      <c r="L131" s="838">
        <f t="shared" si="0"/>
        <v>0</v>
      </c>
      <c r="M131" s="855">
        <f t="shared" si="0"/>
        <v>0</v>
      </c>
      <c r="N131" s="856"/>
      <c r="O131" s="857">
        <f t="shared" si="1"/>
        <v>0</v>
      </c>
      <c r="P131" s="849">
        <f t="shared" si="3"/>
        <v>0</v>
      </c>
      <c r="AD131" s="832"/>
    </row>
    <row r="132" spans="3:30" ht="30" hidden="1" customHeight="1" outlineLevel="1">
      <c r="C132" s="850">
        <v>106</v>
      </c>
      <c r="D132" s="851"/>
      <c r="E132" s="852"/>
      <c r="F132" s="852"/>
      <c r="G132" s="1078"/>
      <c r="H132" s="853"/>
      <c r="I132" s="854"/>
      <c r="L132" s="838">
        <f t="shared" si="0"/>
        <v>0</v>
      </c>
      <c r="M132" s="855">
        <f t="shared" si="0"/>
        <v>0</v>
      </c>
      <c r="N132" s="856"/>
      <c r="O132" s="857">
        <f t="shared" si="1"/>
        <v>0</v>
      </c>
      <c r="P132" s="849">
        <f t="shared" si="3"/>
        <v>0</v>
      </c>
      <c r="AD132" s="832"/>
    </row>
    <row r="133" spans="3:30" ht="30" hidden="1" customHeight="1" outlineLevel="1">
      <c r="C133" s="850">
        <v>107</v>
      </c>
      <c r="D133" s="851"/>
      <c r="E133" s="852"/>
      <c r="F133" s="852"/>
      <c r="G133" s="1078"/>
      <c r="H133" s="853"/>
      <c r="I133" s="854"/>
      <c r="L133" s="838">
        <f t="shared" si="0"/>
        <v>0</v>
      </c>
      <c r="M133" s="855">
        <f t="shared" si="0"/>
        <v>0</v>
      </c>
      <c r="N133" s="856"/>
      <c r="O133" s="857">
        <f t="shared" si="1"/>
        <v>0</v>
      </c>
      <c r="P133" s="849">
        <f t="shared" si="3"/>
        <v>0</v>
      </c>
      <c r="AD133" s="832"/>
    </row>
    <row r="134" spans="3:30" ht="30" hidden="1" customHeight="1" outlineLevel="1">
      <c r="C134" s="850">
        <v>108</v>
      </c>
      <c r="D134" s="851"/>
      <c r="E134" s="852"/>
      <c r="F134" s="852"/>
      <c r="G134" s="1078"/>
      <c r="H134" s="853"/>
      <c r="I134" s="854"/>
      <c r="L134" s="838">
        <f t="shared" si="0"/>
        <v>0</v>
      </c>
      <c r="M134" s="855">
        <f t="shared" si="0"/>
        <v>0</v>
      </c>
      <c r="N134" s="856"/>
      <c r="O134" s="857">
        <f t="shared" si="1"/>
        <v>0</v>
      </c>
      <c r="P134" s="849">
        <f t="shared" si="3"/>
        <v>0</v>
      </c>
      <c r="AD134" s="832"/>
    </row>
    <row r="135" spans="3:30" ht="30" hidden="1" customHeight="1" outlineLevel="1">
      <c r="C135" s="850">
        <v>109</v>
      </c>
      <c r="D135" s="851"/>
      <c r="E135" s="852"/>
      <c r="F135" s="852"/>
      <c r="G135" s="1078"/>
      <c r="H135" s="853"/>
      <c r="I135" s="854"/>
      <c r="L135" s="838">
        <f t="shared" si="0"/>
        <v>0</v>
      </c>
      <c r="M135" s="855">
        <f t="shared" si="0"/>
        <v>0</v>
      </c>
      <c r="N135" s="856"/>
      <c r="O135" s="857">
        <f t="shared" si="1"/>
        <v>0</v>
      </c>
      <c r="P135" s="849">
        <f t="shared" si="3"/>
        <v>0</v>
      </c>
      <c r="AD135" s="832"/>
    </row>
    <row r="136" spans="3:30" ht="30" hidden="1" customHeight="1" outlineLevel="1">
      <c r="C136" s="850">
        <v>110</v>
      </c>
      <c r="D136" s="851"/>
      <c r="E136" s="852"/>
      <c r="F136" s="852"/>
      <c r="G136" s="1078"/>
      <c r="H136" s="853"/>
      <c r="I136" s="854"/>
      <c r="L136" s="838">
        <f t="shared" si="0"/>
        <v>0</v>
      </c>
      <c r="M136" s="855">
        <f t="shared" si="0"/>
        <v>0</v>
      </c>
      <c r="N136" s="856"/>
      <c r="O136" s="857">
        <f t="shared" si="1"/>
        <v>0</v>
      </c>
      <c r="P136" s="849">
        <f t="shared" si="3"/>
        <v>0</v>
      </c>
      <c r="AD136" s="832"/>
    </row>
    <row r="137" spans="3:30" ht="30" hidden="1" customHeight="1" outlineLevel="1">
      <c r="C137" s="850">
        <v>111</v>
      </c>
      <c r="D137" s="851"/>
      <c r="E137" s="852"/>
      <c r="F137" s="852"/>
      <c r="G137" s="1078"/>
      <c r="H137" s="853"/>
      <c r="I137" s="854"/>
      <c r="L137" s="838">
        <f t="shared" si="0"/>
        <v>0</v>
      </c>
      <c r="M137" s="855">
        <f t="shared" si="0"/>
        <v>0</v>
      </c>
      <c r="N137" s="856"/>
      <c r="O137" s="857">
        <f t="shared" si="1"/>
        <v>0</v>
      </c>
      <c r="P137" s="849">
        <f t="shared" si="3"/>
        <v>0</v>
      </c>
      <c r="AD137" s="832"/>
    </row>
    <row r="138" spans="3:30" ht="30" hidden="1" customHeight="1" outlineLevel="1">
      <c r="C138" s="850">
        <v>112</v>
      </c>
      <c r="D138" s="851"/>
      <c r="E138" s="852"/>
      <c r="F138" s="852"/>
      <c r="G138" s="1078"/>
      <c r="H138" s="853"/>
      <c r="I138" s="854"/>
      <c r="L138" s="838">
        <f t="shared" si="0"/>
        <v>0</v>
      </c>
      <c r="M138" s="855">
        <f t="shared" si="0"/>
        <v>0</v>
      </c>
      <c r="N138" s="856"/>
      <c r="O138" s="857">
        <f t="shared" si="1"/>
        <v>0</v>
      </c>
      <c r="P138" s="849">
        <f t="shared" si="3"/>
        <v>0</v>
      </c>
      <c r="AD138" s="832"/>
    </row>
    <row r="139" spans="3:30" ht="30" hidden="1" customHeight="1" outlineLevel="1">
      <c r="C139" s="850">
        <v>113</v>
      </c>
      <c r="D139" s="851"/>
      <c r="E139" s="852"/>
      <c r="F139" s="852"/>
      <c r="G139" s="1078"/>
      <c r="H139" s="853"/>
      <c r="I139" s="854"/>
      <c r="L139" s="838">
        <f t="shared" si="0"/>
        <v>0</v>
      </c>
      <c r="M139" s="855">
        <f t="shared" si="0"/>
        <v>0</v>
      </c>
      <c r="N139" s="856"/>
      <c r="O139" s="857">
        <f t="shared" si="1"/>
        <v>0</v>
      </c>
      <c r="P139" s="849">
        <f t="shared" si="3"/>
        <v>0</v>
      </c>
      <c r="AD139" s="832"/>
    </row>
    <row r="140" spans="3:30" ht="30" hidden="1" customHeight="1" outlineLevel="1">
      <c r="C140" s="850">
        <v>114</v>
      </c>
      <c r="D140" s="851"/>
      <c r="E140" s="852"/>
      <c r="F140" s="852"/>
      <c r="G140" s="1078"/>
      <c r="H140" s="853"/>
      <c r="I140" s="854"/>
      <c r="L140" s="838">
        <f t="shared" si="0"/>
        <v>0</v>
      </c>
      <c r="M140" s="855">
        <f t="shared" si="0"/>
        <v>0</v>
      </c>
      <c r="N140" s="856"/>
      <c r="O140" s="857">
        <f t="shared" si="1"/>
        <v>0</v>
      </c>
      <c r="P140" s="849">
        <f t="shared" si="3"/>
        <v>0</v>
      </c>
      <c r="AD140" s="832"/>
    </row>
    <row r="141" spans="3:30" ht="30" hidden="1" customHeight="1" outlineLevel="1">
      <c r="C141" s="850">
        <v>115</v>
      </c>
      <c r="D141" s="851"/>
      <c r="E141" s="852"/>
      <c r="F141" s="852"/>
      <c r="G141" s="1078"/>
      <c r="H141" s="853"/>
      <c r="I141" s="854"/>
      <c r="L141" s="838">
        <f t="shared" si="0"/>
        <v>0</v>
      </c>
      <c r="M141" s="855">
        <f t="shared" si="0"/>
        <v>0</v>
      </c>
      <c r="N141" s="856"/>
      <c r="O141" s="857">
        <f t="shared" si="1"/>
        <v>0</v>
      </c>
      <c r="P141" s="849">
        <f t="shared" si="3"/>
        <v>0</v>
      </c>
      <c r="AD141" s="832"/>
    </row>
    <row r="142" spans="3:30" ht="30" hidden="1" customHeight="1" outlineLevel="1">
      <c r="C142" s="850">
        <v>116</v>
      </c>
      <c r="D142" s="851"/>
      <c r="E142" s="852"/>
      <c r="F142" s="852"/>
      <c r="G142" s="1078"/>
      <c r="H142" s="853"/>
      <c r="I142" s="854"/>
      <c r="L142" s="838">
        <f t="shared" si="0"/>
        <v>0</v>
      </c>
      <c r="M142" s="855">
        <f t="shared" si="0"/>
        <v>0</v>
      </c>
      <c r="N142" s="856"/>
      <c r="O142" s="857">
        <f t="shared" si="1"/>
        <v>0</v>
      </c>
      <c r="P142" s="849">
        <f t="shared" si="3"/>
        <v>0</v>
      </c>
      <c r="AD142" s="832"/>
    </row>
    <row r="143" spans="3:30" ht="30" hidden="1" customHeight="1" outlineLevel="1">
      <c r="C143" s="850">
        <v>117</v>
      </c>
      <c r="D143" s="851"/>
      <c r="E143" s="852"/>
      <c r="F143" s="852"/>
      <c r="G143" s="1078"/>
      <c r="H143" s="853"/>
      <c r="I143" s="854"/>
      <c r="L143" s="838">
        <f t="shared" si="0"/>
        <v>0</v>
      </c>
      <c r="M143" s="855">
        <f t="shared" si="0"/>
        <v>0</v>
      </c>
      <c r="N143" s="856"/>
      <c r="O143" s="857">
        <f t="shared" si="1"/>
        <v>0</v>
      </c>
      <c r="P143" s="849">
        <f t="shared" si="3"/>
        <v>0</v>
      </c>
      <c r="AD143" s="832"/>
    </row>
    <row r="144" spans="3:30" ht="30" hidden="1" customHeight="1" outlineLevel="1">
      <c r="C144" s="850">
        <v>118</v>
      </c>
      <c r="D144" s="851"/>
      <c r="E144" s="852"/>
      <c r="F144" s="852"/>
      <c r="G144" s="1078"/>
      <c r="H144" s="853"/>
      <c r="I144" s="854"/>
      <c r="L144" s="838">
        <f t="shared" si="0"/>
        <v>0</v>
      </c>
      <c r="M144" s="855">
        <f t="shared" si="0"/>
        <v>0</v>
      </c>
      <c r="N144" s="856"/>
      <c r="O144" s="857">
        <f t="shared" si="1"/>
        <v>0</v>
      </c>
      <c r="P144" s="849">
        <f t="shared" si="3"/>
        <v>0</v>
      </c>
      <c r="AD144" s="832"/>
    </row>
    <row r="145" spans="3:30" ht="30" hidden="1" customHeight="1" outlineLevel="1">
      <c r="C145" s="850">
        <v>119</v>
      </c>
      <c r="D145" s="851"/>
      <c r="E145" s="852"/>
      <c r="F145" s="852"/>
      <c r="G145" s="1078"/>
      <c r="H145" s="853"/>
      <c r="I145" s="854"/>
      <c r="L145" s="838">
        <f t="shared" si="0"/>
        <v>0</v>
      </c>
      <c r="M145" s="855">
        <f t="shared" si="0"/>
        <v>0</v>
      </c>
      <c r="N145" s="856"/>
      <c r="O145" s="857">
        <f t="shared" si="1"/>
        <v>0</v>
      </c>
      <c r="P145" s="849">
        <f t="shared" si="3"/>
        <v>0</v>
      </c>
      <c r="AD145" s="832"/>
    </row>
    <row r="146" spans="3:30" ht="30" hidden="1" customHeight="1" outlineLevel="1">
      <c r="C146" s="850">
        <v>120</v>
      </c>
      <c r="D146" s="851"/>
      <c r="E146" s="852"/>
      <c r="F146" s="852"/>
      <c r="G146" s="1078"/>
      <c r="H146" s="853"/>
      <c r="I146" s="854"/>
      <c r="L146" s="838">
        <f t="shared" si="0"/>
        <v>0</v>
      </c>
      <c r="M146" s="855">
        <f t="shared" si="0"/>
        <v>0</v>
      </c>
      <c r="N146" s="856"/>
      <c r="O146" s="857">
        <f t="shared" si="1"/>
        <v>0</v>
      </c>
      <c r="P146" s="849">
        <f t="shared" si="3"/>
        <v>0</v>
      </c>
      <c r="AD146" s="832"/>
    </row>
    <row r="147" spans="3:30" ht="30" hidden="1" customHeight="1" outlineLevel="1">
      <c r="C147" s="850">
        <v>121</v>
      </c>
      <c r="D147" s="851"/>
      <c r="E147" s="852"/>
      <c r="F147" s="852"/>
      <c r="G147" s="1078"/>
      <c r="H147" s="853"/>
      <c r="I147" s="854"/>
      <c r="L147" s="838">
        <f t="shared" si="0"/>
        <v>0</v>
      </c>
      <c r="M147" s="855">
        <f t="shared" si="0"/>
        <v>0</v>
      </c>
      <c r="N147" s="856"/>
      <c r="O147" s="857">
        <f t="shared" si="1"/>
        <v>0</v>
      </c>
      <c r="P147" s="849">
        <f t="shared" si="3"/>
        <v>0</v>
      </c>
      <c r="AD147" s="832"/>
    </row>
    <row r="148" spans="3:30" ht="30" hidden="1" customHeight="1" outlineLevel="1">
      <c r="C148" s="850">
        <v>122</v>
      </c>
      <c r="D148" s="851"/>
      <c r="E148" s="852"/>
      <c r="F148" s="852"/>
      <c r="G148" s="1078"/>
      <c r="H148" s="853"/>
      <c r="I148" s="854"/>
      <c r="L148" s="838">
        <f t="shared" si="0"/>
        <v>0</v>
      </c>
      <c r="M148" s="855">
        <f t="shared" si="0"/>
        <v>0</v>
      </c>
      <c r="N148" s="856"/>
      <c r="O148" s="857">
        <f t="shared" si="1"/>
        <v>0</v>
      </c>
      <c r="P148" s="849">
        <f t="shared" si="3"/>
        <v>0</v>
      </c>
      <c r="AD148" s="832"/>
    </row>
    <row r="149" spans="3:30" ht="30" hidden="1" customHeight="1" outlineLevel="1">
      <c r="C149" s="850">
        <v>123</v>
      </c>
      <c r="D149" s="851"/>
      <c r="E149" s="852"/>
      <c r="F149" s="852"/>
      <c r="G149" s="1078"/>
      <c r="H149" s="853"/>
      <c r="I149" s="854"/>
      <c r="L149" s="838">
        <f t="shared" si="0"/>
        <v>0</v>
      </c>
      <c r="M149" s="855">
        <f t="shared" si="0"/>
        <v>0</v>
      </c>
      <c r="N149" s="856"/>
      <c r="O149" s="857">
        <f t="shared" si="1"/>
        <v>0</v>
      </c>
      <c r="P149" s="849">
        <f t="shared" si="3"/>
        <v>0</v>
      </c>
      <c r="AD149" s="832"/>
    </row>
    <row r="150" spans="3:30" ht="30" hidden="1" customHeight="1" outlineLevel="1">
      <c r="C150" s="850">
        <v>124</v>
      </c>
      <c r="D150" s="851"/>
      <c r="E150" s="852"/>
      <c r="F150" s="852"/>
      <c r="G150" s="1078"/>
      <c r="H150" s="853"/>
      <c r="I150" s="854"/>
      <c r="L150" s="838">
        <f t="shared" si="0"/>
        <v>0</v>
      </c>
      <c r="M150" s="855">
        <f t="shared" si="0"/>
        <v>0</v>
      </c>
      <c r="N150" s="856"/>
      <c r="O150" s="857">
        <f t="shared" si="1"/>
        <v>0</v>
      </c>
      <c r="P150" s="849">
        <f t="shared" si="3"/>
        <v>0</v>
      </c>
      <c r="AD150" s="832"/>
    </row>
    <row r="151" spans="3:30" ht="30" hidden="1" customHeight="1" outlineLevel="1">
      <c r="C151" s="850">
        <v>125</v>
      </c>
      <c r="D151" s="851"/>
      <c r="E151" s="852"/>
      <c r="F151" s="852"/>
      <c r="G151" s="1078"/>
      <c r="H151" s="853"/>
      <c r="I151" s="854"/>
      <c r="L151" s="838">
        <f t="shared" si="0"/>
        <v>0</v>
      </c>
      <c r="M151" s="855">
        <f t="shared" si="0"/>
        <v>0</v>
      </c>
      <c r="N151" s="856"/>
      <c r="O151" s="857">
        <f t="shared" si="1"/>
        <v>0</v>
      </c>
      <c r="P151" s="849">
        <f t="shared" si="3"/>
        <v>0</v>
      </c>
      <c r="AD151" s="832"/>
    </row>
    <row r="152" spans="3:30" ht="30" hidden="1" customHeight="1" outlineLevel="1">
      <c r="C152" s="850">
        <v>126</v>
      </c>
      <c r="D152" s="851"/>
      <c r="E152" s="852"/>
      <c r="F152" s="852"/>
      <c r="G152" s="1078"/>
      <c r="H152" s="853"/>
      <c r="I152" s="854"/>
      <c r="L152" s="838">
        <f t="shared" si="0"/>
        <v>0</v>
      </c>
      <c r="M152" s="855">
        <f t="shared" si="0"/>
        <v>0</v>
      </c>
      <c r="N152" s="856"/>
      <c r="O152" s="857">
        <f t="shared" si="1"/>
        <v>0</v>
      </c>
      <c r="P152" s="849">
        <f t="shared" si="3"/>
        <v>0</v>
      </c>
      <c r="AD152" s="832"/>
    </row>
    <row r="153" spans="3:30" ht="30" hidden="1" customHeight="1" outlineLevel="1">
      <c r="C153" s="850">
        <v>127</v>
      </c>
      <c r="D153" s="851"/>
      <c r="E153" s="852"/>
      <c r="F153" s="852"/>
      <c r="G153" s="1078"/>
      <c r="H153" s="853"/>
      <c r="I153" s="854"/>
      <c r="L153" s="838">
        <f t="shared" si="0"/>
        <v>0</v>
      </c>
      <c r="M153" s="855">
        <f t="shared" si="0"/>
        <v>0</v>
      </c>
      <c r="N153" s="856"/>
      <c r="O153" s="857">
        <f t="shared" si="1"/>
        <v>0</v>
      </c>
      <c r="P153" s="849">
        <f t="shared" si="3"/>
        <v>0</v>
      </c>
      <c r="AD153" s="832"/>
    </row>
    <row r="154" spans="3:30" ht="30" hidden="1" customHeight="1" outlineLevel="1">
      <c r="C154" s="850">
        <v>128</v>
      </c>
      <c r="D154" s="851"/>
      <c r="E154" s="852"/>
      <c r="F154" s="852"/>
      <c r="G154" s="1078"/>
      <c r="H154" s="853"/>
      <c r="I154" s="854"/>
      <c r="L154" s="838">
        <f t="shared" si="0"/>
        <v>0</v>
      </c>
      <c r="M154" s="855">
        <f t="shared" si="0"/>
        <v>0</v>
      </c>
      <c r="N154" s="856"/>
      <c r="O154" s="857">
        <f t="shared" si="1"/>
        <v>0</v>
      </c>
      <c r="P154" s="849">
        <f t="shared" si="3"/>
        <v>0</v>
      </c>
      <c r="AD154" s="832"/>
    </row>
    <row r="155" spans="3:30" ht="30" hidden="1" customHeight="1" outlineLevel="1">
      <c r="C155" s="850">
        <v>129</v>
      </c>
      <c r="D155" s="851"/>
      <c r="E155" s="852"/>
      <c r="F155" s="852"/>
      <c r="G155" s="1078"/>
      <c r="H155" s="853"/>
      <c r="I155" s="854"/>
      <c r="L155" s="838">
        <f t="shared" si="0"/>
        <v>0</v>
      </c>
      <c r="M155" s="855">
        <f t="shared" ref="M155:M170" si="4">IF($G155&gt;0,F155,)</f>
        <v>0</v>
      </c>
      <c r="N155" s="856"/>
      <c r="O155" s="857">
        <f t="shared" si="1"/>
        <v>0</v>
      </c>
      <c r="P155" s="849">
        <f t="shared" si="3"/>
        <v>0</v>
      </c>
      <c r="AD155" s="832"/>
    </row>
    <row r="156" spans="3:30" ht="30" hidden="1" customHeight="1" outlineLevel="1">
      <c r="C156" s="850">
        <v>130</v>
      </c>
      <c r="D156" s="851"/>
      <c r="E156" s="852"/>
      <c r="F156" s="852"/>
      <c r="G156" s="1078"/>
      <c r="H156" s="853"/>
      <c r="I156" s="854"/>
      <c r="L156" s="838">
        <f t="shared" ref="L156:M175" si="5">IF($G156&gt;0,E156,)</f>
        <v>0</v>
      </c>
      <c r="M156" s="855">
        <f t="shared" si="4"/>
        <v>0</v>
      </c>
      <c r="N156" s="856"/>
      <c r="O156" s="857">
        <f t="shared" si="1"/>
        <v>0</v>
      </c>
      <c r="P156" s="849">
        <f t="shared" ref="P156:P176" si="6">ROUND(O156*G156%,)</f>
        <v>0</v>
      </c>
      <c r="AD156" s="832"/>
    </row>
    <row r="157" spans="3:30" ht="30" hidden="1" customHeight="1" outlineLevel="1">
      <c r="C157" s="850">
        <v>131</v>
      </c>
      <c r="D157" s="851"/>
      <c r="E157" s="852"/>
      <c r="F157" s="852"/>
      <c r="G157" s="1078"/>
      <c r="H157" s="853"/>
      <c r="I157" s="854"/>
      <c r="L157" s="838">
        <f t="shared" si="5"/>
        <v>0</v>
      </c>
      <c r="M157" s="855">
        <f t="shared" si="4"/>
        <v>0</v>
      </c>
      <c r="N157" s="856"/>
      <c r="O157" s="857">
        <f t="shared" si="1"/>
        <v>0</v>
      </c>
      <c r="P157" s="849">
        <f t="shared" si="6"/>
        <v>0</v>
      </c>
      <c r="AD157" s="832"/>
    </row>
    <row r="158" spans="3:30" ht="30" hidden="1" customHeight="1" outlineLevel="1">
      <c r="C158" s="850">
        <v>132</v>
      </c>
      <c r="D158" s="851"/>
      <c r="E158" s="852"/>
      <c r="F158" s="852"/>
      <c r="G158" s="1078"/>
      <c r="H158" s="853"/>
      <c r="I158" s="854"/>
      <c r="L158" s="838">
        <f t="shared" si="5"/>
        <v>0</v>
      </c>
      <c r="M158" s="855">
        <f t="shared" si="4"/>
        <v>0</v>
      </c>
      <c r="N158" s="856"/>
      <c r="O158" s="857">
        <f t="shared" si="1"/>
        <v>0</v>
      </c>
      <c r="P158" s="849">
        <f t="shared" si="6"/>
        <v>0</v>
      </c>
      <c r="AD158" s="832"/>
    </row>
    <row r="159" spans="3:30" ht="30" hidden="1" customHeight="1" outlineLevel="1">
      <c r="C159" s="850">
        <v>133</v>
      </c>
      <c r="D159" s="851"/>
      <c r="E159" s="852"/>
      <c r="F159" s="852"/>
      <c r="G159" s="1078"/>
      <c r="H159" s="853"/>
      <c r="I159" s="854"/>
      <c r="L159" s="838">
        <f t="shared" si="5"/>
        <v>0</v>
      </c>
      <c r="M159" s="855">
        <f t="shared" si="4"/>
        <v>0</v>
      </c>
      <c r="N159" s="856"/>
      <c r="O159" s="857">
        <f t="shared" si="1"/>
        <v>0</v>
      </c>
      <c r="P159" s="849">
        <f t="shared" si="6"/>
        <v>0</v>
      </c>
      <c r="AD159" s="832"/>
    </row>
    <row r="160" spans="3:30" ht="30" hidden="1" customHeight="1" outlineLevel="1">
      <c r="C160" s="850">
        <v>134</v>
      </c>
      <c r="D160" s="851"/>
      <c r="E160" s="852"/>
      <c r="F160" s="852"/>
      <c r="G160" s="1078"/>
      <c r="H160" s="853"/>
      <c r="I160" s="854"/>
      <c r="L160" s="838">
        <f t="shared" si="5"/>
        <v>0</v>
      </c>
      <c r="M160" s="855">
        <f t="shared" si="4"/>
        <v>0</v>
      </c>
      <c r="N160" s="856"/>
      <c r="O160" s="857">
        <f t="shared" si="1"/>
        <v>0</v>
      </c>
      <c r="P160" s="849">
        <f t="shared" si="6"/>
        <v>0</v>
      </c>
      <c r="AD160" s="832"/>
    </row>
    <row r="161" spans="3:30" ht="30" hidden="1" customHeight="1" outlineLevel="1">
      <c r="C161" s="850">
        <v>135</v>
      </c>
      <c r="D161" s="851"/>
      <c r="E161" s="852"/>
      <c r="F161" s="852"/>
      <c r="G161" s="1078"/>
      <c r="H161" s="853"/>
      <c r="I161" s="854"/>
      <c r="L161" s="838">
        <f t="shared" si="5"/>
        <v>0</v>
      </c>
      <c r="M161" s="855">
        <f t="shared" si="4"/>
        <v>0</v>
      </c>
      <c r="N161" s="856"/>
      <c r="O161" s="857">
        <f t="shared" si="1"/>
        <v>0</v>
      </c>
      <c r="P161" s="849">
        <f t="shared" si="6"/>
        <v>0</v>
      </c>
      <c r="AD161" s="832"/>
    </row>
    <row r="162" spans="3:30" ht="30" hidden="1" customHeight="1" outlineLevel="1">
      <c r="C162" s="850">
        <v>136</v>
      </c>
      <c r="D162" s="851"/>
      <c r="E162" s="852"/>
      <c r="F162" s="852"/>
      <c r="G162" s="1078"/>
      <c r="H162" s="853"/>
      <c r="I162" s="854"/>
      <c r="L162" s="838">
        <f t="shared" si="5"/>
        <v>0</v>
      </c>
      <c r="M162" s="855">
        <f t="shared" si="4"/>
        <v>0</v>
      </c>
      <c r="N162" s="856"/>
      <c r="O162" s="857">
        <f t="shared" si="1"/>
        <v>0</v>
      </c>
      <c r="P162" s="849">
        <f t="shared" si="6"/>
        <v>0</v>
      </c>
      <c r="AD162" s="832"/>
    </row>
    <row r="163" spans="3:30" ht="30" hidden="1" customHeight="1" outlineLevel="1">
      <c r="C163" s="850">
        <v>137</v>
      </c>
      <c r="D163" s="851"/>
      <c r="E163" s="852"/>
      <c r="F163" s="852"/>
      <c r="G163" s="1078"/>
      <c r="H163" s="853"/>
      <c r="I163" s="854"/>
      <c r="L163" s="838">
        <f t="shared" si="5"/>
        <v>0</v>
      </c>
      <c r="M163" s="855">
        <f t="shared" si="4"/>
        <v>0</v>
      </c>
      <c r="N163" s="856"/>
      <c r="O163" s="857">
        <f t="shared" si="1"/>
        <v>0</v>
      </c>
      <c r="P163" s="849">
        <f t="shared" si="6"/>
        <v>0</v>
      </c>
      <c r="AD163" s="832"/>
    </row>
    <row r="164" spans="3:30" ht="30" hidden="1" customHeight="1" outlineLevel="1">
      <c r="C164" s="850">
        <v>138</v>
      </c>
      <c r="D164" s="851"/>
      <c r="E164" s="852"/>
      <c r="F164" s="852"/>
      <c r="G164" s="1078"/>
      <c r="H164" s="853"/>
      <c r="I164" s="854"/>
      <c r="L164" s="838">
        <f t="shared" si="5"/>
        <v>0</v>
      </c>
      <c r="M164" s="855">
        <f t="shared" si="4"/>
        <v>0</v>
      </c>
      <c r="N164" s="856"/>
      <c r="O164" s="857">
        <f t="shared" si="1"/>
        <v>0</v>
      </c>
      <c r="P164" s="849">
        <f t="shared" si="6"/>
        <v>0</v>
      </c>
      <c r="AD164" s="832"/>
    </row>
    <row r="165" spans="3:30" ht="30" hidden="1" customHeight="1" outlineLevel="1">
      <c r="C165" s="850">
        <v>139</v>
      </c>
      <c r="D165" s="851"/>
      <c r="E165" s="852"/>
      <c r="F165" s="852"/>
      <c r="G165" s="1078"/>
      <c r="H165" s="853"/>
      <c r="I165" s="854"/>
      <c r="L165" s="838">
        <f t="shared" si="5"/>
        <v>0</v>
      </c>
      <c r="M165" s="855">
        <f t="shared" si="4"/>
        <v>0</v>
      </c>
      <c r="N165" s="856"/>
      <c r="O165" s="857">
        <f t="shared" si="1"/>
        <v>0</v>
      </c>
      <c r="P165" s="849">
        <f t="shared" si="6"/>
        <v>0</v>
      </c>
      <c r="AD165" s="832"/>
    </row>
    <row r="166" spans="3:30" ht="30" hidden="1" customHeight="1" outlineLevel="1">
      <c r="C166" s="850">
        <v>140</v>
      </c>
      <c r="D166" s="851"/>
      <c r="E166" s="852"/>
      <c r="F166" s="852"/>
      <c r="G166" s="1078"/>
      <c r="H166" s="853"/>
      <c r="I166" s="854"/>
      <c r="L166" s="838">
        <f t="shared" si="5"/>
        <v>0</v>
      </c>
      <c r="M166" s="855">
        <f t="shared" si="4"/>
        <v>0</v>
      </c>
      <c r="N166" s="856"/>
      <c r="O166" s="857">
        <f t="shared" si="1"/>
        <v>0</v>
      </c>
      <c r="P166" s="849">
        <f t="shared" si="6"/>
        <v>0</v>
      </c>
      <c r="AD166" s="832"/>
    </row>
    <row r="167" spans="3:30" ht="30" hidden="1" customHeight="1" outlineLevel="1">
      <c r="C167" s="850">
        <v>141</v>
      </c>
      <c r="D167" s="851"/>
      <c r="E167" s="852"/>
      <c r="F167" s="852"/>
      <c r="G167" s="1078"/>
      <c r="H167" s="853"/>
      <c r="I167" s="854"/>
      <c r="L167" s="838">
        <f t="shared" si="5"/>
        <v>0</v>
      </c>
      <c r="M167" s="855">
        <f t="shared" si="4"/>
        <v>0</v>
      </c>
      <c r="N167" s="856"/>
      <c r="O167" s="857">
        <f t="shared" si="1"/>
        <v>0</v>
      </c>
      <c r="P167" s="849">
        <f t="shared" si="6"/>
        <v>0</v>
      </c>
      <c r="AD167" s="832"/>
    </row>
    <row r="168" spans="3:30" ht="30" hidden="1" customHeight="1" outlineLevel="1">
      <c r="C168" s="850">
        <v>142</v>
      </c>
      <c r="D168" s="851"/>
      <c r="E168" s="852"/>
      <c r="F168" s="852"/>
      <c r="G168" s="1078"/>
      <c r="H168" s="853"/>
      <c r="I168" s="854"/>
      <c r="L168" s="838">
        <f t="shared" si="5"/>
        <v>0</v>
      </c>
      <c r="M168" s="855">
        <f t="shared" si="4"/>
        <v>0</v>
      </c>
      <c r="N168" s="856"/>
      <c r="O168" s="857">
        <f t="shared" si="1"/>
        <v>0</v>
      </c>
      <c r="P168" s="849">
        <f t="shared" si="6"/>
        <v>0</v>
      </c>
      <c r="AD168" s="832"/>
    </row>
    <row r="169" spans="3:30" ht="30" hidden="1" customHeight="1" outlineLevel="1">
      <c r="C169" s="850">
        <v>143</v>
      </c>
      <c r="D169" s="851"/>
      <c r="E169" s="852"/>
      <c r="F169" s="852"/>
      <c r="G169" s="1078"/>
      <c r="H169" s="853"/>
      <c r="I169" s="854"/>
      <c r="L169" s="838">
        <f t="shared" si="5"/>
        <v>0</v>
      </c>
      <c r="M169" s="855">
        <f t="shared" si="4"/>
        <v>0</v>
      </c>
      <c r="N169" s="856"/>
      <c r="O169" s="857">
        <f t="shared" si="1"/>
        <v>0</v>
      </c>
      <c r="P169" s="849">
        <f t="shared" si="6"/>
        <v>0</v>
      </c>
      <c r="AD169" s="832"/>
    </row>
    <row r="170" spans="3:30" ht="30" hidden="1" customHeight="1" outlineLevel="1">
      <c r="C170" s="850">
        <v>144</v>
      </c>
      <c r="D170" s="851"/>
      <c r="E170" s="852"/>
      <c r="F170" s="852"/>
      <c r="G170" s="1078"/>
      <c r="H170" s="853"/>
      <c r="I170" s="854"/>
      <c r="L170" s="838">
        <f t="shared" si="5"/>
        <v>0</v>
      </c>
      <c r="M170" s="855">
        <f t="shared" si="4"/>
        <v>0</v>
      </c>
      <c r="N170" s="856"/>
      <c r="O170" s="857">
        <f t="shared" si="1"/>
        <v>0</v>
      </c>
      <c r="P170" s="849">
        <f t="shared" si="6"/>
        <v>0</v>
      </c>
      <c r="AD170" s="832"/>
    </row>
    <row r="171" spans="3:30" ht="30" hidden="1" customHeight="1" outlineLevel="1">
      <c r="C171" s="850">
        <v>145</v>
      </c>
      <c r="D171" s="851"/>
      <c r="E171" s="852"/>
      <c r="F171" s="852"/>
      <c r="G171" s="1078"/>
      <c r="H171" s="853"/>
      <c r="I171" s="854"/>
      <c r="L171" s="838">
        <f t="shared" si="5"/>
        <v>0</v>
      </c>
      <c r="M171" s="855">
        <f t="shared" si="5"/>
        <v>0</v>
      </c>
      <c r="N171" s="856"/>
      <c r="O171" s="857">
        <f t="shared" si="1"/>
        <v>0</v>
      </c>
      <c r="P171" s="849">
        <f t="shared" si="6"/>
        <v>0</v>
      </c>
      <c r="AD171" s="832"/>
    </row>
    <row r="172" spans="3:30" ht="30" hidden="1" customHeight="1" outlineLevel="1">
      <c r="C172" s="850">
        <v>146</v>
      </c>
      <c r="D172" s="851"/>
      <c r="E172" s="852"/>
      <c r="F172" s="852"/>
      <c r="G172" s="1078"/>
      <c r="H172" s="853"/>
      <c r="I172" s="854"/>
      <c r="L172" s="838">
        <f t="shared" si="5"/>
        <v>0</v>
      </c>
      <c r="M172" s="855">
        <f t="shared" si="5"/>
        <v>0</v>
      </c>
      <c r="N172" s="856"/>
      <c r="O172" s="857">
        <f t="shared" si="1"/>
        <v>0</v>
      </c>
      <c r="P172" s="849">
        <f t="shared" si="6"/>
        <v>0</v>
      </c>
      <c r="AD172" s="832"/>
    </row>
    <row r="173" spans="3:30" ht="30" hidden="1" customHeight="1" outlineLevel="1">
      <c r="C173" s="850">
        <v>147</v>
      </c>
      <c r="D173" s="851"/>
      <c r="E173" s="852"/>
      <c r="F173" s="852"/>
      <c r="G173" s="1078"/>
      <c r="H173" s="853"/>
      <c r="I173" s="854"/>
      <c r="L173" s="838">
        <f t="shared" si="5"/>
        <v>0</v>
      </c>
      <c r="M173" s="855">
        <f t="shared" si="5"/>
        <v>0</v>
      </c>
      <c r="N173" s="856"/>
      <c r="O173" s="857">
        <f t="shared" si="1"/>
        <v>0</v>
      </c>
      <c r="P173" s="849">
        <f t="shared" si="6"/>
        <v>0</v>
      </c>
      <c r="AD173" s="832"/>
    </row>
    <row r="174" spans="3:30" ht="30" hidden="1" customHeight="1" outlineLevel="1">
      <c r="C174" s="850">
        <v>148</v>
      </c>
      <c r="D174" s="851"/>
      <c r="E174" s="852"/>
      <c r="F174" s="852"/>
      <c r="G174" s="1078"/>
      <c r="H174" s="853"/>
      <c r="I174" s="854"/>
      <c r="L174" s="838">
        <f t="shared" si="5"/>
        <v>0</v>
      </c>
      <c r="M174" s="855">
        <f t="shared" si="5"/>
        <v>0</v>
      </c>
      <c r="N174" s="856"/>
      <c r="O174" s="857">
        <f t="shared" si="1"/>
        <v>0</v>
      </c>
      <c r="P174" s="849">
        <f t="shared" si="6"/>
        <v>0</v>
      </c>
      <c r="AD174" s="832"/>
    </row>
    <row r="175" spans="3:30" ht="30" hidden="1" customHeight="1" outlineLevel="1">
      <c r="C175" s="850">
        <v>149</v>
      </c>
      <c r="D175" s="851"/>
      <c r="E175" s="852"/>
      <c r="F175" s="852"/>
      <c r="G175" s="1078"/>
      <c r="H175" s="853"/>
      <c r="I175" s="854"/>
      <c r="L175" s="838">
        <f t="shared" si="5"/>
        <v>0</v>
      </c>
      <c r="M175" s="855">
        <f t="shared" si="5"/>
        <v>0</v>
      </c>
      <c r="N175" s="856"/>
      <c r="O175" s="857">
        <f t="shared" si="1"/>
        <v>0</v>
      </c>
      <c r="P175" s="849">
        <f t="shared" si="6"/>
        <v>0</v>
      </c>
      <c r="AD175" s="832"/>
    </row>
    <row r="176" spans="3:30" ht="30" hidden="1" customHeight="1" outlineLevel="1" thickBot="1">
      <c r="C176" s="858">
        <v>150</v>
      </c>
      <c r="D176" s="859"/>
      <c r="E176" s="860"/>
      <c r="F176" s="860"/>
      <c r="G176" s="1079"/>
      <c r="H176" s="861"/>
      <c r="I176" s="862"/>
      <c r="L176" s="838">
        <f>IF($G176&gt;0,E176,)</f>
        <v>0</v>
      </c>
      <c r="M176" s="855">
        <f>IF($G176&gt;0,F176,)</f>
        <v>0</v>
      </c>
      <c r="N176" s="863"/>
      <c r="O176" s="857">
        <f t="shared" si="1"/>
        <v>0</v>
      </c>
      <c r="P176" s="849">
        <f t="shared" si="6"/>
        <v>0</v>
      </c>
      <c r="AD176" s="832"/>
    </row>
    <row r="177" spans="3:54" ht="15.75" customHeight="1" thickTop="1">
      <c r="C177" s="864" t="s">
        <v>668</v>
      </c>
      <c r="D177" s="865"/>
      <c r="E177" s="865"/>
      <c r="F177" s="865"/>
      <c r="G177" s="865"/>
      <c r="H177" s="405"/>
      <c r="I177" s="610"/>
      <c r="L177" s="866"/>
      <c r="M177" s="866"/>
      <c r="N177" s="867"/>
      <c r="O177" s="866"/>
      <c r="P177" s="866"/>
      <c r="Q177" s="866"/>
      <c r="W177" s="610"/>
      <c r="Y177" s="866"/>
      <c r="Z177" s="866"/>
      <c r="AA177" s="866"/>
      <c r="AB177" s="866"/>
      <c r="AC177" s="866"/>
      <c r="AD177" s="868"/>
      <c r="AN177" s="2"/>
      <c r="BA177" s="2"/>
    </row>
    <row r="178" spans="3:54" ht="15.75" customHeight="1">
      <c r="C178" s="2"/>
      <c r="I178" s="184"/>
      <c r="Q178" s="120"/>
    </row>
    <row r="179" spans="3:54" ht="15.75" customHeight="1">
      <c r="C179" s="2"/>
      <c r="I179" s="184"/>
      <c r="Q179" s="120"/>
    </row>
    <row r="180" spans="3:54" ht="14.1" customHeight="1">
      <c r="C180" s="2"/>
      <c r="I180" s="184"/>
    </row>
    <row r="181" spans="3:54" ht="14.1" customHeight="1">
      <c r="C181" s="2"/>
      <c r="I181" s="184"/>
    </row>
    <row r="182" spans="3:54" ht="14.1" customHeight="1">
      <c r="C182" s="2"/>
      <c r="I182" s="184"/>
    </row>
    <row r="183" spans="3:54" ht="14.25" customHeight="1">
      <c r="C183" s="2"/>
      <c r="I183" s="184"/>
    </row>
    <row r="184" spans="3:54" ht="14.25" customHeight="1">
      <c r="C184" s="2"/>
      <c r="I184" s="184"/>
    </row>
    <row r="185" spans="3:54" ht="18" customHeight="1">
      <c r="C185" s="108" t="s">
        <v>669</v>
      </c>
      <c r="J185" s="184"/>
      <c r="X185" s="2"/>
      <c r="Y185" s="184"/>
      <c r="AN185" s="2"/>
      <c r="AO185" s="184"/>
      <c r="BA185" s="2"/>
      <c r="BB185" s="184"/>
    </row>
    <row r="186" spans="3:54" ht="18" customHeight="1">
      <c r="C186" s="30"/>
      <c r="D186" s="625" t="s">
        <v>670</v>
      </c>
      <c r="E186" s="30"/>
      <c r="F186" s="30"/>
      <c r="G186" s="30"/>
      <c r="I186" s="627"/>
      <c r="J186" s="195"/>
      <c r="L186" s="147" t="s">
        <v>671</v>
      </c>
      <c r="AA186" s="30"/>
      <c r="AB186" s="30"/>
      <c r="AC186" s="30"/>
    </row>
    <row r="187" spans="3:54" ht="18" customHeight="1" thickBot="1">
      <c r="C187" s="869" t="s">
        <v>672</v>
      </c>
      <c r="D187" s="625"/>
      <c r="E187" s="30"/>
      <c r="F187" s="30"/>
      <c r="G187" s="30"/>
      <c r="I187" s="627"/>
      <c r="J187" s="195"/>
      <c r="L187" s="2064" t="s">
        <v>650</v>
      </c>
      <c r="M187" s="2064"/>
      <c r="N187" s="2064"/>
      <c r="O187" s="2064"/>
      <c r="P187" s="2064"/>
    </row>
    <row r="188" spans="3:54" ht="18" hidden="1" customHeight="1">
      <c r="C188" s="869"/>
      <c r="D188" s="625"/>
      <c r="E188" s="30"/>
      <c r="F188" s="30"/>
      <c r="G188" s="30"/>
      <c r="I188" s="627"/>
      <c r="J188" s="195"/>
      <c r="L188" s="870"/>
      <c r="M188" s="870"/>
      <c r="N188" s="870"/>
      <c r="O188" s="870"/>
      <c r="P188" s="871"/>
    </row>
    <row r="189" spans="3:54" ht="18" hidden="1" customHeight="1" thickBot="1">
      <c r="C189" s="869"/>
      <c r="D189" s="625"/>
      <c r="E189" s="30"/>
      <c r="F189" s="30"/>
      <c r="G189" s="30"/>
      <c r="I189" s="627"/>
      <c r="J189" s="195"/>
      <c r="L189" s="870"/>
      <c r="M189" s="870"/>
      <c r="N189" s="870"/>
      <c r="O189" s="870"/>
      <c r="P189" s="871"/>
    </row>
    <row r="190" spans="3:54" ht="30" customHeight="1">
      <c r="C190" s="2067" t="s">
        <v>655</v>
      </c>
      <c r="D190" s="1213" t="s">
        <v>673</v>
      </c>
      <c r="E190" s="1935" t="s">
        <v>674</v>
      </c>
      <c r="F190" s="1935" t="s">
        <v>675</v>
      </c>
      <c r="G190" s="1500" t="s">
        <v>301</v>
      </c>
      <c r="H190" s="2073"/>
      <c r="J190" s="354"/>
      <c r="L190" s="2062" t="s">
        <v>676</v>
      </c>
      <c r="M190" s="2062" t="s">
        <v>677</v>
      </c>
      <c r="N190" s="2065" t="s">
        <v>678</v>
      </c>
      <c r="O190" s="2065" t="s">
        <v>679</v>
      </c>
      <c r="P190" s="2070" t="s">
        <v>680</v>
      </c>
    </row>
    <row r="191" spans="3:54" ht="30" customHeight="1">
      <c r="C191" s="2068"/>
      <c r="D191" s="1216"/>
      <c r="E191" s="1965"/>
      <c r="F191" s="1458"/>
      <c r="G191" s="1501"/>
      <c r="H191" s="2073"/>
      <c r="J191" s="354"/>
      <c r="L191" s="2063"/>
      <c r="M191" s="2063"/>
      <c r="N191" s="2066"/>
      <c r="O191" s="2066"/>
      <c r="P191" s="2066"/>
    </row>
    <row r="192" spans="3:54" ht="30" customHeight="1" thickBot="1">
      <c r="C192" s="2069"/>
      <c r="D192" s="1216"/>
      <c r="E192" s="2071"/>
      <c r="F192" s="1153"/>
      <c r="G192" s="2072"/>
      <c r="H192" s="2073"/>
      <c r="J192" s="121"/>
      <c r="L192" s="839">
        <f>SUM(L193:L242)</f>
        <v>0</v>
      </c>
      <c r="M192" s="839">
        <f>SUM(M193:M242)</f>
        <v>0</v>
      </c>
      <c r="N192" s="872"/>
      <c r="O192" s="841">
        <f>SUM(O193:O242)</f>
        <v>0</v>
      </c>
      <c r="P192" s="841">
        <f>SUM(P193:P242)</f>
        <v>0</v>
      </c>
    </row>
    <row r="193" spans="3:16" ht="30" customHeight="1" thickTop="1">
      <c r="C193" s="842">
        <v>1</v>
      </c>
      <c r="D193" s="843"/>
      <c r="E193" s="844"/>
      <c r="F193" s="844"/>
      <c r="G193" s="1066"/>
      <c r="K193" s="489"/>
      <c r="L193" s="837">
        <f t="shared" ref="L193:M242" si="7">IF($G193&gt;0,E193,)</f>
        <v>0</v>
      </c>
      <c r="M193" s="837">
        <f t="shared" si="7"/>
        <v>0</v>
      </c>
      <c r="N193" s="847"/>
      <c r="O193" s="848">
        <f>ROUND(L193*N193/10,)</f>
        <v>0</v>
      </c>
      <c r="P193" s="849">
        <f t="shared" ref="P193:P242" si="8">ROUND(O193*G193%,)</f>
        <v>0</v>
      </c>
    </row>
    <row r="194" spans="3:16" ht="30" customHeight="1">
      <c r="C194" s="850">
        <v>2</v>
      </c>
      <c r="D194" s="851"/>
      <c r="E194" s="852"/>
      <c r="F194" s="852"/>
      <c r="G194" s="1064"/>
      <c r="K194" s="489"/>
      <c r="L194" s="838">
        <f t="shared" si="7"/>
        <v>0</v>
      </c>
      <c r="M194" s="855">
        <f t="shared" si="7"/>
        <v>0</v>
      </c>
      <c r="N194" s="856"/>
      <c r="O194" s="857">
        <f t="shared" ref="O194:O242" si="9">ROUND(L194*N194/10,)</f>
        <v>0</v>
      </c>
      <c r="P194" s="849">
        <f t="shared" si="8"/>
        <v>0</v>
      </c>
    </row>
    <row r="195" spans="3:16" ht="30" customHeight="1" collapsed="1" thickBot="1">
      <c r="C195" s="850">
        <v>3</v>
      </c>
      <c r="D195" s="851"/>
      <c r="E195" s="852"/>
      <c r="F195" s="852"/>
      <c r="G195" s="1064"/>
      <c r="K195" s="489"/>
      <c r="L195" s="838">
        <f t="shared" si="7"/>
        <v>0</v>
      </c>
      <c r="M195" s="855">
        <f t="shared" si="7"/>
        <v>0</v>
      </c>
      <c r="N195" s="856"/>
      <c r="O195" s="857">
        <f t="shared" si="9"/>
        <v>0</v>
      </c>
      <c r="P195" s="849">
        <f t="shared" si="8"/>
        <v>0</v>
      </c>
    </row>
    <row r="196" spans="3:16" ht="30" hidden="1" customHeight="1" outlineLevel="1">
      <c r="C196" s="850">
        <v>4</v>
      </c>
      <c r="D196" s="851"/>
      <c r="E196" s="852"/>
      <c r="F196" s="852"/>
      <c r="G196" s="1064"/>
      <c r="K196" s="489"/>
      <c r="L196" s="838">
        <f t="shared" si="7"/>
        <v>0</v>
      </c>
      <c r="M196" s="855">
        <f t="shared" si="7"/>
        <v>0</v>
      </c>
      <c r="N196" s="856"/>
      <c r="O196" s="857">
        <f t="shared" si="9"/>
        <v>0</v>
      </c>
      <c r="P196" s="849">
        <f t="shared" si="8"/>
        <v>0</v>
      </c>
    </row>
    <row r="197" spans="3:16" ht="30" hidden="1" customHeight="1" outlineLevel="1">
      <c r="C197" s="850">
        <v>5</v>
      </c>
      <c r="D197" s="851"/>
      <c r="E197" s="852"/>
      <c r="F197" s="852"/>
      <c r="G197" s="1064"/>
      <c r="K197" s="489"/>
      <c r="L197" s="838">
        <f t="shared" si="7"/>
        <v>0</v>
      </c>
      <c r="M197" s="855">
        <f t="shared" si="7"/>
        <v>0</v>
      </c>
      <c r="N197" s="856"/>
      <c r="O197" s="857">
        <f t="shared" si="9"/>
        <v>0</v>
      </c>
      <c r="P197" s="849">
        <f t="shared" si="8"/>
        <v>0</v>
      </c>
    </row>
    <row r="198" spans="3:16" ht="30" hidden="1" customHeight="1" outlineLevel="1">
      <c r="C198" s="850">
        <v>6</v>
      </c>
      <c r="D198" s="851"/>
      <c r="E198" s="852"/>
      <c r="F198" s="852"/>
      <c r="G198" s="1064"/>
      <c r="K198" s="489"/>
      <c r="L198" s="838">
        <f t="shared" si="7"/>
        <v>0</v>
      </c>
      <c r="M198" s="855">
        <f t="shared" si="7"/>
        <v>0</v>
      </c>
      <c r="N198" s="856"/>
      <c r="O198" s="857">
        <f t="shared" si="9"/>
        <v>0</v>
      </c>
      <c r="P198" s="849">
        <f t="shared" si="8"/>
        <v>0</v>
      </c>
    </row>
    <row r="199" spans="3:16" ht="30" hidden="1" customHeight="1" outlineLevel="1">
      <c r="C199" s="850">
        <v>7</v>
      </c>
      <c r="D199" s="851"/>
      <c r="E199" s="852"/>
      <c r="F199" s="852"/>
      <c r="G199" s="1064"/>
      <c r="K199" s="489"/>
      <c r="L199" s="838">
        <f t="shared" si="7"/>
        <v>0</v>
      </c>
      <c r="M199" s="855">
        <f t="shared" si="7"/>
        <v>0</v>
      </c>
      <c r="N199" s="856"/>
      <c r="O199" s="857">
        <f t="shared" si="9"/>
        <v>0</v>
      </c>
      <c r="P199" s="849">
        <f t="shared" si="8"/>
        <v>0</v>
      </c>
    </row>
    <row r="200" spans="3:16" ht="30" hidden="1" customHeight="1" outlineLevel="1">
      <c r="C200" s="850">
        <v>8</v>
      </c>
      <c r="D200" s="851"/>
      <c r="E200" s="852"/>
      <c r="F200" s="852"/>
      <c r="G200" s="1064"/>
      <c r="K200" s="489"/>
      <c r="L200" s="838">
        <f t="shared" si="7"/>
        <v>0</v>
      </c>
      <c r="M200" s="855">
        <f t="shared" si="7"/>
        <v>0</v>
      </c>
      <c r="N200" s="856"/>
      <c r="O200" s="857">
        <f t="shared" si="9"/>
        <v>0</v>
      </c>
      <c r="P200" s="849">
        <f t="shared" si="8"/>
        <v>0</v>
      </c>
    </row>
    <row r="201" spans="3:16" ht="30" hidden="1" customHeight="1" outlineLevel="1">
      <c r="C201" s="850">
        <v>9</v>
      </c>
      <c r="D201" s="851"/>
      <c r="E201" s="852"/>
      <c r="F201" s="852"/>
      <c r="G201" s="1064"/>
      <c r="K201" s="489"/>
      <c r="L201" s="838">
        <f t="shared" si="7"/>
        <v>0</v>
      </c>
      <c r="M201" s="855">
        <f t="shared" si="7"/>
        <v>0</v>
      </c>
      <c r="N201" s="856"/>
      <c r="O201" s="857">
        <f t="shared" si="9"/>
        <v>0</v>
      </c>
      <c r="P201" s="849">
        <f t="shared" si="8"/>
        <v>0</v>
      </c>
    </row>
    <row r="202" spans="3:16" ht="30" hidden="1" customHeight="1" outlineLevel="1">
      <c r="C202" s="850">
        <v>10</v>
      </c>
      <c r="D202" s="851"/>
      <c r="E202" s="852"/>
      <c r="F202" s="852"/>
      <c r="G202" s="1064"/>
      <c r="K202" s="489"/>
      <c r="L202" s="838">
        <f t="shared" si="7"/>
        <v>0</v>
      </c>
      <c r="M202" s="855">
        <f t="shared" si="7"/>
        <v>0</v>
      </c>
      <c r="N202" s="856"/>
      <c r="O202" s="857">
        <f t="shared" si="9"/>
        <v>0</v>
      </c>
      <c r="P202" s="849">
        <f t="shared" si="8"/>
        <v>0</v>
      </c>
    </row>
    <row r="203" spans="3:16" ht="30" hidden="1" customHeight="1" outlineLevel="1">
      <c r="C203" s="850">
        <v>11</v>
      </c>
      <c r="D203" s="851"/>
      <c r="E203" s="852"/>
      <c r="F203" s="852"/>
      <c r="G203" s="1064"/>
      <c r="K203" s="489"/>
      <c r="L203" s="838">
        <f t="shared" si="7"/>
        <v>0</v>
      </c>
      <c r="M203" s="855">
        <f t="shared" si="7"/>
        <v>0</v>
      </c>
      <c r="N203" s="856"/>
      <c r="O203" s="857">
        <f t="shared" si="9"/>
        <v>0</v>
      </c>
      <c r="P203" s="849">
        <f t="shared" si="8"/>
        <v>0</v>
      </c>
    </row>
    <row r="204" spans="3:16" ht="30" hidden="1" customHeight="1" outlineLevel="1">
      <c r="C204" s="850">
        <v>12</v>
      </c>
      <c r="D204" s="851"/>
      <c r="E204" s="852"/>
      <c r="F204" s="852"/>
      <c r="G204" s="1064"/>
      <c r="K204" s="489"/>
      <c r="L204" s="838">
        <f t="shared" si="7"/>
        <v>0</v>
      </c>
      <c r="M204" s="855">
        <f t="shared" si="7"/>
        <v>0</v>
      </c>
      <c r="N204" s="856"/>
      <c r="O204" s="857">
        <f t="shared" si="9"/>
        <v>0</v>
      </c>
      <c r="P204" s="849">
        <f t="shared" si="8"/>
        <v>0</v>
      </c>
    </row>
    <row r="205" spans="3:16" ht="30" hidden="1" customHeight="1" outlineLevel="1">
      <c r="C205" s="850">
        <v>13</v>
      </c>
      <c r="D205" s="851"/>
      <c r="E205" s="852"/>
      <c r="F205" s="852"/>
      <c r="G205" s="1064"/>
      <c r="K205" s="489"/>
      <c r="L205" s="838">
        <f t="shared" si="7"/>
        <v>0</v>
      </c>
      <c r="M205" s="855">
        <f t="shared" si="7"/>
        <v>0</v>
      </c>
      <c r="N205" s="856"/>
      <c r="O205" s="857">
        <f t="shared" si="9"/>
        <v>0</v>
      </c>
      <c r="P205" s="849">
        <f t="shared" si="8"/>
        <v>0</v>
      </c>
    </row>
    <row r="206" spans="3:16" ht="30" hidden="1" customHeight="1" outlineLevel="1">
      <c r="C206" s="850">
        <v>14</v>
      </c>
      <c r="D206" s="851"/>
      <c r="E206" s="852"/>
      <c r="F206" s="852"/>
      <c r="G206" s="1064"/>
      <c r="K206" s="489"/>
      <c r="L206" s="838">
        <f t="shared" si="7"/>
        <v>0</v>
      </c>
      <c r="M206" s="855">
        <f t="shared" si="7"/>
        <v>0</v>
      </c>
      <c r="N206" s="856"/>
      <c r="O206" s="857">
        <f t="shared" si="9"/>
        <v>0</v>
      </c>
      <c r="P206" s="849">
        <f t="shared" si="8"/>
        <v>0</v>
      </c>
    </row>
    <row r="207" spans="3:16" ht="30" hidden="1" customHeight="1" outlineLevel="1">
      <c r="C207" s="850">
        <v>15</v>
      </c>
      <c r="D207" s="851"/>
      <c r="E207" s="852"/>
      <c r="F207" s="852"/>
      <c r="G207" s="1064"/>
      <c r="K207" s="489"/>
      <c r="L207" s="838">
        <f t="shared" si="7"/>
        <v>0</v>
      </c>
      <c r="M207" s="855">
        <f t="shared" si="7"/>
        <v>0</v>
      </c>
      <c r="N207" s="856"/>
      <c r="O207" s="857">
        <f t="shared" si="9"/>
        <v>0</v>
      </c>
      <c r="P207" s="849">
        <f t="shared" si="8"/>
        <v>0</v>
      </c>
    </row>
    <row r="208" spans="3:16" ht="30" hidden="1" customHeight="1" outlineLevel="1">
      <c r="C208" s="850">
        <v>16</v>
      </c>
      <c r="D208" s="851"/>
      <c r="E208" s="852"/>
      <c r="F208" s="852"/>
      <c r="G208" s="1064"/>
      <c r="K208" s="489"/>
      <c r="L208" s="838">
        <f t="shared" si="7"/>
        <v>0</v>
      </c>
      <c r="M208" s="855">
        <f t="shared" si="7"/>
        <v>0</v>
      </c>
      <c r="N208" s="856"/>
      <c r="O208" s="857">
        <f t="shared" si="9"/>
        <v>0</v>
      </c>
      <c r="P208" s="849">
        <f t="shared" si="8"/>
        <v>0</v>
      </c>
    </row>
    <row r="209" spans="3:16" ht="30" hidden="1" customHeight="1" outlineLevel="1">
      <c r="C209" s="850">
        <v>17</v>
      </c>
      <c r="D209" s="851"/>
      <c r="E209" s="852"/>
      <c r="F209" s="852"/>
      <c r="G209" s="1064"/>
      <c r="K209" s="489"/>
      <c r="L209" s="838">
        <f t="shared" si="7"/>
        <v>0</v>
      </c>
      <c r="M209" s="855">
        <f t="shared" si="7"/>
        <v>0</v>
      </c>
      <c r="N209" s="856"/>
      <c r="O209" s="857">
        <f t="shared" si="9"/>
        <v>0</v>
      </c>
      <c r="P209" s="849">
        <f t="shared" si="8"/>
        <v>0</v>
      </c>
    </row>
    <row r="210" spans="3:16" ht="30" hidden="1" customHeight="1" outlineLevel="1">
      <c r="C210" s="850">
        <v>18</v>
      </c>
      <c r="D210" s="851"/>
      <c r="E210" s="852"/>
      <c r="F210" s="852"/>
      <c r="G210" s="1064"/>
      <c r="K210" s="489"/>
      <c r="L210" s="838">
        <f t="shared" si="7"/>
        <v>0</v>
      </c>
      <c r="M210" s="855">
        <f t="shared" si="7"/>
        <v>0</v>
      </c>
      <c r="N210" s="856"/>
      <c r="O210" s="857">
        <f t="shared" si="9"/>
        <v>0</v>
      </c>
      <c r="P210" s="849">
        <f t="shared" si="8"/>
        <v>0</v>
      </c>
    </row>
    <row r="211" spans="3:16" ht="30" hidden="1" customHeight="1" outlineLevel="1">
      <c r="C211" s="850">
        <v>19</v>
      </c>
      <c r="D211" s="851"/>
      <c r="E211" s="852"/>
      <c r="F211" s="852"/>
      <c r="G211" s="1064"/>
      <c r="K211" s="489"/>
      <c r="L211" s="838">
        <f t="shared" si="7"/>
        <v>0</v>
      </c>
      <c r="M211" s="855">
        <f t="shared" si="7"/>
        <v>0</v>
      </c>
      <c r="N211" s="856"/>
      <c r="O211" s="857">
        <f t="shared" si="9"/>
        <v>0</v>
      </c>
      <c r="P211" s="849">
        <f t="shared" si="8"/>
        <v>0</v>
      </c>
    </row>
    <row r="212" spans="3:16" ht="30" hidden="1" customHeight="1" outlineLevel="1">
      <c r="C212" s="850">
        <v>20</v>
      </c>
      <c r="D212" s="851"/>
      <c r="E212" s="852"/>
      <c r="F212" s="852"/>
      <c r="G212" s="1064"/>
      <c r="K212" s="489"/>
      <c r="L212" s="838">
        <f t="shared" si="7"/>
        <v>0</v>
      </c>
      <c r="M212" s="855">
        <f t="shared" si="7"/>
        <v>0</v>
      </c>
      <c r="N212" s="856"/>
      <c r="O212" s="857">
        <f t="shared" si="9"/>
        <v>0</v>
      </c>
      <c r="P212" s="849">
        <f t="shared" si="8"/>
        <v>0</v>
      </c>
    </row>
    <row r="213" spans="3:16" ht="30" hidden="1" customHeight="1" outlineLevel="1">
      <c r="C213" s="850">
        <v>21</v>
      </c>
      <c r="D213" s="851"/>
      <c r="E213" s="852"/>
      <c r="F213" s="852"/>
      <c r="G213" s="1064"/>
      <c r="K213" s="489"/>
      <c r="L213" s="838">
        <f t="shared" si="7"/>
        <v>0</v>
      </c>
      <c r="M213" s="855">
        <f t="shared" si="7"/>
        <v>0</v>
      </c>
      <c r="N213" s="856"/>
      <c r="O213" s="857">
        <f t="shared" si="9"/>
        <v>0</v>
      </c>
      <c r="P213" s="849">
        <f t="shared" si="8"/>
        <v>0</v>
      </c>
    </row>
    <row r="214" spans="3:16" ht="30" hidden="1" customHeight="1" outlineLevel="1">
      <c r="C214" s="850">
        <v>22</v>
      </c>
      <c r="D214" s="851"/>
      <c r="E214" s="852"/>
      <c r="F214" s="852"/>
      <c r="G214" s="1064"/>
      <c r="K214" s="489"/>
      <c r="L214" s="838">
        <f t="shared" si="7"/>
        <v>0</v>
      </c>
      <c r="M214" s="855">
        <f t="shared" si="7"/>
        <v>0</v>
      </c>
      <c r="N214" s="856"/>
      <c r="O214" s="857">
        <f t="shared" si="9"/>
        <v>0</v>
      </c>
      <c r="P214" s="849">
        <f t="shared" si="8"/>
        <v>0</v>
      </c>
    </row>
    <row r="215" spans="3:16" ht="30" hidden="1" customHeight="1" outlineLevel="1">
      <c r="C215" s="850">
        <v>23</v>
      </c>
      <c r="D215" s="851"/>
      <c r="E215" s="852"/>
      <c r="F215" s="852"/>
      <c r="G215" s="1064"/>
      <c r="K215" s="489"/>
      <c r="L215" s="838">
        <f t="shared" si="7"/>
        <v>0</v>
      </c>
      <c r="M215" s="855">
        <f t="shared" si="7"/>
        <v>0</v>
      </c>
      <c r="N215" s="856"/>
      <c r="O215" s="857">
        <f t="shared" si="9"/>
        <v>0</v>
      </c>
      <c r="P215" s="849">
        <f t="shared" si="8"/>
        <v>0</v>
      </c>
    </row>
    <row r="216" spans="3:16" ht="30" hidden="1" customHeight="1" outlineLevel="1">
      <c r="C216" s="850">
        <v>24</v>
      </c>
      <c r="D216" s="851"/>
      <c r="E216" s="852"/>
      <c r="F216" s="852"/>
      <c r="G216" s="1064"/>
      <c r="K216" s="489"/>
      <c r="L216" s="838">
        <f t="shared" si="7"/>
        <v>0</v>
      </c>
      <c r="M216" s="855">
        <f t="shared" si="7"/>
        <v>0</v>
      </c>
      <c r="N216" s="856"/>
      <c r="O216" s="857">
        <f t="shared" si="9"/>
        <v>0</v>
      </c>
      <c r="P216" s="849">
        <f t="shared" si="8"/>
        <v>0</v>
      </c>
    </row>
    <row r="217" spans="3:16" ht="30" hidden="1" customHeight="1" outlineLevel="1">
      <c r="C217" s="850">
        <v>25</v>
      </c>
      <c r="D217" s="851"/>
      <c r="E217" s="852"/>
      <c r="F217" s="852"/>
      <c r="G217" s="1064"/>
      <c r="K217" s="489"/>
      <c r="L217" s="838">
        <f t="shared" si="7"/>
        <v>0</v>
      </c>
      <c r="M217" s="855">
        <f t="shared" si="7"/>
        <v>0</v>
      </c>
      <c r="N217" s="856"/>
      <c r="O217" s="857">
        <f t="shared" si="9"/>
        <v>0</v>
      </c>
      <c r="P217" s="849">
        <f t="shared" si="8"/>
        <v>0</v>
      </c>
    </row>
    <row r="218" spans="3:16" ht="30" hidden="1" customHeight="1" outlineLevel="1">
      <c r="C218" s="850">
        <v>26</v>
      </c>
      <c r="D218" s="851"/>
      <c r="E218" s="852"/>
      <c r="F218" s="852"/>
      <c r="G218" s="1064"/>
      <c r="K218" s="489"/>
      <c r="L218" s="838">
        <f t="shared" si="7"/>
        <v>0</v>
      </c>
      <c r="M218" s="855">
        <f t="shared" si="7"/>
        <v>0</v>
      </c>
      <c r="N218" s="856"/>
      <c r="O218" s="857">
        <f t="shared" si="9"/>
        <v>0</v>
      </c>
      <c r="P218" s="849">
        <f t="shared" si="8"/>
        <v>0</v>
      </c>
    </row>
    <row r="219" spans="3:16" ht="30" hidden="1" customHeight="1" outlineLevel="1">
      <c r="C219" s="850">
        <v>27</v>
      </c>
      <c r="D219" s="851"/>
      <c r="E219" s="852"/>
      <c r="F219" s="852"/>
      <c r="G219" s="1064"/>
      <c r="K219" s="489"/>
      <c r="L219" s="838">
        <f t="shared" si="7"/>
        <v>0</v>
      </c>
      <c r="M219" s="855">
        <f t="shared" si="7"/>
        <v>0</v>
      </c>
      <c r="N219" s="856"/>
      <c r="O219" s="857">
        <f t="shared" si="9"/>
        <v>0</v>
      </c>
      <c r="P219" s="849">
        <f t="shared" si="8"/>
        <v>0</v>
      </c>
    </row>
    <row r="220" spans="3:16" ht="30" hidden="1" customHeight="1" outlineLevel="1">
      <c r="C220" s="850">
        <v>28</v>
      </c>
      <c r="D220" s="851"/>
      <c r="E220" s="852"/>
      <c r="F220" s="852"/>
      <c r="G220" s="1064"/>
      <c r="K220" s="489"/>
      <c r="L220" s="838">
        <f t="shared" si="7"/>
        <v>0</v>
      </c>
      <c r="M220" s="855">
        <f t="shared" si="7"/>
        <v>0</v>
      </c>
      <c r="N220" s="856"/>
      <c r="O220" s="857">
        <f t="shared" si="9"/>
        <v>0</v>
      </c>
      <c r="P220" s="849">
        <f t="shared" si="8"/>
        <v>0</v>
      </c>
    </row>
    <row r="221" spans="3:16" ht="30" hidden="1" customHeight="1" outlineLevel="1">
      <c r="C221" s="850">
        <v>29</v>
      </c>
      <c r="D221" s="851"/>
      <c r="E221" s="852"/>
      <c r="F221" s="852"/>
      <c r="G221" s="1064"/>
      <c r="K221" s="489"/>
      <c r="L221" s="838">
        <f t="shared" si="7"/>
        <v>0</v>
      </c>
      <c r="M221" s="855">
        <f t="shared" si="7"/>
        <v>0</v>
      </c>
      <c r="N221" s="856"/>
      <c r="O221" s="857">
        <f t="shared" si="9"/>
        <v>0</v>
      </c>
      <c r="P221" s="849">
        <f t="shared" si="8"/>
        <v>0</v>
      </c>
    </row>
    <row r="222" spans="3:16" ht="30" hidden="1" customHeight="1" outlineLevel="1">
      <c r="C222" s="850">
        <v>30</v>
      </c>
      <c r="D222" s="851"/>
      <c r="E222" s="852"/>
      <c r="F222" s="852"/>
      <c r="G222" s="1064"/>
      <c r="K222" s="489"/>
      <c r="L222" s="838">
        <f t="shared" si="7"/>
        <v>0</v>
      </c>
      <c r="M222" s="855">
        <f t="shared" si="7"/>
        <v>0</v>
      </c>
      <c r="N222" s="856"/>
      <c r="O222" s="857">
        <f t="shared" si="9"/>
        <v>0</v>
      </c>
      <c r="P222" s="849">
        <f t="shared" si="8"/>
        <v>0</v>
      </c>
    </row>
    <row r="223" spans="3:16" ht="30" hidden="1" customHeight="1" outlineLevel="1">
      <c r="C223" s="850">
        <v>31</v>
      </c>
      <c r="D223" s="851"/>
      <c r="E223" s="852"/>
      <c r="F223" s="852"/>
      <c r="G223" s="1064"/>
      <c r="K223" s="489"/>
      <c r="L223" s="838">
        <f t="shared" si="7"/>
        <v>0</v>
      </c>
      <c r="M223" s="855">
        <f t="shared" si="7"/>
        <v>0</v>
      </c>
      <c r="N223" s="856"/>
      <c r="O223" s="857">
        <f t="shared" si="9"/>
        <v>0</v>
      </c>
      <c r="P223" s="849">
        <f t="shared" si="8"/>
        <v>0</v>
      </c>
    </row>
    <row r="224" spans="3:16" ht="30" hidden="1" customHeight="1" outlineLevel="1">
      <c r="C224" s="850">
        <v>32</v>
      </c>
      <c r="D224" s="851"/>
      <c r="E224" s="852"/>
      <c r="F224" s="852"/>
      <c r="G224" s="1064"/>
      <c r="K224" s="489"/>
      <c r="L224" s="838">
        <f t="shared" si="7"/>
        <v>0</v>
      </c>
      <c r="M224" s="855">
        <f t="shared" si="7"/>
        <v>0</v>
      </c>
      <c r="N224" s="856"/>
      <c r="O224" s="857">
        <f t="shared" si="9"/>
        <v>0</v>
      </c>
      <c r="P224" s="849">
        <f t="shared" si="8"/>
        <v>0</v>
      </c>
    </row>
    <row r="225" spans="3:16" ht="30" hidden="1" customHeight="1" outlineLevel="1">
      <c r="C225" s="850">
        <v>33</v>
      </c>
      <c r="D225" s="851"/>
      <c r="E225" s="852"/>
      <c r="F225" s="852"/>
      <c r="G225" s="1064"/>
      <c r="K225" s="489"/>
      <c r="L225" s="838">
        <f t="shared" si="7"/>
        <v>0</v>
      </c>
      <c r="M225" s="855">
        <f t="shared" si="7"/>
        <v>0</v>
      </c>
      <c r="N225" s="856"/>
      <c r="O225" s="857">
        <f t="shared" si="9"/>
        <v>0</v>
      </c>
      <c r="P225" s="849">
        <f t="shared" si="8"/>
        <v>0</v>
      </c>
    </row>
    <row r="226" spans="3:16" ht="30" hidden="1" customHeight="1" outlineLevel="1">
      <c r="C226" s="850">
        <v>34</v>
      </c>
      <c r="D226" s="851"/>
      <c r="E226" s="852"/>
      <c r="F226" s="852"/>
      <c r="G226" s="1064"/>
      <c r="K226" s="489"/>
      <c r="L226" s="838">
        <f t="shared" si="7"/>
        <v>0</v>
      </c>
      <c r="M226" s="855">
        <f t="shared" si="7"/>
        <v>0</v>
      </c>
      <c r="N226" s="856"/>
      <c r="O226" s="857">
        <f t="shared" si="9"/>
        <v>0</v>
      </c>
      <c r="P226" s="849">
        <f t="shared" si="8"/>
        <v>0</v>
      </c>
    </row>
    <row r="227" spans="3:16" ht="30" hidden="1" customHeight="1" outlineLevel="1">
      <c r="C227" s="850">
        <v>35</v>
      </c>
      <c r="D227" s="851"/>
      <c r="E227" s="852"/>
      <c r="F227" s="852"/>
      <c r="G227" s="1064"/>
      <c r="K227" s="489"/>
      <c r="L227" s="838">
        <f t="shared" si="7"/>
        <v>0</v>
      </c>
      <c r="M227" s="855">
        <f t="shared" si="7"/>
        <v>0</v>
      </c>
      <c r="N227" s="856"/>
      <c r="O227" s="857">
        <f t="shared" si="9"/>
        <v>0</v>
      </c>
      <c r="P227" s="849">
        <f t="shared" si="8"/>
        <v>0</v>
      </c>
    </row>
    <row r="228" spans="3:16" ht="30" hidden="1" customHeight="1" outlineLevel="1">
      <c r="C228" s="850">
        <v>36</v>
      </c>
      <c r="D228" s="851"/>
      <c r="E228" s="852"/>
      <c r="F228" s="852"/>
      <c r="G228" s="1064"/>
      <c r="K228" s="489"/>
      <c r="L228" s="838">
        <f t="shared" si="7"/>
        <v>0</v>
      </c>
      <c r="M228" s="855">
        <f t="shared" si="7"/>
        <v>0</v>
      </c>
      <c r="N228" s="856"/>
      <c r="O228" s="857">
        <f t="shared" si="9"/>
        <v>0</v>
      </c>
      <c r="P228" s="849">
        <f t="shared" si="8"/>
        <v>0</v>
      </c>
    </row>
    <row r="229" spans="3:16" ht="30" hidden="1" customHeight="1" outlineLevel="1">
      <c r="C229" s="850">
        <v>37</v>
      </c>
      <c r="D229" s="851"/>
      <c r="E229" s="852"/>
      <c r="F229" s="852"/>
      <c r="G229" s="1064"/>
      <c r="K229" s="489"/>
      <c r="L229" s="838">
        <f t="shared" si="7"/>
        <v>0</v>
      </c>
      <c r="M229" s="855">
        <f t="shared" si="7"/>
        <v>0</v>
      </c>
      <c r="N229" s="856"/>
      <c r="O229" s="857">
        <f t="shared" si="9"/>
        <v>0</v>
      </c>
      <c r="P229" s="849">
        <f t="shared" si="8"/>
        <v>0</v>
      </c>
    </row>
    <row r="230" spans="3:16" ht="30" hidden="1" customHeight="1" outlineLevel="1">
      <c r="C230" s="850">
        <v>38</v>
      </c>
      <c r="D230" s="851"/>
      <c r="E230" s="852"/>
      <c r="F230" s="852"/>
      <c r="G230" s="1064"/>
      <c r="K230" s="489"/>
      <c r="L230" s="838">
        <f t="shared" si="7"/>
        <v>0</v>
      </c>
      <c r="M230" s="855">
        <f t="shared" si="7"/>
        <v>0</v>
      </c>
      <c r="N230" s="856"/>
      <c r="O230" s="857">
        <f t="shared" si="9"/>
        <v>0</v>
      </c>
      <c r="P230" s="849">
        <f t="shared" si="8"/>
        <v>0</v>
      </c>
    </row>
    <row r="231" spans="3:16" ht="30" hidden="1" customHeight="1" outlineLevel="1">
      <c r="C231" s="850">
        <v>39</v>
      </c>
      <c r="D231" s="851"/>
      <c r="E231" s="852"/>
      <c r="F231" s="852"/>
      <c r="G231" s="1064"/>
      <c r="K231" s="489"/>
      <c r="L231" s="838">
        <f t="shared" si="7"/>
        <v>0</v>
      </c>
      <c r="M231" s="855">
        <f t="shared" si="7"/>
        <v>0</v>
      </c>
      <c r="N231" s="856"/>
      <c r="O231" s="857">
        <f t="shared" si="9"/>
        <v>0</v>
      </c>
      <c r="P231" s="849">
        <f t="shared" si="8"/>
        <v>0</v>
      </c>
    </row>
    <row r="232" spans="3:16" ht="30" hidden="1" customHeight="1" outlineLevel="1">
      <c r="C232" s="850">
        <v>40</v>
      </c>
      <c r="D232" s="851"/>
      <c r="E232" s="852"/>
      <c r="F232" s="852"/>
      <c r="G232" s="1064"/>
      <c r="K232" s="489"/>
      <c r="L232" s="838">
        <f t="shared" si="7"/>
        <v>0</v>
      </c>
      <c r="M232" s="855">
        <f t="shared" si="7"/>
        <v>0</v>
      </c>
      <c r="N232" s="856"/>
      <c r="O232" s="857">
        <f t="shared" si="9"/>
        <v>0</v>
      </c>
      <c r="P232" s="849">
        <f t="shared" si="8"/>
        <v>0</v>
      </c>
    </row>
    <row r="233" spans="3:16" ht="30" hidden="1" customHeight="1" outlineLevel="1">
      <c r="C233" s="850">
        <v>41</v>
      </c>
      <c r="D233" s="851"/>
      <c r="E233" s="852"/>
      <c r="F233" s="852"/>
      <c r="G233" s="1064"/>
      <c r="K233" s="489"/>
      <c r="L233" s="838">
        <f t="shared" si="7"/>
        <v>0</v>
      </c>
      <c r="M233" s="855">
        <f t="shared" si="7"/>
        <v>0</v>
      </c>
      <c r="N233" s="856"/>
      <c r="O233" s="857">
        <f t="shared" si="9"/>
        <v>0</v>
      </c>
      <c r="P233" s="849">
        <f t="shared" si="8"/>
        <v>0</v>
      </c>
    </row>
    <row r="234" spans="3:16" ht="30" hidden="1" customHeight="1" outlineLevel="1">
      <c r="C234" s="850">
        <v>42</v>
      </c>
      <c r="D234" s="851"/>
      <c r="E234" s="852"/>
      <c r="F234" s="852"/>
      <c r="G234" s="1064"/>
      <c r="K234" s="489"/>
      <c r="L234" s="838">
        <f t="shared" si="7"/>
        <v>0</v>
      </c>
      <c r="M234" s="855">
        <f t="shared" si="7"/>
        <v>0</v>
      </c>
      <c r="N234" s="856"/>
      <c r="O234" s="857">
        <f t="shared" si="9"/>
        <v>0</v>
      </c>
      <c r="P234" s="849">
        <f t="shared" si="8"/>
        <v>0</v>
      </c>
    </row>
    <row r="235" spans="3:16" ht="30" hidden="1" customHeight="1" outlineLevel="1">
      <c r="C235" s="850">
        <v>43</v>
      </c>
      <c r="D235" s="851"/>
      <c r="E235" s="852"/>
      <c r="F235" s="852"/>
      <c r="G235" s="1064"/>
      <c r="K235" s="489"/>
      <c r="L235" s="838">
        <f t="shared" si="7"/>
        <v>0</v>
      </c>
      <c r="M235" s="855">
        <f t="shared" si="7"/>
        <v>0</v>
      </c>
      <c r="N235" s="856"/>
      <c r="O235" s="857">
        <f t="shared" si="9"/>
        <v>0</v>
      </c>
      <c r="P235" s="849">
        <f t="shared" si="8"/>
        <v>0</v>
      </c>
    </row>
    <row r="236" spans="3:16" ht="30" hidden="1" customHeight="1" outlineLevel="1">
      <c r="C236" s="850">
        <v>44</v>
      </c>
      <c r="D236" s="851"/>
      <c r="E236" s="852"/>
      <c r="F236" s="852"/>
      <c r="G236" s="1064"/>
      <c r="K236" s="489"/>
      <c r="L236" s="838">
        <f t="shared" si="7"/>
        <v>0</v>
      </c>
      <c r="M236" s="855">
        <f t="shared" si="7"/>
        <v>0</v>
      </c>
      <c r="N236" s="856"/>
      <c r="O236" s="857">
        <f t="shared" si="9"/>
        <v>0</v>
      </c>
      <c r="P236" s="849">
        <f t="shared" si="8"/>
        <v>0</v>
      </c>
    </row>
    <row r="237" spans="3:16" ht="30" hidden="1" customHeight="1" outlineLevel="1">
      <c r="C237" s="850">
        <v>45</v>
      </c>
      <c r="D237" s="851"/>
      <c r="E237" s="852"/>
      <c r="F237" s="852"/>
      <c r="G237" s="1064"/>
      <c r="K237" s="489"/>
      <c r="L237" s="838">
        <f t="shared" si="7"/>
        <v>0</v>
      </c>
      <c r="M237" s="855">
        <f t="shared" si="7"/>
        <v>0</v>
      </c>
      <c r="N237" s="856"/>
      <c r="O237" s="857">
        <f t="shared" si="9"/>
        <v>0</v>
      </c>
      <c r="P237" s="849">
        <f t="shared" si="8"/>
        <v>0</v>
      </c>
    </row>
    <row r="238" spans="3:16" ht="30" hidden="1" customHeight="1" outlineLevel="1">
      <c r="C238" s="850">
        <v>46</v>
      </c>
      <c r="D238" s="851"/>
      <c r="E238" s="852"/>
      <c r="F238" s="852"/>
      <c r="G238" s="1064"/>
      <c r="K238" s="489"/>
      <c r="L238" s="838">
        <f t="shared" si="7"/>
        <v>0</v>
      </c>
      <c r="M238" s="855">
        <f t="shared" si="7"/>
        <v>0</v>
      </c>
      <c r="N238" s="856"/>
      <c r="O238" s="857">
        <f t="shared" si="9"/>
        <v>0</v>
      </c>
      <c r="P238" s="849">
        <f t="shared" si="8"/>
        <v>0</v>
      </c>
    </row>
    <row r="239" spans="3:16" ht="30" hidden="1" customHeight="1" outlineLevel="1">
      <c r="C239" s="850">
        <v>47</v>
      </c>
      <c r="D239" s="851"/>
      <c r="E239" s="852"/>
      <c r="F239" s="852"/>
      <c r="G239" s="1064"/>
      <c r="K239" s="489"/>
      <c r="L239" s="838">
        <f t="shared" si="7"/>
        <v>0</v>
      </c>
      <c r="M239" s="855">
        <f t="shared" si="7"/>
        <v>0</v>
      </c>
      <c r="N239" s="856"/>
      <c r="O239" s="857">
        <f t="shared" si="9"/>
        <v>0</v>
      </c>
      <c r="P239" s="849">
        <f t="shared" si="8"/>
        <v>0</v>
      </c>
    </row>
    <row r="240" spans="3:16" ht="30" hidden="1" customHeight="1" outlineLevel="1">
      <c r="C240" s="850">
        <v>48</v>
      </c>
      <c r="D240" s="851"/>
      <c r="E240" s="852"/>
      <c r="F240" s="852"/>
      <c r="G240" s="1064"/>
      <c r="K240" s="489"/>
      <c r="L240" s="838">
        <f t="shared" si="7"/>
        <v>0</v>
      </c>
      <c r="M240" s="855">
        <f t="shared" si="7"/>
        <v>0</v>
      </c>
      <c r="N240" s="856"/>
      <c r="O240" s="857">
        <f t="shared" si="9"/>
        <v>0</v>
      </c>
      <c r="P240" s="849">
        <f t="shared" si="8"/>
        <v>0</v>
      </c>
    </row>
    <row r="241" spans="2:16" ht="30" hidden="1" customHeight="1" outlineLevel="1">
      <c r="C241" s="850">
        <v>49</v>
      </c>
      <c r="D241" s="851"/>
      <c r="E241" s="852"/>
      <c r="F241" s="852"/>
      <c r="G241" s="1064"/>
      <c r="K241" s="489"/>
      <c r="L241" s="838">
        <f t="shared" si="7"/>
        <v>0</v>
      </c>
      <c r="M241" s="855">
        <f t="shared" si="7"/>
        <v>0</v>
      </c>
      <c r="N241" s="856"/>
      <c r="O241" s="857">
        <f t="shared" si="9"/>
        <v>0</v>
      </c>
      <c r="P241" s="849">
        <f t="shared" si="8"/>
        <v>0</v>
      </c>
    </row>
    <row r="242" spans="2:16" ht="30" hidden="1" customHeight="1" outlineLevel="1" thickBot="1">
      <c r="C242" s="858">
        <v>50</v>
      </c>
      <c r="D242" s="859"/>
      <c r="E242" s="860"/>
      <c r="F242" s="860"/>
      <c r="G242" s="1080"/>
      <c r="K242" s="489"/>
      <c r="L242" s="838">
        <f t="shared" si="7"/>
        <v>0</v>
      </c>
      <c r="M242" s="855">
        <f t="shared" si="7"/>
        <v>0</v>
      </c>
      <c r="N242" s="863"/>
      <c r="O242" s="857">
        <f t="shared" si="9"/>
        <v>0</v>
      </c>
      <c r="P242" s="849">
        <f t="shared" si="8"/>
        <v>0</v>
      </c>
    </row>
    <row r="243" spans="2:16" ht="14.25" customHeight="1" thickTop="1">
      <c r="C243" s="873"/>
      <c r="D243" s="405"/>
      <c r="E243" s="405"/>
      <c r="F243" s="405"/>
      <c r="G243" s="405"/>
      <c r="I243" s="610"/>
      <c r="N243" s="720"/>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6" r:id="rId5" name="Label1">
          <controlPr defaultSize="0" print="0" autoLine="0" r:id="rId6">
            <anchor moveWithCells="1">
              <from>
                <xdr:col>4</xdr:col>
                <xdr:colOff>9525</xdr:colOff>
                <xdr:row>17</xdr:row>
                <xdr:rowOff>76200</xdr:rowOff>
              </from>
              <to>
                <xdr:col>4</xdr:col>
                <xdr:colOff>1076325</xdr:colOff>
                <xdr:row>18</xdr:row>
                <xdr:rowOff>57150</xdr:rowOff>
              </to>
            </anchor>
          </controlPr>
        </control>
      </mc:Choice>
      <mc:Fallback>
        <control shapeId="18436" r:id="rId5" name="Label1"/>
      </mc:Fallback>
    </mc:AlternateContent>
    <mc:AlternateContent xmlns:mc="http://schemas.openxmlformats.org/markup-compatibility/2006">
      <mc:Choice Requires="x14">
        <control shapeId="18437" r:id="rId7" name="txt_hyouji1">
          <controlPr locked="0" defaultSize="0" print="0" autoLine="0" r:id="rId8">
            <anchor moveWithCells="1">
              <from>
                <xdr:col>4</xdr:col>
                <xdr:colOff>9525</xdr:colOff>
                <xdr:row>18</xdr:row>
                <xdr:rowOff>57150</xdr:rowOff>
              </from>
              <to>
                <xdr:col>4</xdr:col>
                <xdr:colOff>1076325</xdr:colOff>
                <xdr:row>19</xdr:row>
                <xdr:rowOff>38100</xdr:rowOff>
              </to>
            </anchor>
          </controlPr>
        </control>
      </mc:Choice>
      <mc:Fallback>
        <control shapeId="18437" r:id="rId7" name="txt_hyouji1"/>
      </mc:Fallback>
    </mc:AlternateContent>
    <mc:AlternateContent xmlns:mc="http://schemas.openxmlformats.org/markup-compatibility/2006">
      <mc:Choice Requires="x14">
        <control shapeId="18438" r:id="rId9" name="btnKoushin1">
          <controlPr defaultSize="0" print="0" autoLine="0" r:id="rId10">
            <anchor moveWithCells="1">
              <from>
                <xdr:col>5</xdr:col>
                <xdr:colOff>57150</xdr:colOff>
                <xdr:row>17</xdr:row>
                <xdr:rowOff>76200</xdr:rowOff>
              </from>
              <to>
                <xdr:col>6</xdr:col>
                <xdr:colOff>180975</xdr:colOff>
                <xdr:row>19</xdr:row>
                <xdr:rowOff>38100</xdr:rowOff>
              </to>
            </anchor>
          </controlPr>
        </control>
      </mc:Choice>
      <mc:Fallback>
        <control shapeId="18438" r:id="rId9" name="btnKoushin1"/>
      </mc:Fallback>
    </mc:AlternateContent>
    <mc:AlternateContent xmlns:mc="http://schemas.openxmlformats.org/markup-compatibility/2006">
      <mc:Choice Requires="x14">
        <control shapeId="18442" r:id="rId11" name="Label2">
          <controlPr defaultSize="0" print="0" autoLine="0" r:id="rId12">
            <anchor moveWithCells="1">
              <from>
                <xdr:col>4</xdr:col>
                <xdr:colOff>0</xdr:colOff>
                <xdr:row>183</xdr:row>
                <xdr:rowOff>0</xdr:rowOff>
              </from>
              <to>
                <xdr:col>4</xdr:col>
                <xdr:colOff>1066800</xdr:colOff>
                <xdr:row>184</xdr:row>
                <xdr:rowOff>28575</xdr:rowOff>
              </to>
            </anchor>
          </controlPr>
        </control>
      </mc:Choice>
      <mc:Fallback>
        <control shapeId="18442" r:id="rId11" name="Label2"/>
      </mc:Fallback>
    </mc:AlternateContent>
    <mc:AlternateContent xmlns:mc="http://schemas.openxmlformats.org/markup-compatibility/2006">
      <mc:Choice Requires="x14">
        <control shapeId="18443" r:id="rId13" name="txt_hyouji2">
          <controlPr locked="0" defaultSize="0" print="0" autoLine="0" r:id="rId14">
            <anchor moveWithCells="1">
              <from>
                <xdr:col>4</xdr:col>
                <xdr:colOff>0</xdr:colOff>
                <xdr:row>184</xdr:row>
                <xdr:rowOff>28575</xdr:rowOff>
              </from>
              <to>
                <xdr:col>4</xdr:col>
                <xdr:colOff>1066800</xdr:colOff>
                <xdr:row>185</xdr:row>
                <xdr:rowOff>9525</xdr:rowOff>
              </to>
            </anchor>
          </controlPr>
        </control>
      </mc:Choice>
      <mc:Fallback>
        <control shapeId="18443" r:id="rId13" name="txt_hyouji2"/>
      </mc:Fallback>
    </mc:AlternateContent>
    <mc:AlternateContent xmlns:mc="http://schemas.openxmlformats.org/markup-compatibility/2006">
      <mc:Choice Requires="x14">
        <control shapeId="18444" r:id="rId15" name="btnKoushin2">
          <controlPr defaultSize="0" print="0" autoLine="0" r:id="rId16">
            <anchor moveWithCells="1">
              <from>
                <xdr:col>5</xdr:col>
                <xdr:colOff>47625</xdr:colOff>
                <xdr:row>183</xdr:row>
                <xdr:rowOff>0</xdr:rowOff>
              </from>
              <to>
                <xdr:col>6</xdr:col>
                <xdr:colOff>171450</xdr:colOff>
                <xdr:row>185</xdr:row>
                <xdr:rowOff>9525</xdr:rowOff>
              </to>
            </anchor>
          </controlPr>
        </control>
      </mc:Choice>
      <mc:Fallback>
        <control shapeId="18444"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H25" sqref="H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0</v>
      </c>
    </row>
    <row r="2" spans="1:16" ht="14.25" customHeight="1">
      <c r="A2" s="30"/>
      <c r="B2" s="30"/>
      <c r="C2" s="30"/>
      <c r="D2" s="30"/>
      <c r="E2" s="30"/>
      <c r="F2" s="30"/>
      <c r="G2" s="30"/>
      <c r="H2" s="30"/>
      <c r="I2" s="30"/>
      <c r="K2" s="195"/>
      <c r="L2" s="195"/>
      <c r="M2" s="30"/>
      <c r="N2" s="30"/>
      <c r="O2" s="30"/>
      <c r="P2" s="30"/>
    </row>
    <row r="3" spans="1:16" ht="14.25" customHeight="1">
      <c r="B3" s="130"/>
      <c r="C3" s="2"/>
      <c r="K3" s="184"/>
      <c r="L3" s="184"/>
    </row>
    <row r="4" spans="1:16" ht="14.25" customHeight="1">
      <c r="B4" s="108"/>
      <c r="C4" s="2"/>
      <c r="K4" s="184"/>
      <c r="L4" s="184"/>
    </row>
    <row r="5" spans="1:16" ht="14.25" customHeight="1">
      <c r="C5" s="626"/>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8" t="s">
        <v>681</v>
      </c>
      <c r="C16" s="2"/>
      <c r="K16" s="184"/>
      <c r="L16" s="184"/>
    </row>
    <row r="17" spans="1:16" ht="14.25" customHeight="1">
      <c r="C17" s="108" t="s">
        <v>649</v>
      </c>
      <c r="K17" s="184"/>
      <c r="L17" s="184"/>
      <c r="M17" s="44"/>
      <c r="N17" s="44"/>
      <c r="O17" s="44"/>
      <c r="P17" s="44"/>
    </row>
    <row r="18" spans="1:16" ht="14.25" customHeight="1">
      <c r="A18" s="30"/>
      <c r="B18" s="30"/>
      <c r="C18" s="30"/>
      <c r="D18" s="626" t="s">
        <v>682</v>
      </c>
      <c r="E18" s="30"/>
      <c r="F18" s="30"/>
      <c r="G18" s="30"/>
      <c r="H18" s="30"/>
      <c r="I18" s="30"/>
      <c r="J18" s="627"/>
      <c r="K18" s="195"/>
      <c r="L18" s="195"/>
      <c r="M18" s="44"/>
      <c r="N18" s="44"/>
      <c r="O18" s="44"/>
      <c r="P18" s="44"/>
    </row>
    <row r="19" spans="1:16" ht="14.25" customHeight="1">
      <c r="A19" s="30"/>
      <c r="B19" s="30"/>
      <c r="C19" s="30"/>
      <c r="D19" s="626" t="s">
        <v>654</v>
      </c>
      <c r="E19" s="30"/>
      <c r="F19" s="30"/>
      <c r="G19" s="30"/>
      <c r="H19" s="30"/>
      <c r="I19" s="30"/>
      <c r="J19" s="627"/>
      <c r="K19" s="195"/>
      <c r="L19" s="195"/>
      <c r="M19" s="44"/>
      <c r="N19" s="44"/>
      <c r="O19" s="44"/>
      <c r="P19" s="44"/>
    </row>
    <row r="20" spans="1:16" ht="14.25" hidden="1" customHeight="1">
      <c r="A20" s="30"/>
      <c r="B20" s="30"/>
      <c r="C20" s="30"/>
      <c r="D20" s="626"/>
      <c r="E20" s="30"/>
      <c r="F20" s="30"/>
      <c r="G20" s="30"/>
      <c r="H20" s="30"/>
      <c r="I20" s="30"/>
      <c r="J20" s="627"/>
      <c r="K20" s="195"/>
      <c r="L20" s="195"/>
      <c r="M20" s="874"/>
      <c r="N20" s="874"/>
      <c r="O20" s="874"/>
      <c r="P20" s="874"/>
    </row>
    <row r="21" spans="1:16" ht="18" customHeight="1" thickBot="1">
      <c r="A21" s="30"/>
      <c r="B21" s="30"/>
      <c r="C21" s="30"/>
      <c r="E21" s="30"/>
      <c r="F21" s="30"/>
      <c r="G21" s="30"/>
      <c r="H21" s="30"/>
      <c r="I21" s="30"/>
      <c r="J21" s="627"/>
      <c r="K21" s="195"/>
      <c r="L21" s="195"/>
      <c r="M21" s="2074" t="s">
        <v>650</v>
      </c>
      <c r="N21" s="2074"/>
      <c r="O21" s="2074"/>
      <c r="P21" s="2074"/>
    </row>
    <row r="22" spans="1:16" ht="21.75" customHeight="1">
      <c r="A22" s="20"/>
      <c r="B22" s="20"/>
      <c r="C22" s="2067" t="s">
        <v>655</v>
      </c>
      <c r="D22" s="1213" t="s">
        <v>656</v>
      </c>
      <c r="E22" s="1935" t="s">
        <v>657</v>
      </c>
      <c r="F22" s="1935" t="s">
        <v>683</v>
      </c>
      <c r="G22" s="1935" t="s">
        <v>684</v>
      </c>
      <c r="H22" s="1460" t="s">
        <v>301</v>
      </c>
      <c r="I22" s="1863" t="s">
        <v>659</v>
      </c>
      <c r="J22" s="2058" t="s">
        <v>660</v>
      </c>
      <c r="K22" s="184"/>
      <c r="L22" s="184"/>
      <c r="M22" s="2062" t="s">
        <v>685</v>
      </c>
      <c r="N22" s="2062" t="s">
        <v>686</v>
      </c>
      <c r="O22" s="2062" t="s">
        <v>687</v>
      </c>
      <c r="P22" s="2062" t="s">
        <v>688</v>
      </c>
    </row>
    <row r="23" spans="1:16" ht="21.75" customHeight="1">
      <c r="A23" s="20"/>
      <c r="B23" s="20"/>
      <c r="C23" s="2068"/>
      <c r="D23" s="1216"/>
      <c r="E23" s="1965"/>
      <c r="F23" s="1965"/>
      <c r="G23" s="1965"/>
      <c r="H23" s="1461"/>
      <c r="I23" s="1864"/>
      <c r="J23" s="2059"/>
      <c r="K23" s="184"/>
      <c r="L23" s="184"/>
      <c r="M23" s="2063"/>
      <c r="N23" s="2063"/>
      <c r="O23" s="2063"/>
      <c r="P23" s="2063"/>
    </row>
    <row r="24" spans="1:16" ht="30" customHeight="1" thickBot="1">
      <c r="A24" s="20"/>
      <c r="B24" s="20"/>
      <c r="C24" s="2069"/>
      <c r="D24" s="1216"/>
      <c r="E24" s="1965"/>
      <c r="F24" s="1458"/>
      <c r="G24" s="1153"/>
      <c r="H24" s="2075"/>
      <c r="I24" s="2057"/>
      <c r="J24" s="2059"/>
      <c r="K24" s="184"/>
      <c r="L24" s="184"/>
      <c r="M24" s="839">
        <f>SUM(M25:M174)</f>
        <v>0</v>
      </c>
      <c r="N24" s="839">
        <f>SUM(N25:N174)</f>
        <v>0</v>
      </c>
      <c r="O24" s="841">
        <f>SUM(O25:O174)</f>
        <v>0</v>
      </c>
      <c r="P24" s="841">
        <f>SUM(P25:P174)</f>
        <v>0</v>
      </c>
    </row>
    <row r="25" spans="1:16" ht="30" customHeight="1" thickTop="1">
      <c r="A25" s="120"/>
      <c r="B25" s="120"/>
      <c r="C25" s="842">
        <v>1</v>
      </c>
      <c r="D25" s="843"/>
      <c r="E25" s="844"/>
      <c r="F25" s="844"/>
      <c r="G25" s="686"/>
      <c r="H25" s="1077"/>
      <c r="I25" s="845"/>
      <c r="J25" s="875"/>
      <c r="K25" s="824"/>
      <c r="L25" s="489"/>
      <c r="M25" s="837">
        <f>IF($H25&gt;0,E25,)</f>
        <v>0</v>
      </c>
      <c r="N25" s="837">
        <f>IF($H25&gt;0,F25,)</f>
        <v>0</v>
      </c>
      <c r="O25" s="849">
        <f>IF(H25&gt;0,ROUND(G25,),)</f>
        <v>0</v>
      </c>
      <c r="P25" s="849">
        <f>ROUND(O25*H25%,)</f>
        <v>0</v>
      </c>
    </row>
    <row r="26" spans="1:16" ht="30" customHeight="1">
      <c r="A26" s="120"/>
      <c r="B26" s="120"/>
      <c r="C26" s="850">
        <v>2</v>
      </c>
      <c r="D26" s="851"/>
      <c r="E26" s="852"/>
      <c r="F26" s="852"/>
      <c r="G26" s="876"/>
      <c r="H26" s="1078"/>
      <c r="I26" s="853"/>
      <c r="J26" s="877"/>
      <c r="K26" s="824"/>
      <c r="L26" s="489"/>
      <c r="M26" s="838">
        <f t="shared" ref="M26:N153" si="0">IF($H26&gt;0,E26,)</f>
        <v>0</v>
      </c>
      <c r="N26" s="855">
        <f t="shared" si="0"/>
        <v>0</v>
      </c>
      <c r="O26" s="878">
        <f t="shared" ref="O26:O174" si="1">IF(H26&gt;0,ROUND(G26,),)</f>
        <v>0</v>
      </c>
      <c r="P26" s="849">
        <f t="shared" ref="P26:P89" si="2">ROUND(O26*H26%,)</f>
        <v>0</v>
      </c>
    </row>
    <row r="27" spans="1:16" ht="30" customHeight="1">
      <c r="A27" s="120"/>
      <c r="B27" s="120"/>
      <c r="C27" s="850">
        <v>3</v>
      </c>
      <c r="D27" s="851"/>
      <c r="E27" s="852"/>
      <c r="F27" s="852"/>
      <c r="G27" s="876"/>
      <c r="H27" s="1078"/>
      <c r="I27" s="853"/>
      <c r="J27" s="877"/>
      <c r="K27" s="824"/>
      <c r="L27" s="489"/>
      <c r="M27" s="838">
        <f t="shared" si="0"/>
        <v>0</v>
      </c>
      <c r="N27" s="855">
        <f t="shared" si="0"/>
        <v>0</v>
      </c>
      <c r="O27" s="878">
        <f t="shared" si="1"/>
        <v>0</v>
      </c>
      <c r="P27" s="849">
        <f t="shared" si="2"/>
        <v>0</v>
      </c>
    </row>
    <row r="28" spans="1:16" ht="30" customHeight="1">
      <c r="A28" s="120"/>
      <c r="B28" s="120"/>
      <c r="C28" s="850">
        <v>4</v>
      </c>
      <c r="D28" s="851"/>
      <c r="E28" s="852"/>
      <c r="F28" s="852"/>
      <c r="G28" s="876"/>
      <c r="H28" s="1078"/>
      <c r="I28" s="853"/>
      <c r="J28" s="877"/>
      <c r="K28" s="824"/>
      <c r="L28" s="489"/>
      <c r="M28" s="838">
        <f t="shared" si="0"/>
        <v>0</v>
      </c>
      <c r="N28" s="855">
        <f t="shared" si="0"/>
        <v>0</v>
      </c>
      <c r="O28" s="878">
        <f t="shared" si="1"/>
        <v>0</v>
      </c>
      <c r="P28" s="849">
        <f t="shared" si="2"/>
        <v>0</v>
      </c>
    </row>
    <row r="29" spans="1:16" ht="30" customHeight="1">
      <c r="A29" s="120"/>
      <c r="B29" s="120"/>
      <c r="C29" s="850">
        <v>5</v>
      </c>
      <c r="D29" s="851"/>
      <c r="E29" s="852"/>
      <c r="F29" s="852"/>
      <c r="G29" s="876"/>
      <c r="H29" s="1078"/>
      <c r="I29" s="853"/>
      <c r="J29" s="877"/>
      <c r="K29" s="824"/>
      <c r="L29" s="489"/>
      <c r="M29" s="838">
        <f t="shared" si="0"/>
        <v>0</v>
      </c>
      <c r="N29" s="855">
        <f t="shared" si="0"/>
        <v>0</v>
      </c>
      <c r="O29" s="878">
        <f t="shared" si="1"/>
        <v>0</v>
      </c>
      <c r="P29" s="849">
        <f t="shared" si="2"/>
        <v>0</v>
      </c>
    </row>
    <row r="30" spans="1:16" ht="30" customHeight="1">
      <c r="A30" s="120"/>
      <c r="B30" s="120"/>
      <c r="C30" s="850">
        <v>6</v>
      </c>
      <c r="D30" s="851"/>
      <c r="E30" s="852"/>
      <c r="F30" s="852"/>
      <c r="G30" s="876"/>
      <c r="H30" s="1078"/>
      <c r="I30" s="853"/>
      <c r="J30" s="877"/>
      <c r="K30" s="824"/>
      <c r="L30" s="489"/>
      <c r="M30" s="838">
        <f t="shared" si="0"/>
        <v>0</v>
      </c>
      <c r="N30" s="855">
        <f t="shared" si="0"/>
        <v>0</v>
      </c>
      <c r="O30" s="878">
        <f t="shared" si="1"/>
        <v>0</v>
      </c>
      <c r="P30" s="849">
        <f t="shared" si="2"/>
        <v>0</v>
      </c>
    </row>
    <row r="31" spans="1:16" ht="30" customHeight="1">
      <c r="A31" s="120"/>
      <c r="B31" s="120"/>
      <c r="C31" s="850">
        <v>7</v>
      </c>
      <c r="D31" s="851"/>
      <c r="E31" s="852"/>
      <c r="F31" s="852"/>
      <c r="G31" s="876"/>
      <c r="H31" s="1078"/>
      <c r="I31" s="853"/>
      <c r="J31" s="877"/>
      <c r="K31" s="824"/>
      <c r="L31" s="489"/>
      <c r="M31" s="838">
        <f t="shared" si="0"/>
        <v>0</v>
      </c>
      <c r="N31" s="855">
        <f t="shared" si="0"/>
        <v>0</v>
      </c>
      <c r="O31" s="878">
        <f t="shared" si="1"/>
        <v>0</v>
      </c>
      <c r="P31" s="849">
        <f t="shared" si="2"/>
        <v>0</v>
      </c>
    </row>
    <row r="32" spans="1:16" ht="30" customHeight="1">
      <c r="A32" s="120"/>
      <c r="B32" s="120"/>
      <c r="C32" s="850">
        <v>8</v>
      </c>
      <c r="D32" s="851"/>
      <c r="E32" s="852"/>
      <c r="F32" s="852"/>
      <c r="G32" s="876"/>
      <c r="H32" s="1078"/>
      <c r="I32" s="853"/>
      <c r="J32" s="877"/>
      <c r="K32" s="824"/>
      <c r="L32" s="489"/>
      <c r="M32" s="838">
        <f t="shared" si="0"/>
        <v>0</v>
      </c>
      <c r="N32" s="855">
        <f t="shared" si="0"/>
        <v>0</v>
      </c>
      <c r="O32" s="878">
        <f t="shared" si="1"/>
        <v>0</v>
      </c>
      <c r="P32" s="849">
        <f t="shared" si="2"/>
        <v>0</v>
      </c>
    </row>
    <row r="33" spans="1:16" ht="30" customHeight="1">
      <c r="A33" s="120"/>
      <c r="B33" s="120"/>
      <c r="C33" s="850">
        <v>9</v>
      </c>
      <c r="D33" s="851"/>
      <c r="E33" s="852"/>
      <c r="F33" s="852"/>
      <c r="G33" s="876"/>
      <c r="H33" s="1078"/>
      <c r="I33" s="853"/>
      <c r="J33" s="877"/>
      <c r="K33" s="824"/>
      <c r="L33" s="489"/>
      <c r="M33" s="838">
        <f t="shared" si="0"/>
        <v>0</v>
      </c>
      <c r="N33" s="855">
        <f t="shared" si="0"/>
        <v>0</v>
      </c>
      <c r="O33" s="878">
        <f t="shared" si="1"/>
        <v>0</v>
      </c>
      <c r="P33" s="849">
        <f t="shared" si="2"/>
        <v>0</v>
      </c>
    </row>
    <row r="34" spans="1:16" ht="30" customHeight="1" collapsed="1" thickBot="1">
      <c r="A34" s="120"/>
      <c r="B34" s="120"/>
      <c r="C34" s="850">
        <v>10</v>
      </c>
      <c r="D34" s="851"/>
      <c r="E34" s="852"/>
      <c r="F34" s="852"/>
      <c r="G34" s="876"/>
      <c r="H34" s="1078"/>
      <c r="I34" s="853"/>
      <c r="J34" s="877"/>
      <c r="K34" s="824"/>
      <c r="L34" s="489"/>
      <c r="M34" s="838">
        <f t="shared" si="0"/>
        <v>0</v>
      </c>
      <c r="N34" s="855">
        <f t="shared" si="0"/>
        <v>0</v>
      </c>
      <c r="O34" s="878">
        <f t="shared" si="1"/>
        <v>0</v>
      </c>
      <c r="P34" s="849">
        <f t="shared" si="2"/>
        <v>0</v>
      </c>
    </row>
    <row r="35" spans="1:16" ht="30" hidden="1" customHeight="1" outlineLevel="1">
      <c r="A35" s="120"/>
      <c r="B35" s="120"/>
      <c r="C35" s="850">
        <v>11</v>
      </c>
      <c r="D35" s="851"/>
      <c r="E35" s="852"/>
      <c r="F35" s="852"/>
      <c r="G35" s="876"/>
      <c r="H35" s="1078"/>
      <c r="I35" s="879"/>
      <c r="J35" s="880"/>
      <c r="K35" s="881"/>
      <c r="L35" s="489"/>
      <c r="M35" s="838">
        <f t="shared" si="0"/>
        <v>0</v>
      </c>
      <c r="N35" s="855">
        <f t="shared" si="0"/>
        <v>0</v>
      </c>
      <c r="O35" s="878">
        <f t="shared" si="1"/>
        <v>0</v>
      </c>
      <c r="P35" s="849">
        <f t="shared" si="2"/>
        <v>0</v>
      </c>
    </row>
    <row r="36" spans="1:16" ht="30" hidden="1" customHeight="1" outlineLevel="1">
      <c r="A36" s="120"/>
      <c r="B36" s="120"/>
      <c r="C36" s="850">
        <v>12</v>
      </c>
      <c r="D36" s="851"/>
      <c r="E36" s="852"/>
      <c r="F36" s="852"/>
      <c r="G36" s="876"/>
      <c r="H36" s="1078"/>
      <c r="I36" s="879"/>
      <c r="J36" s="880"/>
      <c r="K36" s="881"/>
      <c r="L36" s="489"/>
      <c r="M36" s="838">
        <f t="shared" si="0"/>
        <v>0</v>
      </c>
      <c r="N36" s="855">
        <f t="shared" si="0"/>
        <v>0</v>
      </c>
      <c r="O36" s="878">
        <f t="shared" si="1"/>
        <v>0</v>
      </c>
      <c r="P36" s="849">
        <f t="shared" si="2"/>
        <v>0</v>
      </c>
    </row>
    <row r="37" spans="1:16" ht="30" hidden="1" customHeight="1" outlineLevel="1">
      <c r="A37" s="120"/>
      <c r="B37" s="120"/>
      <c r="C37" s="850">
        <v>13</v>
      </c>
      <c r="D37" s="851"/>
      <c r="E37" s="852"/>
      <c r="F37" s="852"/>
      <c r="G37" s="876"/>
      <c r="H37" s="1078"/>
      <c r="I37" s="879"/>
      <c r="J37" s="880"/>
      <c r="K37" s="881"/>
      <c r="L37" s="489"/>
      <c r="M37" s="838">
        <f t="shared" si="0"/>
        <v>0</v>
      </c>
      <c r="N37" s="855">
        <f t="shared" si="0"/>
        <v>0</v>
      </c>
      <c r="O37" s="878">
        <f t="shared" si="1"/>
        <v>0</v>
      </c>
      <c r="P37" s="849">
        <f t="shared" si="2"/>
        <v>0</v>
      </c>
    </row>
    <row r="38" spans="1:16" ht="30" hidden="1" customHeight="1" outlineLevel="1">
      <c r="A38" s="120"/>
      <c r="B38" s="120"/>
      <c r="C38" s="850">
        <v>14</v>
      </c>
      <c r="D38" s="851"/>
      <c r="E38" s="852"/>
      <c r="F38" s="852"/>
      <c r="G38" s="876"/>
      <c r="H38" s="1078"/>
      <c r="I38" s="879"/>
      <c r="J38" s="880"/>
      <c r="K38" s="881"/>
      <c r="L38" s="489"/>
      <c r="M38" s="838">
        <f t="shared" si="0"/>
        <v>0</v>
      </c>
      <c r="N38" s="855">
        <f t="shared" si="0"/>
        <v>0</v>
      </c>
      <c r="O38" s="878">
        <f t="shared" si="1"/>
        <v>0</v>
      </c>
      <c r="P38" s="849">
        <f t="shared" si="2"/>
        <v>0</v>
      </c>
    </row>
    <row r="39" spans="1:16" ht="30" hidden="1" customHeight="1" outlineLevel="1">
      <c r="A39" s="120"/>
      <c r="B39" s="120"/>
      <c r="C39" s="850">
        <v>15</v>
      </c>
      <c r="D39" s="851"/>
      <c r="E39" s="852"/>
      <c r="F39" s="852"/>
      <c r="G39" s="876"/>
      <c r="H39" s="1078"/>
      <c r="I39" s="879"/>
      <c r="J39" s="880"/>
      <c r="K39" s="881"/>
      <c r="L39" s="489"/>
      <c r="M39" s="838">
        <f t="shared" si="0"/>
        <v>0</v>
      </c>
      <c r="N39" s="855">
        <f t="shared" si="0"/>
        <v>0</v>
      </c>
      <c r="O39" s="878">
        <f t="shared" si="1"/>
        <v>0</v>
      </c>
      <c r="P39" s="849">
        <f t="shared" si="2"/>
        <v>0</v>
      </c>
    </row>
    <row r="40" spans="1:16" ht="30" hidden="1" customHeight="1" outlineLevel="1">
      <c r="A40" s="120"/>
      <c r="B40" s="120"/>
      <c r="C40" s="850">
        <v>16</v>
      </c>
      <c r="D40" s="851"/>
      <c r="E40" s="852"/>
      <c r="F40" s="852"/>
      <c r="G40" s="876"/>
      <c r="H40" s="1078"/>
      <c r="I40" s="879"/>
      <c r="J40" s="880"/>
      <c r="K40" s="881"/>
      <c r="L40" s="489"/>
      <c r="M40" s="838">
        <f t="shared" si="0"/>
        <v>0</v>
      </c>
      <c r="N40" s="855">
        <f t="shared" si="0"/>
        <v>0</v>
      </c>
      <c r="O40" s="878">
        <f t="shared" si="1"/>
        <v>0</v>
      </c>
      <c r="P40" s="849">
        <f t="shared" si="2"/>
        <v>0</v>
      </c>
    </row>
    <row r="41" spans="1:16" ht="30" hidden="1" customHeight="1" outlineLevel="1">
      <c r="A41" s="120"/>
      <c r="B41" s="120"/>
      <c r="C41" s="850">
        <v>17</v>
      </c>
      <c r="D41" s="851"/>
      <c r="E41" s="852"/>
      <c r="F41" s="852"/>
      <c r="G41" s="876"/>
      <c r="H41" s="1078"/>
      <c r="I41" s="879"/>
      <c r="J41" s="880"/>
      <c r="K41" s="881"/>
      <c r="L41" s="489"/>
      <c r="M41" s="838">
        <f t="shared" si="0"/>
        <v>0</v>
      </c>
      <c r="N41" s="855">
        <f t="shared" si="0"/>
        <v>0</v>
      </c>
      <c r="O41" s="878">
        <f t="shared" si="1"/>
        <v>0</v>
      </c>
      <c r="P41" s="849">
        <f t="shared" si="2"/>
        <v>0</v>
      </c>
    </row>
    <row r="42" spans="1:16" ht="30" hidden="1" customHeight="1" outlineLevel="1">
      <c r="A42" s="120"/>
      <c r="B42" s="120"/>
      <c r="C42" s="850">
        <v>18</v>
      </c>
      <c r="D42" s="851"/>
      <c r="E42" s="852"/>
      <c r="F42" s="852"/>
      <c r="G42" s="876"/>
      <c r="H42" s="1078"/>
      <c r="I42" s="879"/>
      <c r="J42" s="880"/>
      <c r="K42" s="881"/>
      <c r="L42" s="489"/>
      <c r="M42" s="838">
        <f t="shared" si="0"/>
        <v>0</v>
      </c>
      <c r="N42" s="855">
        <f t="shared" si="0"/>
        <v>0</v>
      </c>
      <c r="O42" s="878">
        <f t="shared" si="1"/>
        <v>0</v>
      </c>
      <c r="P42" s="849">
        <f t="shared" si="2"/>
        <v>0</v>
      </c>
    </row>
    <row r="43" spans="1:16" ht="30" hidden="1" customHeight="1" outlineLevel="1">
      <c r="A43" s="120"/>
      <c r="B43" s="120"/>
      <c r="C43" s="850">
        <v>19</v>
      </c>
      <c r="D43" s="851"/>
      <c r="E43" s="852"/>
      <c r="F43" s="852"/>
      <c r="G43" s="876"/>
      <c r="H43" s="1078"/>
      <c r="I43" s="879"/>
      <c r="J43" s="880"/>
      <c r="K43" s="881"/>
      <c r="L43" s="489"/>
      <c r="M43" s="838">
        <f t="shared" si="0"/>
        <v>0</v>
      </c>
      <c r="N43" s="855">
        <f t="shared" si="0"/>
        <v>0</v>
      </c>
      <c r="O43" s="878">
        <f t="shared" si="1"/>
        <v>0</v>
      </c>
      <c r="P43" s="849">
        <f t="shared" si="2"/>
        <v>0</v>
      </c>
    </row>
    <row r="44" spans="1:16" ht="30" hidden="1" customHeight="1" outlineLevel="1">
      <c r="A44" s="120"/>
      <c r="B44" s="120"/>
      <c r="C44" s="850">
        <v>20</v>
      </c>
      <c r="D44" s="851"/>
      <c r="E44" s="852"/>
      <c r="F44" s="852"/>
      <c r="G44" s="876"/>
      <c r="H44" s="1078"/>
      <c r="I44" s="879"/>
      <c r="J44" s="880"/>
      <c r="K44" s="881"/>
      <c r="L44" s="489"/>
      <c r="M44" s="838">
        <f t="shared" si="0"/>
        <v>0</v>
      </c>
      <c r="N44" s="855">
        <f t="shared" si="0"/>
        <v>0</v>
      </c>
      <c r="O44" s="878">
        <f t="shared" si="1"/>
        <v>0</v>
      </c>
      <c r="P44" s="849">
        <f t="shared" si="2"/>
        <v>0</v>
      </c>
    </row>
    <row r="45" spans="1:16" ht="30" hidden="1" customHeight="1" outlineLevel="1">
      <c r="A45" s="120"/>
      <c r="B45" s="120"/>
      <c r="C45" s="850">
        <v>21</v>
      </c>
      <c r="D45" s="851"/>
      <c r="E45" s="852"/>
      <c r="F45" s="852"/>
      <c r="G45" s="876"/>
      <c r="H45" s="1078"/>
      <c r="I45" s="879"/>
      <c r="J45" s="880"/>
      <c r="K45" s="881"/>
      <c r="L45" s="489"/>
      <c r="M45" s="838">
        <f t="shared" si="0"/>
        <v>0</v>
      </c>
      <c r="N45" s="855">
        <f t="shared" si="0"/>
        <v>0</v>
      </c>
      <c r="O45" s="878">
        <f t="shared" si="1"/>
        <v>0</v>
      </c>
      <c r="P45" s="849">
        <f t="shared" si="2"/>
        <v>0</v>
      </c>
    </row>
    <row r="46" spans="1:16" ht="30" hidden="1" customHeight="1" outlineLevel="1">
      <c r="A46" s="120"/>
      <c r="B46" s="120"/>
      <c r="C46" s="850">
        <v>22</v>
      </c>
      <c r="D46" s="851"/>
      <c r="E46" s="852"/>
      <c r="F46" s="852"/>
      <c r="G46" s="876"/>
      <c r="H46" s="1078"/>
      <c r="I46" s="879"/>
      <c r="J46" s="880"/>
      <c r="K46" s="881"/>
      <c r="L46" s="489"/>
      <c r="M46" s="838">
        <f t="shared" si="0"/>
        <v>0</v>
      </c>
      <c r="N46" s="855">
        <f t="shared" si="0"/>
        <v>0</v>
      </c>
      <c r="O46" s="878">
        <f t="shared" si="1"/>
        <v>0</v>
      </c>
      <c r="P46" s="849">
        <f t="shared" si="2"/>
        <v>0</v>
      </c>
    </row>
    <row r="47" spans="1:16" ht="30" hidden="1" customHeight="1" outlineLevel="1">
      <c r="A47" s="120"/>
      <c r="B47" s="120"/>
      <c r="C47" s="850">
        <v>23</v>
      </c>
      <c r="D47" s="851"/>
      <c r="E47" s="852"/>
      <c r="F47" s="852"/>
      <c r="G47" s="876"/>
      <c r="H47" s="1078"/>
      <c r="I47" s="879"/>
      <c r="J47" s="880"/>
      <c r="K47" s="881"/>
      <c r="L47" s="489"/>
      <c r="M47" s="838">
        <f t="shared" si="0"/>
        <v>0</v>
      </c>
      <c r="N47" s="855">
        <f t="shared" si="0"/>
        <v>0</v>
      </c>
      <c r="O47" s="878">
        <f t="shared" si="1"/>
        <v>0</v>
      </c>
      <c r="P47" s="849">
        <f t="shared" si="2"/>
        <v>0</v>
      </c>
    </row>
    <row r="48" spans="1:16" ht="30" hidden="1" customHeight="1" outlineLevel="1">
      <c r="A48" s="120"/>
      <c r="B48" s="120"/>
      <c r="C48" s="850">
        <v>24</v>
      </c>
      <c r="D48" s="851"/>
      <c r="E48" s="852"/>
      <c r="F48" s="852"/>
      <c r="G48" s="876"/>
      <c r="H48" s="1078"/>
      <c r="I48" s="879"/>
      <c r="J48" s="880"/>
      <c r="K48" s="881"/>
      <c r="L48" s="489"/>
      <c r="M48" s="838">
        <f t="shared" si="0"/>
        <v>0</v>
      </c>
      <c r="N48" s="855">
        <f t="shared" si="0"/>
        <v>0</v>
      </c>
      <c r="O48" s="878">
        <f t="shared" si="1"/>
        <v>0</v>
      </c>
      <c r="P48" s="849">
        <f t="shared" si="2"/>
        <v>0</v>
      </c>
    </row>
    <row r="49" spans="1:16" ht="30" hidden="1" customHeight="1" outlineLevel="1">
      <c r="A49" s="120"/>
      <c r="B49" s="120"/>
      <c r="C49" s="850">
        <v>25</v>
      </c>
      <c r="D49" s="851"/>
      <c r="E49" s="852"/>
      <c r="F49" s="852"/>
      <c r="G49" s="876"/>
      <c r="H49" s="1078"/>
      <c r="I49" s="879"/>
      <c r="J49" s="880"/>
      <c r="K49" s="881"/>
      <c r="L49" s="489"/>
      <c r="M49" s="838">
        <f t="shared" si="0"/>
        <v>0</v>
      </c>
      <c r="N49" s="855">
        <f t="shared" si="0"/>
        <v>0</v>
      </c>
      <c r="O49" s="878">
        <f t="shared" si="1"/>
        <v>0</v>
      </c>
      <c r="P49" s="849">
        <f t="shared" si="2"/>
        <v>0</v>
      </c>
    </row>
    <row r="50" spans="1:16" ht="30" hidden="1" customHeight="1" outlineLevel="1">
      <c r="A50" s="120"/>
      <c r="B50" s="120"/>
      <c r="C50" s="850">
        <v>26</v>
      </c>
      <c r="D50" s="851"/>
      <c r="E50" s="852"/>
      <c r="F50" s="852"/>
      <c r="G50" s="876"/>
      <c r="H50" s="1078"/>
      <c r="I50" s="879"/>
      <c r="J50" s="880"/>
      <c r="K50" s="881"/>
      <c r="L50" s="489"/>
      <c r="M50" s="838">
        <f t="shared" si="0"/>
        <v>0</v>
      </c>
      <c r="N50" s="855">
        <f t="shared" si="0"/>
        <v>0</v>
      </c>
      <c r="O50" s="878">
        <f t="shared" si="1"/>
        <v>0</v>
      </c>
      <c r="P50" s="849">
        <f t="shared" si="2"/>
        <v>0</v>
      </c>
    </row>
    <row r="51" spans="1:16" ht="30" hidden="1" customHeight="1" outlineLevel="1">
      <c r="A51" s="120"/>
      <c r="B51" s="120"/>
      <c r="C51" s="850">
        <v>27</v>
      </c>
      <c r="D51" s="851"/>
      <c r="E51" s="852"/>
      <c r="F51" s="852"/>
      <c r="G51" s="876"/>
      <c r="H51" s="1078"/>
      <c r="I51" s="879"/>
      <c r="J51" s="880"/>
      <c r="K51" s="881"/>
      <c r="L51" s="489"/>
      <c r="M51" s="838">
        <f t="shared" si="0"/>
        <v>0</v>
      </c>
      <c r="N51" s="855">
        <f t="shared" si="0"/>
        <v>0</v>
      </c>
      <c r="O51" s="878">
        <f t="shared" si="1"/>
        <v>0</v>
      </c>
      <c r="P51" s="849">
        <f t="shared" si="2"/>
        <v>0</v>
      </c>
    </row>
    <row r="52" spans="1:16" ht="30" hidden="1" customHeight="1" outlineLevel="1">
      <c r="A52" s="120"/>
      <c r="B52" s="120"/>
      <c r="C52" s="850">
        <v>28</v>
      </c>
      <c r="D52" s="851"/>
      <c r="E52" s="852"/>
      <c r="F52" s="852"/>
      <c r="G52" s="876"/>
      <c r="H52" s="1078"/>
      <c r="I52" s="879"/>
      <c r="J52" s="880"/>
      <c r="K52" s="881"/>
      <c r="L52" s="489"/>
      <c r="M52" s="838">
        <f t="shared" si="0"/>
        <v>0</v>
      </c>
      <c r="N52" s="855">
        <f t="shared" si="0"/>
        <v>0</v>
      </c>
      <c r="O52" s="878">
        <f t="shared" si="1"/>
        <v>0</v>
      </c>
      <c r="P52" s="849">
        <f t="shared" si="2"/>
        <v>0</v>
      </c>
    </row>
    <row r="53" spans="1:16" ht="30" hidden="1" customHeight="1" outlineLevel="1">
      <c r="A53" s="120"/>
      <c r="B53" s="120"/>
      <c r="C53" s="850">
        <v>29</v>
      </c>
      <c r="D53" s="851"/>
      <c r="E53" s="852"/>
      <c r="F53" s="852"/>
      <c r="G53" s="876"/>
      <c r="H53" s="1078"/>
      <c r="I53" s="879"/>
      <c r="J53" s="880"/>
      <c r="K53" s="881"/>
      <c r="L53" s="489"/>
      <c r="M53" s="838">
        <f t="shared" si="0"/>
        <v>0</v>
      </c>
      <c r="N53" s="855">
        <f t="shared" si="0"/>
        <v>0</v>
      </c>
      <c r="O53" s="878">
        <f t="shared" si="1"/>
        <v>0</v>
      </c>
      <c r="P53" s="849">
        <f t="shared" si="2"/>
        <v>0</v>
      </c>
    </row>
    <row r="54" spans="1:16" ht="30" hidden="1" customHeight="1" outlineLevel="1">
      <c r="A54" s="120"/>
      <c r="B54" s="120"/>
      <c r="C54" s="850">
        <v>30</v>
      </c>
      <c r="D54" s="851"/>
      <c r="E54" s="852"/>
      <c r="F54" s="852"/>
      <c r="G54" s="876"/>
      <c r="H54" s="1078"/>
      <c r="I54" s="879"/>
      <c r="J54" s="880"/>
      <c r="K54" s="881"/>
      <c r="L54" s="489"/>
      <c r="M54" s="838">
        <f t="shared" si="0"/>
        <v>0</v>
      </c>
      <c r="N54" s="855">
        <f t="shared" si="0"/>
        <v>0</v>
      </c>
      <c r="O54" s="878">
        <f t="shared" si="1"/>
        <v>0</v>
      </c>
      <c r="P54" s="849">
        <f t="shared" si="2"/>
        <v>0</v>
      </c>
    </row>
    <row r="55" spans="1:16" ht="30" hidden="1" customHeight="1" outlineLevel="1">
      <c r="A55" s="120"/>
      <c r="B55" s="120"/>
      <c r="C55" s="850">
        <v>31</v>
      </c>
      <c r="D55" s="851"/>
      <c r="E55" s="852"/>
      <c r="F55" s="852"/>
      <c r="G55" s="876"/>
      <c r="H55" s="1078"/>
      <c r="I55" s="879"/>
      <c r="J55" s="880"/>
      <c r="K55" s="881"/>
      <c r="L55" s="489"/>
      <c r="M55" s="838">
        <f t="shared" si="0"/>
        <v>0</v>
      </c>
      <c r="N55" s="855">
        <f t="shared" si="0"/>
        <v>0</v>
      </c>
      <c r="O55" s="878">
        <f t="shared" si="1"/>
        <v>0</v>
      </c>
      <c r="P55" s="849">
        <f t="shared" si="2"/>
        <v>0</v>
      </c>
    </row>
    <row r="56" spans="1:16" ht="30" hidden="1" customHeight="1" outlineLevel="1">
      <c r="A56" s="120"/>
      <c r="B56" s="120"/>
      <c r="C56" s="850">
        <v>32</v>
      </c>
      <c r="D56" s="851"/>
      <c r="E56" s="852"/>
      <c r="F56" s="852"/>
      <c r="G56" s="876"/>
      <c r="H56" s="1078"/>
      <c r="I56" s="879"/>
      <c r="J56" s="880"/>
      <c r="K56" s="881"/>
      <c r="L56" s="489"/>
      <c r="M56" s="838">
        <f t="shared" si="0"/>
        <v>0</v>
      </c>
      <c r="N56" s="855">
        <f t="shared" si="0"/>
        <v>0</v>
      </c>
      <c r="O56" s="878">
        <f t="shared" si="1"/>
        <v>0</v>
      </c>
      <c r="P56" s="849">
        <f t="shared" si="2"/>
        <v>0</v>
      </c>
    </row>
    <row r="57" spans="1:16" ht="30" hidden="1" customHeight="1" outlineLevel="1">
      <c r="A57" s="120"/>
      <c r="B57" s="120"/>
      <c r="C57" s="850">
        <v>33</v>
      </c>
      <c r="D57" s="851"/>
      <c r="E57" s="852"/>
      <c r="F57" s="852"/>
      <c r="G57" s="876"/>
      <c r="H57" s="1078"/>
      <c r="I57" s="879"/>
      <c r="J57" s="880"/>
      <c r="K57" s="881"/>
      <c r="L57" s="489"/>
      <c r="M57" s="838">
        <f t="shared" si="0"/>
        <v>0</v>
      </c>
      <c r="N57" s="855">
        <f t="shared" si="0"/>
        <v>0</v>
      </c>
      <c r="O57" s="878">
        <f t="shared" si="1"/>
        <v>0</v>
      </c>
      <c r="P57" s="849">
        <f t="shared" si="2"/>
        <v>0</v>
      </c>
    </row>
    <row r="58" spans="1:16" ht="30" hidden="1" customHeight="1" outlineLevel="1">
      <c r="A58" s="120"/>
      <c r="B58" s="120"/>
      <c r="C58" s="850">
        <v>34</v>
      </c>
      <c r="D58" s="851"/>
      <c r="E58" s="852"/>
      <c r="F58" s="852"/>
      <c r="G58" s="876"/>
      <c r="H58" s="1078"/>
      <c r="I58" s="879"/>
      <c r="J58" s="880"/>
      <c r="K58" s="881"/>
      <c r="L58" s="489"/>
      <c r="M58" s="838">
        <f t="shared" si="0"/>
        <v>0</v>
      </c>
      <c r="N58" s="855">
        <f t="shared" si="0"/>
        <v>0</v>
      </c>
      <c r="O58" s="878">
        <f t="shared" si="1"/>
        <v>0</v>
      </c>
      <c r="P58" s="849">
        <f t="shared" si="2"/>
        <v>0</v>
      </c>
    </row>
    <row r="59" spans="1:16" ht="30" hidden="1" customHeight="1" outlineLevel="1">
      <c r="A59" s="120"/>
      <c r="B59" s="120"/>
      <c r="C59" s="850">
        <v>35</v>
      </c>
      <c r="D59" s="851"/>
      <c r="E59" s="852"/>
      <c r="F59" s="852"/>
      <c r="G59" s="876"/>
      <c r="H59" s="1078"/>
      <c r="I59" s="879"/>
      <c r="J59" s="880"/>
      <c r="K59" s="881"/>
      <c r="L59" s="489"/>
      <c r="M59" s="838">
        <f t="shared" si="0"/>
        <v>0</v>
      </c>
      <c r="N59" s="855">
        <f t="shared" si="0"/>
        <v>0</v>
      </c>
      <c r="O59" s="878">
        <f t="shared" si="1"/>
        <v>0</v>
      </c>
      <c r="P59" s="849">
        <f t="shared" si="2"/>
        <v>0</v>
      </c>
    </row>
    <row r="60" spans="1:16" ht="30" hidden="1" customHeight="1" outlineLevel="1">
      <c r="A60" s="120"/>
      <c r="B60" s="120"/>
      <c r="C60" s="850">
        <v>36</v>
      </c>
      <c r="D60" s="851"/>
      <c r="E60" s="852"/>
      <c r="F60" s="852"/>
      <c r="G60" s="876"/>
      <c r="H60" s="1078"/>
      <c r="I60" s="879"/>
      <c r="J60" s="880"/>
      <c r="K60" s="881"/>
      <c r="L60" s="489"/>
      <c r="M60" s="838">
        <f t="shared" si="0"/>
        <v>0</v>
      </c>
      <c r="N60" s="855">
        <f t="shared" si="0"/>
        <v>0</v>
      </c>
      <c r="O60" s="878">
        <f t="shared" si="1"/>
        <v>0</v>
      </c>
      <c r="P60" s="849">
        <f t="shared" si="2"/>
        <v>0</v>
      </c>
    </row>
    <row r="61" spans="1:16" ht="30" hidden="1" customHeight="1" outlineLevel="1">
      <c r="A61" s="120"/>
      <c r="B61" s="120"/>
      <c r="C61" s="850">
        <v>37</v>
      </c>
      <c r="D61" s="851"/>
      <c r="E61" s="852"/>
      <c r="F61" s="852"/>
      <c r="G61" s="876"/>
      <c r="H61" s="1078"/>
      <c r="I61" s="879"/>
      <c r="J61" s="880"/>
      <c r="K61" s="881"/>
      <c r="L61" s="489"/>
      <c r="M61" s="838">
        <f t="shared" si="0"/>
        <v>0</v>
      </c>
      <c r="N61" s="855">
        <f t="shared" si="0"/>
        <v>0</v>
      </c>
      <c r="O61" s="878">
        <f t="shared" si="1"/>
        <v>0</v>
      </c>
      <c r="P61" s="849">
        <f t="shared" si="2"/>
        <v>0</v>
      </c>
    </row>
    <row r="62" spans="1:16" ht="30" hidden="1" customHeight="1" outlineLevel="1">
      <c r="A62" s="120"/>
      <c r="B62" s="120"/>
      <c r="C62" s="850">
        <v>38</v>
      </c>
      <c r="D62" s="851"/>
      <c r="E62" s="852"/>
      <c r="F62" s="852"/>
      <c r="G62" s="876"/>
      <c r="H62" s="1078"/>
      <c r="I62" s="879"/>
      <c r="J62" s="880"/>
      <c r="K62" s="881"/>
      <c r="L62" s="489"/>
      <c r="M62" s="838">
        <f t="shared" si="0"/>
        <v>0</v>
      </c>
      <c r="N62" s="855">
        <f t="shared" si="0"/>
        <v>0</v>
      </c>
      <c r="O62" s="878">
        <f t="shared" si="1"/>
        <v>0</v>
      </c>
      <c r="P62" s="849">
        <f t="shared" si="2"/>
        <v>0</v>
      </c>
    </row>
    <row r="63" spans="1:16" ht="30" hidden="1" customHeight="1" outlineLevel="1">
      <c r="A63" s="120"/>
      <c r="B63" s="120"/>
      <c r="C63" s="850">
        <v>39</v>
      </c>
      <c r="D63" s="851"/>
      <c r="E63" s="852"/>
      <c r="F63" s="852"/>
      <c r="G63" s="876"/>
      <c r="H63" s="1078"/>
      <c r="I63" s="879"/>
      <c r="J63" s="880"/>
      <c r="K63" s="881"/>
      <c r="L63" s="489"/>
      <c r="M63" s="838">
        <f t="shared" si="0"/>
        <v>0</v>
      </c>
      <c r="N63" s="855">
        <f t="shared" si="0"/>
        <v>0</v>
      </c>
      <c r="O63" s="878">
        <f t="shared" si="1"/>
        <v>0</v>
      </c>
      <c r="P63" s="849">
        <f t="shared" si="2"/>
        <v>0</v>
      </c>
    </row>
    <row r="64" spans="1:16" ht="30" hidden="1" customHeight="1" outlineLevel="1">
      <c r="A64" s="120"/>
      <c r="B64" s="120"/>
      <c r="C64" s="850">
        <v>40</v>
      </c>
      <c r="D64" s="851"/>
      <c r="E64" s="852"/>
      <c r="F64" s="852"/>
      <c r="G64" s="876"/>
      <c r="H64" s="1078"/>
      <c r="I64" s="879"/>
      <c r="J64" s="880"/>
      <c r="K64" s="881"/>
      <c r="L64" s="489"/>
      <c r="M64" s="838">
        <f t="shared" si="0"/>
        <v>0</v>
      </c>
      <c r="N64" s="855">
        <f t="shared" si="0"/>
        <v>0</v>
      </c>
      <c r="O64" s="878">
        <f t="shared" si="1"/>
        <v>0</v>
      </c>
      <c r="P64" s="849">
        <f t="shared" si="2"/>
        <v>0</v>
      </c>
    </row>
    <row r="65" spans="1:16" ht="30" hidden="1" customHeight="1" outlineLevel="1">
      <c r="A65" s="120"/>
      <c r="B65" s="120"/>
      <c r="C65" s="850">
        <v>41</v>
      </c>
      <c r="D65" s="851"/>
      <c r="E65" s="852"/>
      <c r="F65" s="852"/>
      <c r="G65" s="876"/>
      <c r="H65" s="1078"/>
      <c r="I65" s="879"/>
      <c r="J65" s="880"/>
      <c r="K65" s="881"/>
      <c r="L65" s="489"/>
      <c r="M65" s="838">
        <f t="shared" si="0"/>
        <v>0</v>
      </c>
      <c r="N65" s="855">
        <f t="shared" si="0"/>
        <v>0</v>
      </c>
      <c r="O65" s="878">
        <f t="shared" si="1"/>
        <v>0</v>
      </c>
      <c r="P65" s="849">
        <f t="shared" si="2"/>
        <v>0</v>
      </c>
    </row>
    <row r="66" spans="1:16" ht="30" hidden="1" customHeight="1" outlineLevel="1">
      <c r="A66" s="120"/>
      <c r="B66" s="120"/>
      <c r="C66" s="850">
        <v>42</v>
      </c>
      <c r="D66" s="851"/>
      <c r="E66" s="852"/>
      <c r="F66" s="852"/>
      <c r="G66" s="876"/>
      <c r="H66" s="1078"/>
      <c r="I66" s="879"/>
      <c r="J66" s="880"/>
      <c r="K66" s="881"/>
      <c r="L66" s="489"/>
      <c r="M66" s="838">
        <f t="shared" si="0"/>
        <v>0</v>
      </c>
      <c r="N66" s="855">
        <f t="shared" si="0"/>
        <v>0</v>
      </c>
      <c r="O66" s="878">
        <f t="shared" si="1"/>
        <v>0</v>
      </c>
      <c r="P66" s="849">
        <f t="shared" si="2"/>
        <v>0</v>
      </c>
    </row>
    <row r="67" spans="1:16" ht="30" hidden="1" customHeight="1" outlineLevel="1">
      <c r="A67" s="120"/>
      <c r="B67" s="120"/>
      <c r="C67" s="850">
        <v>43</v>
      </c>
      <c r="D67" s="851"/>
      <c r="E67" s="852"/>
      <c r="F67" s="852"/>
      <c r="G67" s="876"/>
      <c r="H67" s="1078"/>
      <c r="I67" s="879"/>
      <c r="J67" s="880"/>
      <c r="K67" s="881"/>
      <c r="L67" s="489"/>
      <c r="M67" s="838">
        <f t="shared" si="0"/>
        <v>0</v>
      </c>
      <c r="N67" s="855">
        <f t="shared" si="0"/>
        <v>0</v>
      </c>
      <c r="O67" s="878">
        <f t="shared" si="1"/>
        <v>0</v>
      </c>
      <c r="P67" s="849">
        <f t="shared" si="2"/>
        <v>0</v>
      </c>
    </row>
    <row r="68" spans="1:16" ht="30" hidden="1" customHeight="1" outlineLevel="1">
      <c r="A68" s="120"/>
      <c r="B68" s="120"/>
      <c r="C68" s="850">
        <v>44</v>
      </c>
      <c r="D68" s="851"/>
      <c r="E68" s="852"/>
      <c r="F68" s="852"/>
      <c r="G68" s="876"/>
      <c r="H68" s="1078"/>
      <c r="I68" s="879"/>
      <c r="J68" s="880"/>
      <c r="K68" s="881"/>
      <c r="L68" s="489"/>
      <c r="M68" s="838">
        <f t="shared" si="0"/>
        <v>0</v>
      </c>
      <c r="N68" s="855">
        <f t="shared" si="0"/>
        <v>0</v>
      </c>
      <c r="O68" s="878">
        <f t="shared" si="1"/>
        <v>0</v>
      </c>
      <c r="P68" s="849">
        <f t="shared" si="2"/>
        <v>0</v>
      </c>
    </row>
    <row r="69" spans="1:16" ht="30" hidden="1" customHeight="1" outlineLevel="1">
      <c r="A69" s="120"/>
      <c r="B69" s="120"/>
      <c r="C69" s="850">
        <v>45</v>
      </c>
      <c r="D69" s="851"/>
      <c r="E69" s="852"/>
      <c r="F69" s="852"/>
      <c r="G69" s="876"/>
      <c r="H69" s="1078"/>
      <c r="I69" s="879"/>
      <c r="J69" s="880"/>
      <c r="K69" s="881"/>
      <c r="L69" s="489"/>
      <c r="M69" s="838">
        <f t="shared" si="0"/>
        <v>0</v>
      </c>
      <c r="N69" s="855">
        <f t="shared" si="0"/>
        <v>0</v>
      </c>
      <c r="O69" s="878">
        <f t="shared" si="1"/>
        <v>0</v>
      </c>
      <c r="P69" s="849">
        <f t="shared" si="2"/>
        <v>0</v>
      </c>
    </row>
    <row r="70" spans="1:16" ht="30" hidden="1" customHeight="1" outlineLevel="1">
      <c r="A70" s="120"/>
      <c r="B70" s="120"/>
      <c r="C70" s="850">
        <v>46</v>
      </c>
      <c r="D70" s="851"/>
      <c r="E70" s="852"/>
      <c r="F70" s="852"/>
      <c r="G70" s="876"/>
      <c r="H70" s="1078"/>
      <c r="I70" s="879"/>
      <c r="J70" s="880"/>
      <c r="K70" s="881"/>
      <c r="L70" s="489"/>
      <c r="M70" s="838">
        <f t="shared" si="0"/>
        <v>0</v>
      </c>
      <c r="N70" s="855">
        <f t="shared" si="0"/>
        <v>0</v>
      </c>
      <c r="O70" s="878">
        <f t="shared" si="1"/>
        <v>0</v>
      </c>
      <c r="P70" s="849">
        <f t="shared" si="2"/>
        <v>0</v>
      </c>
    </row>
    <row r="71" spans="1:16" ht="30" hidden="1" customHeight="1" outlineLevel="1">
      <c r="A71" s="120"/>
      <c r="B71" s="120"/>
      <c r="C71" s="850">
        <v>47</v>
      </c>
      <c r="D71" s="851"/>
      <c r="E71" s="852"/>
      <c r="F71" s="852"/>
      <c r="G71" s="876"/>
      <c r="H71" s="1078"/>
      <c r="I71" s="879"/>
      <c r="J71" s="880"/>
      <c r="K71" s="881"/>
      <c r="L71" s="489"/>
      <c r="M71" s="838">
        <f t="shared" si="0"/>
        <v>0</v>
      </c>
      <c r="N71" s="855">
        <f t="shared" si="0"/>
        <v>0</v>
      </c>
      <c r="O71" s="878">
        <f t="shared" si="1"/>
        <v>0</v>
      </c>
      <c r="P71" s="849">
        <f t="shared" si="2"/>
        <v>0</v>
      </c>
    </row>
    <row r="72" spans="1:16" ht="30" hidden="1" customHeight="1" outlineLevel="1">
      <c r="A72" s="120"/>
      <c r="B72" s="120"/>
      <c r="C72" s="850">
        <v>48</v>
      </c>
      <c r="D72" s="851"/>
      <c r="E72" s="852"/>
      <c r="F72" s="852"/>
      <c r="G72" s="876"/>
      <c r="H72" s="1078"/>
      <c r="I72" s="879"/>
      <c r="J72" s="880"/>
      <c r="K72" s="881"/>
      <c r="L72" s="489"/>
      <c r="M72" s="838">
        <f t="shared" si="0"/>
        <v>0</v>
      </c>
      <c r="N72" s="855">
        <f t="shared" si="0"/>
        <v>0</v>
      </c>
      <c r="O72" s="878">
        <f t="shared" si="1"/>
        <v>0</v>
      </c>
      <c r="P72" s="849">
        <f t="shared" si="2"/>
        <v>0</v>
      </c>
    </row>
    <row r="73" spans="1:16" ht="30" hidden="1" customHeight="1" outlineLevel="1">
      <c r="A73" s="120"/>
      <c r="B73" s="120"/>
      <c r="C73" s="850">
        <v>49</v>
      </c>
      <c r="D73" s="851"/>
      <c r="E73" s="852"/>
      <c r="F73" s="852"/>
      <c r="G73" s="876"/>
      <c r="H73" s="1078"/>
      <c r="I73" s="879"/>
      <c r="J73" s="880"/>
      <c r="K73" s="881"/>
      <c r="L73" s="489"/>
      <c r="M73" s="838">
        <f t="shared" si="0"/>
        <v>0</v>
      </c>
      <c r="N73" s="855">
        <f t="shared" si="0"/>
        <v>0</v>
      </c>
      <c r="O73" s="878">
        <f t="shared" si="1"/>
        <v>0</v>
      </c>
      <c r="P73" s="849">
        <f t="shared" si="2"/>
        <v>0</v>
      </c>
    </row>
    <row r="74" spans="1:16" ht="30" hidden="1" customHeight="1" outlineLevel="1">
      <c r="A74" s="120"/>
      <c r="B74" s="120"/>
      <c r="C74" s="850">
        <v>50</v>
      </c>
      <c r="D74" s="851"/>
      <c r="E74" s="852"/>
      <c r="F74" s="852"/>
      <c r="G74" s="876"/>
      <c r="H74" s="1078"/>
      <c r="I74" s="879"/>
      <c r="J74" s="880"/>
      <c r="K74" s="881"/>
      <c r="L74" s="489"/>
      <c r="M74" s="838">
        <f t="shared" si="0"/>
        <v>0</v>
      </c>
      <c r="N74" s="855">
        <f t="shared" si="0"/>
        <v>0</v>
      </c>
      <c r="O74" s="878">
        <f t="shared" si="1"/>
        <v>0</v>
      </c>
      <c r="P74" s="849">
        <f t="shared" si="2"/>
        <v>0</v>
      </c>
    </row>
    <row r="75" spans="1:16" ht="30" hidden="1" customHeight="1" outlineLevel="1">
      <c r="A75" s="120"/>
      <c r="B75" s="120"/>
      <c r="C75" s="850">
        <v>51</v>
      </c>
      <c r="D75" s="851"/>
      <c r="E75" s="852"/>
      <c r="F75" s="852"/>
      <c r="G75" s="876"/>
      <c r="H75" s="1078"/>
      <c r="I75" s="879"/>
      <c r="J75" s="880"/>
      <c r="K75" s="881"/>
      <c r="L75" s="489"/>
      <c r="M75" s="838">
        <f t="shared" si="0"/>
        <v>0</v>
      </c>
      <c r="N75" s="855">
        <f t="shared" si="0"/>
        <v>0</v>
      </c>
      <c r="O75" s="878">
        <f t="shared" si="1"/>
        <v>0</v>
      </c>
      <c r="P75" s="849">
        <f t="shared" si="2"/>
        <v>0</v>
      </c>
    </row>
    <row r="76" spans="1:16" ht="30" hidden="1" customHeight="1" outlineLevel="1">
      <c r="A76" s="120"/>
      <c r="B76" s="120"/>
      <c r="C76" s="850">
        <v>52</v>
      </c>
      <c r="D76" s="851"/>
      <c r="E76" s="852"/>
      <c r="F76" s="852"/>
      <c r="G76" s="876"/>
      <c r="H76" s="1078"/>
      <c r="I76" s="879"/>
      <c r="J76" s="880"/>
      <c r="K76" s="881"/>
      <c r="L76" s="489"/>
      <c r="M76" s="838">
        <f t="shared" si="0"/>
        <v>0</v>
      </c>
      <c r="N76" s="855">
        <f t="shared" si="0"/>
        <v>0</v>
      </c>
      <c r="O76" s="878">
        <f t="shared" si="1"/>
        <v>0</v>
      </c>
      <c r="P76" s="849">
        <f t="shared" si="2"/>
        <v>0</v>
      </c>
    </row>
    <row r="77" spans="1:16" ht="30" hidden="1" customHeight="1" outlineLevel="1">
      <c r="A77" s="120"/>
      <c r="B77" s="120"/>
      <c r="C77" s="850">
        <v>53</v>
      </c>
      <c r="D77" s="851"/>
      <c r="E77" s="852"/>
      <c r="F77" s="852"/>
      <c r="G77" s="876"/>
      <c r="H77" s="1078"/>
      <c r="I77" s="879"/>
      <c r="J77" s="880"/>
      <c r="K77" s="881"/>
      <c r="L77" s="489"/>
      <c r="M77" s="838">
        <f t="shared" si="0"/>
        <v>0</v>
      </c>
      <c r="N77" s="855">
        <f t="shared" si="0"/>
        <v>0</v>
      </c>
      <c r="O77" s="878">
        <f t="shared" si="1"/>
        <v>0</v>
      </c>
      <c r="P77" s="849">
        <f t="shared" si="2"/>
        <v>0</v>
      </c>
    </row>
    <row r="78" spans="1:16" ht="30" hidden="1" customHeight="1" outlineLevel="1">
      <c r="A78" s="120"/>
      <c r="B78" s="120"/>
      <c r="C78" s="850">
        <v>54</v>
      </c>
      <c r="D78" s="851"/>
      <c r="E78" s="852"/>
      <c r="F78" s="852"/>
      <c r="G78" s="876"/>
      <c r="H78" s="1078"/>
      <c r="I78" s="879"/>
      <c r="J78" s="880"/>
      <c r="K78" s="881"/>
      <c r="L78" s="489"/>
      <c r="M78" s="838">
        <f t="shared" si="0"/>
        <v>0</v>
      </c>
      <c r="N78" s="855">
        <f t="shared" si="0"/>
        <v>0</v>
      </c>
      <c r="O78" s="878">
        <f t="shared" si="1"/>
        <v>0</v>
      </c>
      <c r="P78" s="849">
        <f t="shared" si="2"/>
        <v>0</v>
      </c>
    </row>
    <row r="79" spans="1:16" ht="30" hidden="1" customHeight="1" outlineLevel="1">
      <c r="A79" s="120"/>
      <c r="B79" s="120"/>
      <c r="C79" s="850">
        <v>55</v>
      </c>
      <c r="D79" s="851"/>
      <c r="E79" s="852"/>
      <c r="F79" s="852"/>
      <c r="G79" s="876"/>
      <c r="H79" s="1078"/>
      <c r="I79" s="879"/>
      <c r="J79" s="880"/>
      <c r="K79" s="881"/>
      <c r="L79" s="489"/>
      <c r="M79" s="838">
        <f t="shared" si="0"/>
        <v>0</v>
      </c>
      <c r="N79" s="855">
        <f t="shared" si="0"/>
        <v>0</v>
      </c>
      <c r="O79" s="878">
        <f t="shared" si="1"/>
        <v>0</v>
      </c>
      <c r="P79" s="849">
        <f t="shared" si="2"/>
        <v>0</v>
      </c>
    </row>
    <row r="80" spans="1:16" ht="30" hidden="1" customHeight="1" outlineLevel="1">
      <c r="A80" s="120"/>
      <c r="B80" s="120"/>
      <c r="C80" s="850">
        <v>56</v>
      </c>
      <c r="D80" s="851"/>
      <c r="E80" s="852"/>
      <c r="F80" s="852"/>
      <c r="G80" s="876"/>
      <c r="H80" s="1078"/>
      <c r="I80" s="879"/>
      <c r="J80" s="880"/>
      <c r="K80" s="881"/>
      <c r="L80" s="489"/>
      <c r="M80" s="838">
        <f t="shared" si="0"/>
        <v>0</v>
      </c>
      <c r="N80" s="855">
        <f t="shared" si="0"/>
        <v>0</v>
      </c>
      <c r="O80" s="878">
        <f t="shared" si="1"/>
        <v>0</v>
      </c>
      <c r="P80" s="849">
        <f t="shared" si="2"/>
        <v>0</v>
      </c>
    </row>
    <row r="81" spans="1:16" ht="30" hidden="1" customHeight="1" outlineLevel="1">
      <c r="A81" s="120"/>
      <c r="B81" s="120"/>
      <c r="C81" s="850">
        <v>57</v>
      </c>
      <c r="D81" s="851"/>
      <c r="E81" s="852"/>
      <c r="F81" s="852"/>
      <c r="G81" s="876"/>
      <c r="H81" s="1078"/>
      <c r="I81" s="879"/>
      <c r="J81" s="880"/>
      <c r="K81" s="881"/>
      <c r="L81" s="489"/>
      <c r="M81" s="838">
        <f t="shared" si="0"/>
        <v>0</v>
      </c>
      <c r="N81" s="855">
        <f t="shared" si="0"/>
        <v>0</v>
      </c>
      <c r="O81" s="878">
        <f t="shared" si="1"/>
        <v>0</v>
      </c>
      <c r="P81" s="849">
        <f t="shared" si="2"/>
        <v>0</v>
      </c>
    </row>
    <row r="82" spans="1:16" ht="30" hidden="1" customHeight="1" outlineLevel="1">
      <c r="A82" s="120"/>
      <c r="B82" s="120"/>
      <c r="C82" s="850">
        <v>58</v>
      </c>
      <c r="D82" s="851"/>
      <c r="E82" s="852"/>
      <c r="F82" s="852"/>
      <c r="G82" s="876"/>
      <c r="H82" s="1078"/>
      <c r="I82" s="879"/>
      <c r="J82" s="880"/>
      <c r="K82" s="881"/>
      <c r="L82" s="489"/>
      <c r="M82" s="838">
        <f t="shared" si="0"/>
        <v>0</v>
      </c>
      <c r="N82" s="855">
        <f t="shared" si="0"/>
        <v>0</v>
      </c>
      <c r="O82" s="878">
        <f t="shared" si="1"/>
        <v>0</v>
      </c>
      <c r="P82" s="849">
        <f t="shared" si="2"/>
        <v>0</v>
      </c>
    </row>
    <row r="83" spans="1:16" ht="30" hidden="1" customHeight="1" outlineLevel="1">
      <c r="A83" s="120"/>
      <c r="B83" s="120"/>
      <c r="C83" s="850">
        <v>59</v>
      </c>
      <c r="D83" s="851"/>
      <c r="E83" s="852"/>
      <c r="F83" s="852"/>
      <c r="G83" s="876"/>
      <c r="H83" s="1078"/>
      <c r="I83" s="879"/>
      <c r="J83" s="880"/>
      <c r="K83" s="881"/>
      <c r="L83" s="489"/>
      <c r="M83" s="838">
        <f t="shared" si="0"/>
        <v>0</v>
      </c>
      <c r="N83" s="855">
        <f t="shared" si="0"/>
        <v>0</v>
      </c>
      <c r="O83" s="878">
        <f t="shared" si="1"/>
        <v>0</v>
      </c>
      <c r="P83" s="849">
        <f t="shared" si="2"/>
        <v>0</v>
      </c>
    </row>
    <row r="84" spans="1:16" ht="30" hidden="1" customHeight="1" outlineLevel="1">
      <c r="A84" s="120"/>
      <c r="B84" s="120"/>
      <c r="C84" s="850">
        <v>60</v>
      </c>
      <c r="D84" s="851"/>
      <c r="E84" s="852"/>
      <c r="F84" s="852"/>
      <c r="G84" s="876"/>
      <c r="H84" s="1078"/>
      <c r="I84" s="879"/>
      <c r="J84" s="880"/>
      <c r="K84" s="881"/>
      <c r="L84" s="489"/>
      <c r="M84" s="838">
        <f t="shared" si="0"/>
        <v>0</v>
      </c>
      <c r="N84" s="855">
        <f t="shared" si="0"/>
        <v>0</v>
      </c>
      <c r="O84" s="878">
        <f t="shared" si="1"/>
        <v>0</v>
      </c>
      <c r="P84" s="849">
        <f t="shared" si="2"/>
        <v>0</v>
      </c>
    </row>
    <row r="85" spans="1:16" ht="30" hidden="1" customHeight="1" outlineLevel="1">
      <c r="A85" s="120"/>
      <c r="B85" s="120"/>
      <c r="C85" s="850">
        <v>61</v>
      </c>
      <c r="D85" s="851"/>
      <c r="E85" s="852"/>
      <c r="F85" s="852"/>
      <c r="G85" s="876"/>
      <c r="H85" s="1078"/>
      <c r="I85" s="879"/>
      <c r="J85" s="880"/>
      <c r="K85" s="881"/>
      <c r="L85" s="489"/>
      <c r="M85" s="838">
        <f t="shared" si="0"/>
        <v>0</v>
      </c>
      <c r="N85" s="855">
        <f t="shared" si="0"/>
        <v>0</v>
      </c>
      <c r="O85" s="878">
        <f t="shared" si="1"/>
        <v>0</v>
      </c>
      <c r="P85" s="849">
        <f t="shared" si="2"/>
        <v>0</v>
      </c>
    </row>
    <row r="86" spans="1:16" ht="30" hidden="1" customHeight="1" outlineLevel="1">
      <c r="A86" s="120"/>
      <c r="B86" s="120"/>
      <c r="C86" s="850">
        <v>62</v>
      </c>
      <c r="D86" s="851"/>
      <c r="E86" s="852"/>
      <c r="F86" s="852"/>
      <c r="G86" s="876"/>
      <c r="H86" s="1078"/>
      <c r="I86" s="879"/>
      <c r="J86" s="880"/>
      <c r="K86" s="881"/>
      <c r="L86" s="489"/>
      <c r="M86" s="838">
        <f t="shared" si="0"/>
        <v>0</v>
      </c>
      <c r="N86" s="855">
        <f t="shared" si="0"/>
        <v>0</v>
      </c>
      <c r="O86" s="878">
        <f t="shared" si="1"/>
        <v>0</v>
      </c>
      <c r="P86" s="849">
        <f t="shared" si="2"/>
        <v>0</v>
      </c>
    </row>
    <row r="87" spans="1:16" ht="30" hidden="1" customHeight="1" outlineLevel="1">
      <c r="A87" s="120"/>
      <c r="B87" s="120"/>
      <c r="C87" s="850">
        <v>63</v>
      </c>
      <c r="D87" s="851"/>
      <c r="E87" s="852"/>
      <c r="F87" s="852"/>
      <c r="G87" s="876"/>
      <c r="H87" s="1078"/>
      <c r="I87" s="879"/>
      <c r="J87" s="880"/>
      <c r="K87" s="881"/>
      <c r="L87" s="489"/>
      <c r="M87" s="838">
        <f t="shared" si="0"/>
        <v>0</v>
      </c>
      <c r="N87" s="855">
        <f t="shared" si="0"/>
        <v>0</v>
      </c>
      <c r="O87" s="878">
        <f t="shared" si="1"/>
        <v>0</v>
      </c>
      <c r="P87" s="849">
        <f t="shared" si="2"/>
        <v>0</v>
      </c>
    </row>
    <row r="88" spans="1:16" ht="30" hidden="1" customHeight="1" outlineLevel="1">
      <c r="A88" s="120"/>
      <c r="B88" s="120"/>
      <c r="C88" s="850">
        <v>64</v>
      </c>
      <c r="D88" s="851"/>
      <c r="E88" s="852"/>
      <c r="F88" s="852"/>
      <c r="G88" s="876"/>
      <c r="H88" s="1078"/>
      <c r="I88" s="879"/>
      <c r="J88" s="880"/>
      <c r="K88" s="881"/>
      <c r="L88" s="489"/>
      <c r="M88" s="838">
        <f t="shared" si="0"/>
        <v>0</v>
      </c>
      <c r="N88" s="855">
        <f t="shared" si="0"/>
        <v>0</v>
      </c>
      <c r="O88" s="878">
        <f t="shared" si="1"/>
        <v>0</v>
      </c>
      <c r="P88" s="849">
        <f t="shared" si="2"/>
        <v>0</v>
      </c>
    </row>
    <row r="89" spans="1:16" ht="30" hidden="1" customHeight="1" outlineLevel="1">
      <c r="A89" s="120"/>
      <c r="B89" s="120"/>
      <c r="C89" s="850">
        <v>65</v>
      </c>
      <c r="D89" s="851"/>
      <c r="E89" s="852"/>
      <c r="F89" s="852"/>
      <c r="G89" s="876"/>
      <c r="H89" s="1078"/>
      <c r="I89" s="879"/>
      <c r="J89" s="880"/>
      <c r="K89" s="881"/>
      <c r="L89" s="489"/>
      <c r="M89" s="838">
        <f t="shared" si="0"/>
        <v>0</v>
      </c>
      <c r="N89" s="855">
        <f t="shared" si="0"/>
        <v>0</v>
      </c>
      <c r="O89" s="878">
        <f t="shared" si="1"/>
        <v>0</v>
      </c>
      <c r="P89" s="849">
        <f t="shared" si="2"/>
        <v>0</v>
      </c>
    </row>
    <row r="90" spans="1:16" ht="30" hidden="1" customHeight="1" outlineLevel="1">
      <c r="A90" s="120"/>
      <c r="B90" s="120"/>
      <c r="C90" s="850">
        <v>66</v>
      </c>
      <c r="D90" s="851"/>
      <c r="E90" s="852"/>
      <c r="F90" s="852"/>
      <c r="G90" s="876"/>
      <c r="H90" s="1078"/>
      <c r="I90" s="879"/>
      <c r="J90" s="880"/>
      <c r="K90" s="881"/>
      <c r="L90" s="489"/>
      <c r="M90" s="838">
        <f t="shared" si="0"/>
        <v>0</v>
      </c>
      <c r="N90" s="855">
        <f t="shared" si="0"/>
        <v>0</v>
      </c>
      <c r="O90" s="878">
        <f t="shared" si="1"/>
        <v>0</v>
      </c>
      <c r="P90" s="849">
        <f t="shared" ref="P90:P153" si="3">ROUND(O90*H90%,)</f>
        <v>0</v>
      </c>
    </row>
    <row r="91" spans="1:16" ht="30" hidden="1" customHeight="1" outlineLevel="1">
      <c r="A91" s="120"/>
      <c r="B91" s="120"/>
      <c r="C91" s="850">
        <v>67</v>
      </c>
      <c r="D91" s="851"/>
      <c r="E91" s="852"/>
      <c r="F91" s="852"/>
      <c r="G91" s="876"/>
      <c r="H91" s="1078"/>
      <c r="I91" s="879"/>
      <c r="J91" s="880"/>
      <c r="K91" s="881"/>
      <c r="L91" s="489"/>
      <c r="M91" s="838">
        <f t="shared" si="0"/>
        <v>0</v>
      </c>
      <c r="N91" s="855">
        <f t="shared" si="0"/>
        <v>0</v>
      </c>
      <c r="O91" s="878">
        <f t="shared" si="1"/>
        <v>0</v>
      </c>
      <c r="P91" s="849">
        <f t="shared" si="3"/>
        <v>0</v>
      </c>
    </row>
    <row r="92" spans="1:16" ht="30" hidden="1" customHeight="1" outlineLevel="1">
      <c r="A92" s="120"/>
      <c r="B92" s="120"/>
      <c r="C92" s="850">
        <v>68</v>
      </c>
      <c r="D92" s="851"/>
      <c r="E92" s="852"/>
      <c r="F92" s="852"/>
      <c r="G92" s="876"/>
      <c r="H92" s="1078"/>
      <c r="I92" s="879"/>
      <c r="J92" s="880"/>
      <c r="K92" s="881"/>
      <c r="L92" s="489"/>
      <c r="M92" s="838">
        <f t="shared" si="0"/>
        <v>0</v>
      </c>
      <c r="N92" s="855">
        <f t="shared" si="0"/>
        <v>0</v>
      </c>
      <c r="O92" s="878">
        <f t="shared" si="1"/>
        <v>0</v>
      </c>
      <c r="P92" s="849">
        <f t="shared" si="3"/>
        <v>0</v>
      </c>
    </row>
    <row r="93" spans="1:16" ht="30" hidden="1" customHeight="1" outlineLevel="1">
      <c r="A93" s="120"/>
      <c r="B93" s="120"/>
      <c r="C93" s="850">
        <v>69</v>
      </c>
      <c r="D93" s="851"/>
      <c r="E93" s="852"/>
      <c r="F93" s="852"/>
      <c r="G93" s="876"/>
      <c r="H93" s="1078"/>
      <c r="I93" s="879"/>
      <c r="J93" s="880"/>
      <c r="K93" s="881"/>
      <c r="L93" s="489"/>
      <c r="M93" s="838">
        <f t="shared" si="0"/>
        <v>0</v>
      </c>
      <c r="N93" s="855">
        <f t="shared" si="0"/>
        <v>0</v>
      </c>
      <c r="O93" s="878">
        <f t="shared" si="1"/>
        <v>0</v>
      </c>
      <c r="P93" s="849">
        <f t="shared" si="3"/>
        <v>0</v>
      </c>
    </row>
    <row r="94" spans="1:16" ht="30" hidden="1" customHeight="1" outlineLevel="1">
      <c r="A94" s="120"/>
      <c r="B94" s="120"/>
      <c r="C94" s="850">
        <v>70</v>
      </c>
      <c r="D94" s="851"/>
      <c r="E94" s="852"/>
      <c r="F94" s="852"/>
      <c r="G94" s="876"/>
      <c r="H94" s="1078"/>
      <c r="I94" s="879"/>
      <c r="J94" s="880"/>
      <c r="K94" s="881"/>
      <c r="L94" s="489"/>
      <c r="M94" s="838">
        <f t="shared" si="0"/>
        <v>0</v>
      </c>
      <c r="N94" s="855">
        <f t="shared" si="0"/>
        <v>0</v>
      </c>
      <c r="O94" s="878">
        <f t="shared" si="1"/>
        <v>0</v>
      </c>
      <c r="P94" s="849">
        <f t="shared" si="3"/>
        <v>0</v>
      </c>
    </row>
    <row r="95" spans="1:16" ht="30" hidden="1" customHeight="1" outlineLevel="1">
      <c r="A95" s="120"/>
      <c r="B95" s="120"/>
      <c r="C95" s="850">
        <v>71</v>
      </c>
      <c r="D95" s="851"/>
      <c r="E95" s="852"/>
      <c r="F95" s="852"/>
      <c r="G95" s="876"/>
      <c r="H95" s="1078"/>
      <c r="I95" s="879"/>
      <c r="J95" s="880"/>
      <c r="K95" s="881"/>
      <c r="L95" s="489"/>
      <c r="M95" s="838">
        <f t="shared" si="0"/>
        <v>0</v>
      </c>
      <c r="N95" s="855">
        <f t="shared" si="0"/>
        <v>0</v>
      </c>
      <c r="O95" s="878">
        <f t="shared" si="1"/>
        <v>0</v>
      </c>
      <c r="P95" s="849">
        <f t="shared" si="3"/>
        <v>0</v>
      </c>
    </row>
    <row r="96" spans="1:16" ht="30" hidden="1" customHeight="1" outlineLevel="1">
      <c r="A96" s="120"/>
      <c r="B96" s="120"/>
      <c r="C96" s="850">
        <v>72</v>
      </c>
      <c r="D96" s="851"/>
      <c r="E96" s="852"/>
      <c r="F96" s="852"/>
      <c r="G96" s="876"/>
      <c r="H96" s="1078"/>
      <c r="I96" s="879"/>
      <c r="J96" s="880"/>
      <c r="K96" s="881"/>
      <c r="L96" s="489"/>
      <c r="M96" s="838">
        <f t="shared" si="0"/>
        <v>0</v>
      </c>
      <c r="N96" s="855">
        <f t="shared" si="0"/>
        <v>0</v>
      </c>
      <c r="O96" s="878">
        <f t="shared" si="1"/>
        <v>0</v>
      </c>
      <c r="P96" s="849">
        <f t="shared" si="3"/>
        <v>0</v>
      </c>
    </row>
    <row r="97" spans="1:16" ht="30" hidden="1" customHeight="1" outlineLevel="1">
      <c r="A97" s="120"/>
      <c r="B97" s="120"/>
      <c r="C97" s="850">
        <v>73</v>
      </c>
      <c r="D97" s="851"/>
      <c r="E97" s="852"/>
      <c r="F97" s="852"/>
      <c r="G97" s="876"/>
      <c r="H97" s="1078"/>
      <c r="I97" s="879"/>
      <c r="J97" s="880"/>
      <c r="K97" s="881"/>
      <c r="L97" s="489"/>
      <c r="M97" s="838">
        <f t="shared" si="0"/>
        <v>0</v>
      </c>
      <c r="N97" s="855">
        <f t="shared" si="0"/>
        <v>0</v>
      </c>
      <c r="O97" s="878">
        <f t="shared" si="1"/>
        <v>0</v>
      </c>
      <c r="P97" s="849">
        <f t="shared" si="3"/>
        <v>0</v>
      </c>
    </row>
    <row r="98" spans="1:16" ht="30" hidden="1" customHeight="1" outlineLevel="1">
      <c r="A98" s="120"/>
      <c r="B98" s="120"/>
      <c r="C98" s="850">
        <v>74</v>
      </c>
      <c r="D98" s="851"/>
      <c r="E98" s="852"/>
      <c r="F98" s="852"/>
      <c r="G98" s="876"/>
      <c r="H98" s="1078"/>
      <c r="I98" s="879"/>
      <c r="J98" s="880"/>
      <c r="K98" s="881"/>
      <c r="L98" s="489"/>
      <c r="M98" s="838">
        <f t="shared" si="0"/>
        <v>0</v>
      </c>
      <c r="N98" s="855">
        <f t="shared" si="0"/>
        <v>0</v>
      </c>
      <c r="O98" s="878">
        <f t="shared" si="1"/>
        <v>0</v>
      </c>
      <c r="P98" s="849">
        <f t="shared" si="3"/>
        <v>0</v>
      </c>
    </row>
    <row r="99" spans="1:16" ht="30" hidden="1" customHeight="1" outlineLevel="1">
      <c r="A99" s="120"/>
      <c r="B99" s="120"/>
      <c r="C99" s="850">
        <v>75</v>
      </c>
      <c r="D99" s="851"/>
      <c r="E99" s="852"/>
      <c r="F99" s="852"/>
      <c r="G99" s="876"/>
      <c r="H99" s="1078"/>
      <c r="I99" s="879"/>
      <c r="J99" s="880"/>
      <c r="K99" s="881"/>
      <c r="L99" s="489"/>
      <c r="M99" s="838">
        <f t="shared" si="0"/>
        <v>0</v>
      </c>
      <c r="N99" s="855">
        <f t="shared" si="0"/>
        <v>0</v>
      </c>
      <c r="O99" s="878">
        <f t="shared" si="1"/>
        <v>0</v>
      </c>
      <c r="P99" s="849">
        <f t="shared" si="3"/>
        <v>0</v>
      </c>
    </row>
    <row r="100" spans="1:16" ht="30" hidden="1" customHeight="1" outlineLevel="1">
      <c r="A100" s="120"/>
      <c r="B100" s="120"/>
      <c r="C100" s="850">
        <v>76</v>
      </c>
      <c r="D100" s="851"/>
      <c r="E100" s="852"/>
      <c r="F100" s="852"/>
      <c r="G100" s="876"/>
      <c r="H100" s="1078"/>
      <c r="I100" s="879"/>
      <c r="J100" s="880"/>
      <c r="K100" s="881"/>
      <c r="L100" s="489"/>
      <c r="M100" s="838">
        <f t="shared" si="0"/>
        <v>0</v>
      </c>
      <c r="N100" s="855">
        <f t="shared" si="0"/>
        <v>0</v>
      </c>
      <c r="O100" s="878">
        <f t="shared" si="1"/>
        <v>0</v>
      </c>
      <c r="P100" s="849">
        <f t="shared" si="3"/>
        <v>0</v>
      </c>
    </row>
    <row r="101" spans="1:16" ht="30" hidden="1" customHeight="1" outlineLevel="1">
      <c r="A101" s="120"/>
      <c r="B101" s="120"/>
      <c r="C101" s="850">
        <v>77</v>
      </c>
      <c r="D101" s="851"/>
      <c r="E101" s="852"/>
      <c r="F101" s="852"/>
      <c r="G101" s="876"/>
      <c r="H101" s="1078"/>
      <c r="I101" s="879"/>
      <c r="J101" s="880"/>
      <c r="K101" s="881"/>
      <c r="L101" s="489"/>
      <c r="M101" s="838">
        <f t="shared" si="0"/>
        <v>0</v>
      </c>
      <c r="N101" s="855">
        <f t="shared" si="0"/>
        <v>0</v>
      </c>
      <c r="O101" s="878">
        <f t="shared" si="1"/>
        <v>0</v>
      </c>
      <c r="P101" s="849">
        <f t="shared" si="3"/>
        <v>0</v>
      </c>
    </row>
    <row r="102" spans="1:16" ht="30" hidden="1" customHeight="1" outlineLevel="1">
      <c r="A102" s="120"/>
      <c r="B102" s="120"/>
      <c r="C102" s="850">
        <v>78</v>
      </c>
      <c r="D102" s="851"/>
      <c r="E102" s="852"/>
      <c r="F102" s="852"/>
      <c r="G102" s="876"/>
      <c r="H102" s="1078"/>
      <c r="I102" s="879"/>
      <c r="J102" s="880"/>
      <c r="K102" s="881"/>
      <c r="L102" s="489"/>
      <c r="M102" s="838">
        <f t="shared" si="0"/>
        <v>0</v>
      </c>
      <c r="N102" s="855">
        <f t="shared" si="0"/>
        <v>0</v>
      </c>
      <c r="O102" s="878">
        <f t="shared" si="1"/>
        <v>0</v>
      </c>
      <c r="P102" s="849">
        <f t="shared" si="3"/>
        <v>0</v>
      </c>
    </row>
    <row r="103" spans="1:16" ht="30" hidden="1" customHeight="1" outlineLevel="1">
      <c r="A103" s="120"/>
      <c r="B103" s="120"/>
      <c r="C103" s="850">
        <v>79</v>
      </c>
      <c r="D103" s="851"/>
      <c r="E103" s="852"/>
      <c r="F103" s="852"/>
      <c r="G103" s="876"/>
      <c r="H103" s="1078"/>
      <c r="I103" s="879"/>
      <c r="J103" s="880"/>
      <c r="K103" s="881"/>
      <c r="L103" s="489"/>
      <c r="M103" s="838">
        <f t="shared" si="0"/>
        <v>0</v>
      </c>
      <c r="N103" s="855">
        <f t="shared" si="0"/>
        <v>0</v>
      </c>
      <c r="O103" s="878">
        <f t="shared" si="1"/>
        <v>0</v>
      </c>
      <c r="P103" s="849">
        <f t="shared" si="3"/>
        <v>0</v>
      </c>
    </row>
    <row r="104" spans="1:16" ht="30" hidden="1" customHeight="1" outlineLevel="1">
      <c r="A104" s="120"/>
      <c r="B104" s="120"/>
      <c r="C104" s="850">
        <v>80</v>
      </c>
      <c r="D104" s="851"/>
      <c r="E104" s="852"/>
      <c r="F104" s="852"/>
      <c r="G104" s="876"/>
      <c r="H104" s="1078"/>
      <c r="I104" s="879"/>
      <c r="J104" s="880"/>
      <c r="K104" s="881"/>
      <c r="L104" s="489"/>
      <c r="M104" s="838">
        <f t="shared" si="0"/>
        <v>0</v>
      </c>
      <c r="N104" s="855">
        <f t="shared" si="0"/>
        <v>0</v>
      </c>
      <c r="O104" s="878">
        <f t="shared" si="1"/>
        <v>0</v>
      </c>
      <c r="P104" s="849">
        <f t="shared" si="3"/>
        <v>0</v>
      </c>
    </row>
    <row r="105" spans="1:16" ht="30" hidden="1" customHeight="1" outlineLevel="1">
      <c r="A105" s="120"/>
      <c r="B105" s="120"/>
      <c r="C105" s="850">
        <v>81</v>
      </c>
      <c r="D105" s="851"/>
      <c r="E105" s="852"/>
      <c r="F105" s="852"/>
      <c r="G105" s="876"/>
      <c r="H105" s="1078"/>
      <c r="I105" s="879"/>
      <c r="J105" s="880"/>
      <c r="K105" s="881"/>
      <c r="L105" s="489"/>
      <c r="M105" s="838">
        <f t="shared" si="0"/>
        <v>0</v>
      </c>
      <c r="N105" s="855">
        <f t="shared" si="0"/>
        <v>0</v>
      </c>
      <c r="O105" s="878">
        <f t="shared" si="1"/>
        <v>0</v>
      </c>
      <c r="P105" s="849">
        <f t="shared" si="3"/>
        <v>0</v>
      </c>
    </row>
    <row r="106" spans="1:16" ht="30" hidden="1" customHeight="1" outlineLevel="1">
      <c r="A106" s="120"/>
      <c r="B106" s="120"/>
      <c r="C106" s="850">
        <v>82</v>
      </c>
      <c r="D106" s="851"/>
      <c r="E106" s="852"/>
      <c r="F106" s="852"/>
      <c r="G106" s="876"/>
      <c r="H106" s="1078"/>
      <c r="I106" s="879"/>
      <c r="J106" s="880"/>
      <c r="K106" s="881"/>
      <c r="L106" s="489"/>
      <c r="M106" s="838">
        <f t="shared" si="0"/>
        <v>0</v>
      </c>
      <c r="N106" s="855">
        <f t="shared" si="0"/>
        <v>0</v>
      </c>
      <c r="O106" s="878">
        <f t="shared" si="1"/>
        <v>0</v>
      </c>
      <c r="P106" s="849">
        <f t="shared" si="3"/>
        <v>0</v>
      </c>
    </row>
    <row r="107" spans="1:16" ht="30" hidden="1" customHeight="1" outlineLevel="1">
      <c r="A107" s="120"/>
      <c r="B107" s="120"/>
      <c r="C107" s="850">
        <v>83</v>
      </c>
      <c r="D107" s="851"/>
      <c r="E107" s="852"/>
      <c r="F107" s="852"/>
      <c r="G107" s="876"/>
      <c r="H107" s="1078"/>
      <c r="I107" s="879"/>
      <c r="J107" s="880"/>
      <c r="K107" s="881"/>
      <c r="L107" s="489"/>
      <c r="M107" s="838">
        <f t="shared" si="0"/>
        <v>0</v>
      </c>
      <c r="N107" s="855">
        <f t="shared" si="0"/>
        <v>0</v>
      </c>
      <c r="O107" s="878">
        <f t="shared" si="1"/>
        <v>0</v>
      </c>
      <c r="P107" s="849">
        <f t="shared" si="3"/>
        <v>0</v>
      </c>
    </row>
    <row r="108" spans="1:16" ht="30" hidden="1" customHeight="1" outlineLevel="1">
      <c r="A108" s="120"/>
      <c r="B108" s="120"/>
      <c r="C108" s="850">
        <v>84</v>
      </c>
      <c r="D108" s="851"/>
      <c r="E108" s="852"/>
      <c r="F108" s="852"/>
      <c r="G108" s="876"/>
      <c r="H108" s="1078"/>
      <c r="I108" s="879"/>
      <c r="J108" s="880"/>
      <c r="K108" s="881"/>
      <c r="L108" s="489"/>
      <c r="M108" s="838">
        <f t="shared" si="0"/>
        <v>0</v>
      </c>
      <c r="N108" s="855">
        <f t="shared" si="0"/>
        <v>0</v>
      </c>
      <c r="O108" s="878">
        <f t="shared" si="1"/>
        <v>0</v>
      </c>
      <c r="P108" s="849">
        <f t="shared" si="3"/>
        <v>0</v>
      </c>
    </row>
    <row r="109" spans="1:16" ht="30" hidden="1" customHeight="1" outlineLevel="1">
      <c r="A109" s="120"/>
      <c r="B109" s="120"/>
      <c r="C109" s="850">
        <v>85</v>
      </c>
      <c r="D109" s="851"/>
      <c r="E109" s="852"/>
      <c r="F109" s="852"/>
      <c r="G109" s="876"/>
      <c r="H109" s="1078"/>
      <c r="I109" s="879"/>
      <c r="J109" s="880"/>
      <c r="K109" s="881"/>
      <c r="L109" s="489"/>
      <c r="M109" s="838">
        <f t="shared" si="0"/>
        <v>0</v>
      </c>
      <c r="N109" s="855">
        <f t="shared" si="0"/>
        <v>0</v>
      </c>
      <c r="O109" s="878">
        <f t="shared" si="1"/>
        <v>0</v>
      </c>
      <c r="P109" s="849">
        <f t="shared" si="3"/>
        <v>0</v>
      </c>
    </row>
    <row r="110" spans="1:16" ht="30" hidden="1" customHeight="1" outlineLevel="1">
      <c r="A110" s="120"/>
      <c r="B110" s="120"/>
      <c r="C110" s="850">
        <v>86</v>
      </c>
      <c r="D110" s="851"/>
      <c r="E110" s="852"/>
      <c r="F110" s="852"/>
      <c r="G110" s="876"/>
      <c r="H110" s="1078"/>
      <c r="I110" s="879"/>
      <c r="J110" s="880"/>
      <c r="K110" s="881"/>
      <c r="L110" s="489"/>
      <c r="M110" s="838">
        <f t="shared" si="0"/>
        <v>0</v>
      </c>
      <c r="N110" s="855">
        <f t="shared" si="0"/>
        <v>0</v>
      </c>
      <c r="O110" s="878">
        <f t="shared" si="1"/>
        <v>0</v>
      </c>
      <c r="P110" s="849">
        <f t="shared" si="3"/>
        <v>0</v>
      </c>
    </row>
    <row r="111" spans="1:16" ht="30" hidden="1" customHeight="1" outlineLevel="1">
      <c r="A111" s="120"/>
      <c r="B111" s="120"/>
      <c r="C111" s="850">
        <v>87</v>
      </c>
      <c r="D111" s="851"/>
      <c r="E111" s="852"/>
      <c r="F111" s="852"/>
      <c r="G111" s="876"/>
      <c r="H111" s="1078"/>
      <c r="I111" s="879"/>
      <c r="J111" s="880"/>
      <c r="K111" s="881"/>
      <c r="L111" s="489"/>
      <c r="M111" s="838">
        <f t="shared" si="0"/>
        <v>0</v>
      </c>
      <c r="N111" s="855">
        <f t="shared" si="0"/>
        <v>0</v>
      </c>
      <c r="O111" s="878">
        <f t="shared" si="1"/>
        <v>0</v>
      </c>
      <c r="P111" s="849">
        <f t="shared" si="3"/>
        <v>0</v>
      </c>
    </row>
    <row r="112" spans="1:16" ht="30" hidden="1" customHeight="1" outlineLevel="1">
      <c r="A112" s="120"/>
      <c r="B112" s="120"/>
      <c r="C112" s="850">
        <v>88</v>
      </c>
      <c r="D112" s="851"/>
      <c r="E112" s="852"/>
      <c r="F112" s="852"/>
      <c r="G112" s="876"/>
      <c r="H112" s="1078"/>
      <c r="I112" s="879"/>
      <c r="J112" s="880"/>
      <c r="K112" s="881"/>
      <c r="L112" s="489"/>
      <c r="M112" s="838">
        <f t="shared" si="0"/>
        <v>0</v>
      </c>
      <c r="N112" s="855">
        <f t="shared" si="0"/>
        <v>0</v>
      </c>
      <c r="O112" s="878">
        <f t="shared" si="1"/>
        <v>0</v>
      </c>
      <c r="P112" s="849">
        <f t="shared" si="3"/>
        <v>0</v>
      </c>
    </row>
    <row r="113" spans="1:16" ht="30" hidden="1" customHeight="1" outlineLevel="1">
      <c r="A113" s="120"/>
      <c r="B113" s="120"/>
      <c r="C113" s="850">
        <v>89</v>
      </c>
      <c r="D113" s="851"/>
      <c r="E113" s="852"/>
      <c r="F113" s="852"/>
      <c r="G113" s="876"/>
      <c r="H113" s="1078"/>
      <c r="I113" s="879"/>
      <c r="J113" s="880"/>
      <c r="K113" s="881"/>
      <c r="L113" s="489"/>
      <c r="M113" s="838">
        <f t="shared" si="0"/>
        <v>0</v>
      </c>
      <c r="N113" s="855">
        <f t="shared" si="0"/>
        <v>0</v>
      </c>
      <c r="O113" s="878">
        <f t="shared" si="1"/>
        <v>0</v>
      </c>
      <c r="P113" s="849">
        <f t="shared" si="3"/>
        <v>0</v>
      </c>
    </row>
    <row r="114" spans="1:16" ht="30" hidden="1" customHeight="1" outlineLevel="1">
      <c r="A114" s="120"/>
      <c r="B114" s="120"/>
      <c r="C114" s="850">
        <v>90</v>
      </c>
      <c r="D114" s="851"/>
      <c r="E114" s="852"/>
      <c r="F114" s="852"/>
      <c r="G114" s="876"/>
      <c r="H114" s="1078"/>
      <c r="I114" s="879"/>
      <c r="J114" s="880"/>
      <c r="K114" s="881"/>
      <c r="L114" s="489"/>
      <c r="M114" s="838">
        <f t="shared" si="0"/>
        <v>0</v>
      </c>
      <c r="N114" s="855">
        <f t="shared" si="0"/>
        <v>0</v>
      </c>
      <c r="O114" s="878">
        <f t="shared" si="1"/>
        <v>0</v>
      </c>
      <c r="P114" s="849">
        <f t="shared" si="3"/>
        <v>0</v>
      </c>
    </row>
    <row r="115" spans="1:16" ht="30" hidden="1" customHeight="1" outlineLevel="1">
      <c r="A115" s="120"/>
      <c r="B115" s="120"/>
      <c r="C115" s="850">
        <v>91</v>
      </c>
      <c r="D115" s="851"/>
      <c r="E115" s="852"/>
      <c r="F115" s="852"/>
      <c r="G115" s="876"/>
      <c r="H115" s="1078"/>
      <c r="I115" s="879"/>
      <c r="J115" s="880"/>
      <c r="K115" s="881"/>
      <c r="L115" s="489"/>
      <c r="M115" s="838">
        <f t="shared" si="0"/>
        <v>0</v>
      </c>
      <c r="N115" s="855">
        <f t="shared" si="0"/>
        <v>0</v>
      </c>
      <c r="O115" s="878">
        <f t="shared" si="1"/>
        <v>0</v>
      </c>
      <c r="P115" s="849">
        <f t="shared" si="3"/>
        <v>0</v>
      </c>
    </row>
    <row r="116" spans="1:16" ht="30" hidden="1" customHeight="1" outlineLevel="1">
      <c r="A116" s="120"/>
      <c r="B116" s="120"/>
      <c r="C116" s="850">
        <v>92</v>
      </c>
      <c r="D116" s="851"/>
      <c r="E116" s="852"/>
      <c r="F116" s="852"/>
      <c r="G116" s="876"/>
      <c r="H116" s="1078"/>
      <c r="I116" s="879"/>
      <c r="J116" s="880"/>
      <c r="K116" s="881"/>
      <c r="L116" s="489"/>
      <c r="M116" s="838">
        <f t="shared" si="0"/>
        <v>0</v>
      </c>
      <c r="N116" s="855">
        <f t="shared" si="0"/>
        <v>0</v>
      </c>
      <c r="O116" s="878">
        <f t="shared" si="1"/>
        <v>0</v>
      </c>
      <c r="P116" s="849">
        <f t="shared" si="3"/>
        <v>0</v>
      </c>
    </row>
    <row r="117" spans="1:16" ht="30" hidden="1" customHeight="1" outlineLevel="1">
      <c r="A117" s="120"/>
      <c r="B117" s="120"/>
      <c r="C117" s="850">
        <v>93</v>
      </c>
      <c r="D117" s="851"/>
      <c r="E117" s="852"/>
      <c r="F117" s="852"/>
      <c r="G117" s="876"/>
      <c r="H117" s="1078"/>
      <c r="I117" s="879"/>
      <c r="J117" s="880"/>
      <c r="K117" s="881"/>
      <c r="L117" s="489"/>
      <c r="M117" s="838">
        <f t="shared" si="0"/>
        <v>0</v>
      </c>
      <c r="N117" s="855">
        <f t="shared" si="0"/>
        <v>0</v>
      </c>
      <c r="O117" s="878">
        <f t="shared" si="1"/>
        <v>0</v>
      </c>
      <c r="P117" s="849">
        <f t="shared" si="3"/>
        <v>0</v>
      </c>
    </row>
    <row r="118" spans="1:16" ht="30" hidden="1" customHeight="1" outlineLevel="1">
      <c r="A118" s="120"/>
      <c r="B118" s="120"/>
      <c r="C118" s="850">
        <v>94</v>
      </c>
      <c r="D118" s="851"/>
      <c r="E118" s="852"/>
      <c r="F118" s="852"/>
      <c r="G118" s="876"/>
      <c r="H118" s="1078"/>
      <c r="I118" s="879"/>
      <c r="J118" s="880"/>
      <c r="K118" s="881"/>
      <c r="L118" s="489"/>
      <c r="M118" s="838">
        <f t="shared" si="0"/>
        <v>0</v>
      </c>
      <c r="N118" s="855">
        <f t="shared" si="0"/>
        <v>0</v>
      </c>
      <c r="O118" s="878">
        <f t="shared" si="1"/>
        <v>0</v>
      </c>
      <c r="P118" s="849">
        <f t="shared" si="3"/>
        <v>0</v>
      </c>
    </row>
    <row r="119" spans="1:16" ht="30" hidden="1" customHeight="1" outlineLevel="1">
      <c r="A119" s="120"/>
      <c r="B119" s="120"/>
      <c r="C119" s="850">
        <v>95</v>
      </c>
      <c r="D119" s="851"/>
      <c r="E119" s="852"/>
      <c r="F119" s="852"/>
      <c r="G119" s="876"/>
      <c r="H119" s="1078"/>
      <c r="I119" s="879"/>
      <c r="J119" s="880"/>
      <c r="K119" s="881"/>
      <c r="L119" s="489"/>
      <c r="M119" s="838">
        <f t="shared" si="0"/>
        <v>0</v>
      </c>
      <c r="N119" s="855">
        <f t="shared" si="0"/>
        <v>0</v>
      </c>
      <c r="O119" s="878">
        <f t="shared" si="1"/>
        <v>0</v>
      </c>
      <c r="P119" s="849">
        <f t="shared" si="3"/>
        <v>0</v>
      </c>
    </row>
    <row r="120" spans="1:16" ht="30" hidden="1" customHeight="1" outlineLevel="1">
      <c r="A120" s="120"/>
      <c r="B120" s="120"/>
      <c r="C120" s="850">
        <v>96</v>
      </c>
      <c r="D120" s="851"/>
      <c r="E120" s="852"/>
      <c r="F120" s="852"/>
      <c r="G120" s="876"/>
      <c r="H120" s="1078"/>
      <c r="I120" s="879"/>
      <c r="J120" s="880"/>
      <c r="K120" s="881"/>
      <c r="L120" s="489"/>
      <c r="M120" s="838">
        <f t="shared" si="0"/>
        <v>0</v>
      </c>
      <c r="N120" s="855">
        <f t="shared" si="0"/>
        <v>0</v>
      </c>
      <c r="O120" s="878">
        <f t="shared" si="1"/>
        <v>0</v>
      </c>
      <c r="P120" s="849">
        <f t="shared" si="3"/>
        <v>0</v>
      </c>
    </row>
    <row r="121" spans="1:16" ht="30" hidden="1" customHeight="1" outlineLevel="1">
      <c r="A121" s="120"/>
      <c r="B121" s="120"/>
      <c r="C121" s="850">
        <v>97</v>
      </c>
      <c r="D121" s="851"/>
      <c r="E121" s="852"/>
      <c r="F121" s="852"/>
      <c r="G121" s="876"/>
      <c r="H121" s="1078"/>
      <c r="I121" s="879"/>
      <c r="J121" s="880"/>
      <c r="K121" s="881"/>
      <c r="L121" s="489"/>
      <c r="M121" s="838">
        <f t="shared" si="0"/>
        <v>0</v>
      </c>
      <c r="N121" s="855">
        <f t="shared" si="0"/>
        <v>0</v>
      </c>
      <c r="O121" s="878">
        <f t="shared" si="1"/>
        <v>0</v>
      </c>
      <c r="P121" s="849">
        <f t="shared" si="3"/>
        <v>0</v>
      </c>
    </row>
    <row r="122" spans="1:16" ht="30" hidden="1" customHeight="1" outlineLevel="1">
      <c r="A122" s="120"/>
      <c r="B122" s="120"/>
      <c r="C122" s="850">
        <v>98</v>
      </c>
      <c r="D122" s="851"/>
      <c r="E122" s="852"/>
      <c r="F122" s="852"/>
      <c r="G122" s="876"/>
      <c r="H122" s="1078"/>
      <c r="I122" s="879"/>
      <c r="J122" s="880"/>
      <c r="K122" s="881"/>
      <c r="L122" s="489"/>
      <c r="M122" s="838">
        <f t="shared" si="0"/>
        <v>0</v>
      </c>
      <c r="N122" s="855">
        <f t="shared" si="0"/>
        <v>0</v>
      </c>
      <c r="O122" s="878">
        <f t="shared" si="1"/>
        <v>0</v>
      </c>
      <c r="P122" s="849">
        <f t="shared" si="3"/>
        <v>0</v>
      </c>
    </row>
    <row r="123" spans="1:16" ht="30" hidden="1" customHeight="1" outlineLevel="1">
      <c r="A123" s="120"/>
      <c r="B123" s="120"/>
      <c r="C123" s="850">
        <v>99</v>
      </c>
      <c r="D123" s="851"/>
      <c r="E123" s="852"/>
      <c r="F123" s="852"/>
      <c r="G123" s="876"/>
      <c r="H123" s="1078"/>
      <c r="I123" s="879"/>
      <c r="J123" s="880"/>
      <c r="K123" s="881"/>
      <c r="L123" s="489"/>
      <c r="M123" s="838">
        <f t="shared" si="0"/>
        <v>0</v>
      </c>
      <c r="N123" s="855">
        <f t="shared" si="0"/>
        <v>0</v>
      </c>
      <c r="O123" s="878">
        <f t="shared" si="1"/>
        <v>0</v>
      </c>
      <c r="P123" s="849">
        <f t="shared" si="3"/>
        <v>0</v>
      </c>
    </row>
    <row r="124" spans="1:16" ht="30" hidden="1" customHeight="1" outlineLevel="1">
      <c r="A124" s="120"/>
      <c r="B124" s="120"/>
      <c r="C124" s="850">
        <v>100</v>
      </c>
      <c r="D124" s="851"/>
      <c r="E124" s="852"/>
      <c r="F124" s="852"/>
      <c r="G124" s="876"/>
      <c r="H124" s="1078"/>
      <c r="I124" s="879"/>
      <c r="J124" s="880"/>
      <c r="K124" s="881"/>
      <c r="L124" s="489"/>
      <c r="M124" s="838">
        <f t="shared" si="0"/>
        <v>0</v>
      </c>
      <c r="N124" s="855">
        <f t="shared" si="0"/>
        <v>0</v>
      </c>
      <c r="O124" s="878">
        <f t="shared" si="1"/>
        <v>0</v>
      </c>
      <c r="P124" s="849">
        <f t="shared" si="3"/>
        <v>0</v>
      </c>
    </row>
    <row r="125" spans="1:16" ht="30" hidden="1" customHeight="1" outlineLevel="1">
      <c r="A125" s="120"/>
      <c r="B125" s="120"/>
      <c r="C125" s="850">
        <v>101</v>
      </c>
      <c r="D125" s="851"/>
      <c r="E125" s="852"/>
      <c r="F125" s="852"/>
      <c r="G125" s="876"/>
      <c r="H125" s="1078"/>
      <c r="I125" s="879"/>
      <c r="J125" s="880"/>
      <c r="K125" s="881"/>
      <c r="L125" s="489"/>
      <c r="M125" s="838">
        <f t="shared" si="0"/>
        <v>0</v>
      </c>
      <c r="N125" s="855">
        <f t="shared" si="0"/>
        <v>0</v>
      </c>
      <c r="O125" s="878">
        <f t="shared" si="1"/>
        <v>0</v>
      </c>
      <c r="P125" s="849">
        <f t="shared" si="3"/>
        <v>0</v>
      </c>
    </row>
    <row r="126" spans="1:16" ht="30" hidden="1" customHeight="1" outlineLevel="1">
      <c r="A126" s="120"/>
      <c r="B126" s="120"/>
      <c r="C126" s="850">
        <v>102</v>
      </c>
      <c r="D126" s="851"/>
      <c r="E126" s="852"/>
      <c r="F126" s="852"/>
      <c r="G126" s="876"/>
      <c r="H126" s="1078"/>
      <c r="I126" s="879"/>
      <c r="J126" s="880"/>
      <c r="K126" s="881"/>
      <c r="L126" s="489"/>
      <c r="M126" s="838">
        <f t="shared" si="0"/>
        <v>0</v>
      </c>
      <c r="N126" s="855">
        <f t="shared" si="0"/>
        <v>0</v>
      </c>
      <c r="O126" s="878">
        <f t="shared" si="1"/>
        <v>0</v>
      </c>
      <c r="P126" s="849">
        <f t="shared" si="3"/>
        <v>0</v>
      </c>
    </row>
    <row r="127" spans="1:16" ht="30" hidden="1" customHeight="1" outlineLevel="1">
      <c r="A127" s="120"/>
      <c r="B127" s="120"/>
      <c r="C127" s="850">
        <v>103</v>
      </c>
      <c r="D127" s="851"/>
      <c r="E127" s="852"/>
      <c r="F127" s="852"/>
      <c r="G127" s="876"/>
      <c r="H127" s="1078"/>
      <c r="I127" s="879"/>
      <c r="J127" s="880"/>
      <c r="K127" s="881"/>
      <c r="L127" s="489"/>
      <c r="M127" s="838">
        <f t="shared" si="0"/>
        <v>0</v>
      </c>
      <c r="N127" s="855">
        <f t="shared" si="0"/>
        <v>0</v>
      </c>
      <c r="O127" s="878">
        <f t="shared" si="1"/>
        <v>0</v>
      </c>
      <c r="P127" s="849">
        <f t="shared" si="3"/>
        <v>0</v>
      </c>
    </row>
    <row r="128" spans="1:16" ht="30" hidden="1" customHeight="1" outlineLevel="1">
      <c r="A128" s="120"/>
      <c r="B128" s="120"/>
      <c r="C128" s="850">
        <v>104</v>
      </c>
      <c r="D128" s="851"/>
      <c r="E128" s="852"/>
      <c r="F128" s="852"/>
      <c r="G128" s="876"/>
      <c r="H128" s="1078"/>
      <c r="I128" s="879"/>
      <c r="J128" s="880"/>
      <c r="K128" s="881"/>
      <c r="L128" s="489"/>
      <c r="M128" s="838">
        <f t="shared" si="0"/>
        <v>0</v>
      </c>
      <c r="N128" s="855">
        <f t="shared" si="0"/>
        <v>0</v>
      </c>
      <c r="O128" s="878">
        <f t="shared" si="1"/>
        <v>0</v>
      </c>
      <c r="P128" s="849">
        <f t="shared" si="3"/>
        <v>0</v>
      </c>
    </row>
    <row r="129" spans="1:16" ht="30" hidden="1" customHeight="1" outlineLevel="1">
      <c r="A129" s="120"/>
      <c r="B129" s="120"/>
      <c r="C129" s="850">
        <v>105</v>
      </c>
      <c r="D129" s="851"/>
      <c r="E129" s="852"/>
      <c r="F129" s="852"/>
      <c r="G129" s="876"/>
      <c r="H129" s="1078"/>
      <c r="I129" s="879"/>
      <c r="J129" s="880"/>
      <c r="K129" s="881"/>
      <c r="L129" s="489"/>
      <c r="M129" s="838">
        <f t="shared" si="0"/>
        <v>0</v>
      </c>
      <c r="N129" s="855">
        <f t="shared" si="0"/>
        <v>0</v>
      </c>
      <c r="O129" s="878">
        <f t="shared" si="1"/>
        <v>0</v>
      </c>
      <c r="P129" s="849">
        <f t="shared" si="3"/>
        <v>0</v>
      </c>
    </row>
    <row r="130" spans="1:16" ht="30" hidden="1" customHeight="1" outlineLevel="1">
      <c r="A130" s="120"/>
      <c r="B130" s="120"/>
      <c r="C130" s="850">
        <v>106</v>
      </c>
      <c r="D130" s="851"/>
      <c r="E130" s="852"/>
      <c r="F130" s="852"/>
      <c r="G130" s="876"/>
      <c r="H130" s="1078"/>
      <c r="I130" s="879"/>
      <c r="J130" s="880"/>
      <c r="K130" s="881"/>
      <c r="L130" s="489"/>
      <c r="M130" s="838">
        <f t="shared" si="0"/>
        <v>0</v>
      </c>
      <c r="N130" s="855">
        <f t="shared" si="0"/>
        <v>0</v>
      </c>
      <c r="O130" s="878">
        <f t="shared" si="1"/>
        <v>0</v>
      </c>
      <c r="P130" s="849">
        <f t="shared" si="3"/>
        <v>0</v>
      </c>
    </row>
    <row r="131" spans="1:16" ht="30" hidden="1" customHeight="1" outlineLevel="1">
      <c r="A131" s="120"/>
      <c r="B131" s="120"/>
      <c r="C131" s="850">
        <v>107</v>
      </c>
      <c r="D131" s="851"/>
      <c r="E131" s="852"/>
      <c r="F131" s="852"/>
      <c r="G131" s="876"/>
      <c r="H131" s="1078"/>
      <c r="I131" s="879"/>
      <c r="J131" s="880"/>
      <c r="K131" s="881"/>
      <c r="L131" s="489"/>
      <c r="M131" s="838">
        <f t="shared" si="0"/>
        <v>0</v>
      </c>
      <c r="N131" s="855">
        <f t="shared" si="0"/>
        <v>0</v>
      </c>
      <c r="O131" s="878">
        <f t="shared" si="1"/>
        <v>0</v>
      </c>
      <c r="P131" s="849">
        <f t="shared" si="3"/>
        <v>0</v>
      </c>
    </row>
    <row r="132" spans="1:16" ht="30" hidden="1" customHeight="1" outlineLevel="1">
      <c r="A132" s="120"/>
      <c r="B132" s="120"/>
      <c r="C132" s="850">
        <v>108</v>
      </c>
      <c r="D132" s="851"/>
      <c r="E132" s="852"/>
      <c r="F132" s="852"/>
      <c r="G132" s="876"/>
      <c r="H132" s="1078"/>
      <c r="I132" s="879"/>
      <c r="J132" s="880"/>
      <c r="K132" s="881"/>
      <c r="L132" s="489"/>
      <c r="M132" s="838">
        <f t="shared" si="0"/>
        <v>0</v>
      </c>
      <c r="N132" s="855">
        <f t="shared" si="0"/>
        <v>0</v>
      </c>
      <c r="O132" s="878">
        <f t="shared" si="1"/>
        <v>0</v>
      </c>
      <c r="P132" s="849">
        <f t="shared" si="3"/>
        <v>0</v>
      </c>
    </row>
    <row r="133" spans="1:16" ht="30" hidden="1" customHeight="1" outlineLevel="1">
      <c r="A133" s="120"/>
      <c r="B133" s="120"/>
      <c r="C133" s="850">
        <v>109</v>
      </c>
      <c r="D133" s="851"/>
      <c r="E133" s="852"/>
      <c r="F133" s="852"/>
      <c r="G133" s="876"/>
      <c r="H133" s="1078"/>
      <c r="I133" s="879"/>
      <c r="J133" s="880"/>
      <c r="K133" s="881"/>
      <c r="L133" s="489"/>
      <c r="M133" s="838">
        <f t="shared" si="0"/>
        <v>0</v>
      </c>
      <c r="N133" s="855">
        <f t="shared" si="0"/>
        <v>0</v>
      </c>
      <c r="O133" s="878">
        <f t="shared" si="1"/>
        <v>0</v>
      </c>
      <c r="P133" s="849">
        <f t="shared" si="3"/>
        <v>0</v>
      </c>
    </row>
    <row r="134" spans="1:16" ht="30" hidden="1" customHeight="1" outlineLevel="1">
      <c r="A134" s="120"/>
      <c r="B134" s="120"/>
      <c r="C134" s="850">
        <v>110</v>
      </c>
      <c r="D134" s="851"/>
      <c r="E134" s="852"/>
      <c r="F134" s="852"/>
      <c r="G134" s="876"/>
      <c r="H134" s="1078"/>
      <c r="I134" s="879"/>
      <c r="J134" s="880"/>
      <c r="K134" s="881"/>
      <c r="L134" s="489"/>
      <c r="M134" s="838">
        <f t="shared" si="0"/>
        <v>0</v>
      </c>
      <c r="N134" s="855">
        <f t="shared" si="0"/>
        <v>0</v>
      </c>
      <c r="O134" s="878">
        <f t="shared" si="1"/>
        <v>0</v>
      </c>
      <c r="P134" s="849">
        <f t="shared" si="3"/>
        <v>0</v>
      </c>
    </row>
    <row r="135" spans="1:16" ht="30" hidden="1" customHeight="1" outlineLevel="1">
      <c r="A135" s="120"/>
      <c r="B135" s="120"/>
      <c r="C135" s="850">
        <v>111</v>
      </c>
      <c r="D135" s="851"/>
      <c r="E135" s="852"/>
      <c r="F135" s="852"/>
      <c r="G135" s="876"/>
      <c r="H135" s="1078"/>
      <c r="I135" s="879"/>
      <c r="J135" s="880"/>
      <c r="K135" s="881"/>
      <c r="L135" s="489"/>
      <c r="M135" s="838">
        <f t="shared" si="0"/>
        <v>0</v>
      </c>
      <c r="N135" s="855">
        <f t="shared" si="0"/>
        <v>0</v>
      </c>
      <c r="O135" s="878">
        <f t="shared" si="1"/>
        <v>0</v>
      </c>
      <c r="P135" s="849">
        <f t="shared" si="3"/>
        <v>0</v>
      </c>
    </row>
    <row r="136" spans="1:16" ht="30" hidden="1" customHeight="1" outlineLevel="1">
      <c r="A136" s="120"/>
      <c r="B136" s="120"/>
      <c r="C136" s="850">
        <v>112</v>
      </c>
      <c r="D136" s="851"/>
      <c r="E136" s="852"/>
      <c r="F136" s="852"/>
      <c r="G136" s="876"/>
      <c r="H136" s="1078"/>
      <c r="I136" s="879"/>
      <c r="J136" s="880"/>
      <c r="K136" s="881"/>
      <c r="L136" s="489"/>
      <c r="M136" s="838">
        <f t="shared" si="0"/>
        <v>0</v>
      </c>
      <c r="N136" s="855">
        <f t="shared" si="0"/>
        <v>0</v>
      </c>
      <c r="O136" s="878">
        <f t="shared" si="1"/>
        <v>0</v>
      </c>
      <c r="P136" s="849">
        <f t="shared" si="3"/>
        <v>0</v>
      </c>
    </row>
    <row r="137" spans="1:16" ht="30" hidden="1" customHeight="1" outlineLevel="1">
      <c r="A137" s="120"/>
      <c r="B137" s="120"/>
      <c r="C137" s="850">
        <v>113</v>
      </c>
      <c r="D137" s="851"/>
      <c r="E137" s="852"/>
      <c r="F137" s="852"/>
      <c r="G137" s="876"/>
      <c r="H137" s="1078"/>
      <c r="I137" s="879"/>
      <c r="J137" s="880"/>
      <c r="K137" s="881"/>
      <c r="L137" s="489"/>
      <c r="M137" s="838">
        <f t="shared" si="0"/>
        <v>0</v>
      </c>
      <c r="N137" s="855">
        <f t="shared" si="0"/>
        <v>0</v>
      </c>
      <c r="O137" s="878">
        <f t="shared" si="1"/>
        <v>0</v>
      </c>
      <c r="P137" s="849">
        <f t="shared" si="3"/>
        <v>0</v>
      </c>
    </row>
    <row r="138" spans="1:16" ht="30" hidden="1" customHeight="1" outlineLevel="1">
      <c r="A138" s="120"/>
      <c r="B138" s="120"/>
      <c r="C138" s="850">
        <v>114</v>
      </c>
      <c r="D138" s="851"/>
      <c r="E138" s="852"/>
      <c r="F138" s="852"/>
      <c r="G138" s="876"/>
      <c r="H138" s="1078"/>
      <c r="I138" s="879"/>
      <c r="J138" s="880"/>
      <c r="K138" s="881"/>
      <c r="L138" s="489"/>
      <c r="M138" s="838">
        <f t="shared" si="0"/>
        <v>0</v>
      </c>
      <c r="N138" s="855">
        <f t="shared" si="0"/>
        <v>0</v>
      </c>
      <c r="O138" s="878">
        <f t="shared" si="1"/>
        <v>0</v>
      </c>
      <c r="P138" s="849">
        <f t="shared" si="3"/>
        <v>0</v>
      </c>
    </row>
    <row r="139" spans="1:16" ht="30" hidden="1" customHeight="1" outlineLevel="1">
      <c r="A139" s="120"/>
      <c r="B139" s="120"/>
      <c r="C139" s="850">
        <v>115</v>
      </c>
      <c r="D139" s="851"/>
      <c r="E139" s="852"/>
      <c r="F139" s="852"/>
      <c r="G139" s="876"/>
      <c r="H139" s="1078"/>
      <c r="I139" s="879"/>
      <c r="J139" s="880"/>
      <c r="K139" s="881"/>
      <c r="L139" s="489"/>
      <c r="M139" s="838">
        <f t="shared" si="0"/>
        <v>0</v>
      </c>
      <c r="N139" s="855">
        <f t="shared" si="0"/>
        <v>0</v>
      </c>
      <c r="O139" s="878">
        <f t="shared" si="1"/>
        <v>0</v>
      </c>
      <c r="P139" s="849">
        <f t="shared" si="3"/>
        <v>0</v>
      </c>
    </row>
    <row r="140" spans="1:16" ht="30" hidden="1" customHeight="1" outlineLevel="1">
      <c r="A140" s="120"/>
      <c r="B140" s="120"/>
      <c r="C140" s="850">
        <v>116</v>
      </c>
      <c r="D140" s="851"/>
      <c r="E140" s="852"/>
      <c r="F140" s="852"/>
      <c r="G140" s="876"/>
      <c r="H140" s="1078"/>
      <c r="I140" s="879"/>
      <c r="J140" s="880"/>
      <c r="K140" s="881"/>
      <c r="L140" s="489"/>
      <c r="M140" s="838">
        <f t="shared" si="0"/>
        <v>0</v>
      </c>
      <c r="N140" s="855">
        <f t="shared" si="0"/>
        <v>0</v>
      </c>
      <c r="O140" s="878">
        <f t="shared" si="1"/>
        <v>0</v>
      </c>
      <c r="P140" s="849">
        <f t="shared" si="3"/>
        <v>0</v>
      </c>
    </row>
    <row r="141" spans="1:16" ht="30" hidden="1" customHeight="1" outlineLevel="1">
      <c r="A141" s="120"/>
      <c r="B141" s="120"/>
      <c r="C141" s="850">
        <v>117</v>
      </c>
      <c r="D141" s="851"/>
      <c r="E141" s="852"/>
      <c r="F141" s="852"/>
      <c r="G141" s="876"/>
      <c r="H141" s="1078"/>
      <c r="I141" s="879"/>
      <c r="J141" s="880"/>
      <c r="K141" s="881"/>
      <c r="L141" s="489"/>
      <c r="M141" s="838">
        <f t="shared" si="0"/>
        <v>0</v>
      </c>
      <c r="N141" s="855">
        <f t="shared" si="0"/>
        <v>0</v>
      </c>
      <c r="O141" s="878">
        <f t="shared" si="1"/>
        <v>0</v>
      </c>
      <c r="P141" s="849">
        <f t="shared" si="3"/>
        <v>0</v>
      </c>
    </row>
    <row r="142" spans="1:16" ht="30" hidden="1" customHeight="1" outlineLevel="1">
      <c r="A142" s="120"/>
      <c r="B142" s="120"/>
      <c r="C142" s="850">
        <v>118</v>
      </c>
      <c r="D142" s="851"/>
      <c r="E142" s="852"/>
      <c r="F142" s="852"/>
      <c r="G142" s="876"/>
      <c r="H142" s="1078"/>
      <c r="I142" s="879"/>
      <c r="J142" s="880"/>
      <c r="K142" s="881"/>
      <c r="L142" s="489"/>
      <c r="M142" s="838">
        <f t="shared" si="0"/>
        <v>0</v>
      </c>
      <c r="N142" s="855">
        <f t="shared" si="0"/>
        <v>0</v>
      </c>
      <c r="O142" s="878">
        <f t="shared" si="1"/>
        <v>0</v>
      </c>
      <c r="P142" s="849">
        <f t="shared" si="3"/>
        <v>0</v>
      </c>
    </row>
    <row r="143" spans="1:16" ht="30" hidden="1" customHeight="1" outlineLevel="1">
      <c r="A143" s="120"/>
      <c r="B143" s="120"/>
      <c r="C143" s="850">
        <v>119</v>
      </c>
      <c r="D143" s="851"/>
      <c r="E143" s="852"/>
      <c r="F143" s="852"/>
      <c r="G143" s="876"/>
      <c r="H143" s="1078"/>
      <c r="I143" s="879"/>
      <c r="J143" s="880"/>
      <c r="K143" s="881"/>
      <c r="L143" s="489"/>
      <c r="M143" s="838">
        <f t="shared" si="0"/>
        <v>0</v>
      </c>
      <c r="N143" s="855">
        <f t="shared" si="0"/>
        <v>0</v>
      </c>
      <c r="O143" s="878">
        <f t="shared" si="1"/>
        <v>0</v>
      </c>
      <c r="P143" s="849">
        <f t="shared" si="3"/>
        <v>0</v>
      </c>
    </row>
    <row r="144" spans="1:16" ht="30" hidden="1" customHeight="1" outlineLevel="1">
      <c r="A144" s="120"/>
      <c r="B144" s="120"/>
      <c r="C144" s="850">
        <v>120</v>
      </c>
      <c r="D144" s="851"/>
      <c r="E144" s="852"/>
      <c r="F144" s="852"/>
      <c r="G144" s="876"/>
      <c r="H144" s="1078"/>
      <c r="I144" s="879"/>
      <c r="J144" s="880"/>
      <c r="K144" s="881"/>
      <c r="L144" s="489"/>
      <c r="M144" s="838">
        <f t="shared" si="0"/>
        <v>0</v>
      </c>
      <c r="N144" s="855">
        <f t="shared" si="0"/>
        <v>0</v>
      </c>
      <c r="O144" s="878">
        <f t="shared" si="1"/>
        <v>0</v>
      </c>
      <c r="P144" s="849">
        <f t="shared" si="3"/>
        <v>0</v>
      </c>
    </row>
    <row r="145" spans="1:16" ht="30" hidden="1" customHeight="1" outlineLevel="1">
      <c r="A145" s="120"/>
      <c r="B145" s="120"/>
      <c r="C145" s="850">
        <v>121</v>
      </c>
      <c r="D145" s="851"/>
      <c r="E145" s="852"/>
      <c r="F145" s="852"/>
      <c r="G145" s="876"/>
      <c r="H145" s="1078"/>
      <c r="I145" s="879"/>
      <c r="J145" s="880"/>
      <c r="K145" s="881"/>
      <c r="L145" s="489"/>
      <c r="M145" s="838">
        <f t="shared" si="0"/>
        <v>0</v>
      </c>
      <c r="N145" s="855">
        <f t="shared" si="0"/>
        <v>0</v>
      </c>
      <c r="O145" s="878">
        <f t="shared" si="1"/>
        <v>0</v>
      </c>
      <c r="P145" s="849">
        <f t="shared" si="3"/>
        <v>0</v>
      </c>
    </row>
    <row r="146" spans="1:16" ht="30" hidden="1" customHeight="1" outlineLevel="1">
      <c r="A146" s="120"/>
      <c r="B146" s="120"/>
      <c r="C146" s="850">
        <v>122</v>
      </c>
      <c r="D146" s="851"/>
      <c r="E146" s="852"/>
      <c r="F146" s="852"/>
      <c r="G146" s="876"/>
      <c r="H146" s="1078"/>
      <c r="I146" s="879"/>
      <c r="J146" s="880"/>
      <c r="K146" s="881"/>
      <c r="L146" s="489"/>
      <c r="M146" s="838">
        <f t="shared" si="0"/>
        <v>0</v>
      </c>
      <c r="N146" s="855">
        <f t="shared" si="0"/>
        <v>0</v>
      </c>
      <c r="O146" s="878">
        <f t="shared" si="1"/>
        <v>0</v>
      </c>
      <c r="P146" s="849">
        <f t="shared" si="3"/>
        <v>0</v>
      </c>
    </row>
    <row r="147" spans="1:16" ht="30" hidden="1" customHeight="1" outlineLevel="1">
      <c r="A147" s="120"/>
      <c r="B147" s="120"/>
      <c r="C147" s="850">
        <v>123</v>
      </c>
      <c r="D147" s="851"/>
      <c r="E147" s="852"/>
      <c r="F147" s="852"/>
      <c r="G147" s="876"/>
      <c r="H147" s="1078"/>
      <c r="I147" s="879"/>
      <c r="J147" s="880"/>
      <c r="K147" s="881"/>
      <c r="L147" s="489"/>
      <c r="M147" s="838">
        <f t="shared" si="0"/>
        <v>0</v>
      </c>
      <c r="N147" s="855">
        <f t="shared" si="0"/>
        <v>0</v>
      </c>
      <c r="O147" s="878">
        <f t="shared" si="1"/>
        <v>0</v>
      </c>
      <c r="P147" s="849">
        <f t="shared" si="3"/>
        <v>0</v>
      </c>
    </row>
    <row r="148" spans="1:16" ht="30" hidden="1" customHeight="1" outlineLevel="1">
      <c r="A148" s="120"/>
      <c r="B148" s="120"/>
      <c r="C148" s="850">
        <v>124</v>
      </c>
      <c r="D148" s="851"/>
      <c r="E148" s="852"/>
      <c r="F148" s="852"/>
      <c r="G148" s="876"/>
      <c r="H148" s="1078"/>
      <c r="I148" s="879"/>
      <c r="J148" s="880"/>
      <c r="K148" s="881"/>
      <c r="L148" s="489"/>
      <c r="M148" s="838">
        <f t="shared" si="0"/>
        <v>0</v>
      </c>
      <c r="N148" s="855">
        <f t="shared" si="0"/>
        <v>0</v>
      </c>
      <c r="O148" s="878">
        <f t="shared" si="1"/>
        <v>0</v>
      </c>
      <c r="P148" s="849">
        <f t="shared" si="3"/>
        <v>0</v>
      </c>
    </row>
    <row r="149" spans="1:16" ht="30" hidden="1" customHeight="1" outlineLevel="1">
      <c r="A149" s="120"/>
      <c r="B149" s="120"/>
      <c r="C149" s="850">
        <v>125</v>
      </c>
      <c r="D149" s="851"/>
      <c r="E149" s="852"/>
      <c r="F149" s="852"/>
      <c r="G149" s="876"/>
      <c r="H149" s="1078"/>
      <c r="I149" s="879"/>
      <c r="J149" s="880"/>
      <c r="K149" s="881"/>
      <c r="L149" s="489"/>
      <c r="M149" s="838">
        <f t="shared" si="0"/>
        <v>0</v>
      </c>
      <c r="N149" s="855">
        <f t="shared" si="0"/>
        <v>0</v>
      </c>
      <c r="O149" s="878">
        <f t="shared" si="1"/>
        <v>0</v>
      </c>
      <c r="P149" s="849">
        <f t="shared" si="3"/>
        <v>0</v>
      </c>
    </row>
    <row r="150" spans="1:16" ht="30" hidden="1" customHeight="1" outlineLevel="1">
      <c r="A150" s="120"/>
      <c r="B150" s="120"/>
      <c r="C150" s="850">
        <v>126</v>
      </c>
      <c r="D150" s="851"/>
      <c r="E150" s="852"/>
      <c r="F150" s="852"/>
      <c r="G150" s="876"/>
      <c r="H150" s="1078"/>
      <c r="I150" s="879"/>
      <c r="J150" s="880"/>
      <c r="K150" s="881"/>
      <c r="L150" s="489"/>
      <c r="M150" s="838">
        <f t="shared" si="0"/>
        <v>0</v>
      </c>
      <c r="N150" s="855">
        <f t="shared" si="0"/>
        <v>0</v>
      </c>
      <c r="O150" s="878">
        <f t="shared" si="1"/>
        <v>0</v>
      </c>
      <c r="P150" s="849">
        <f t="shared" si="3"/>
        <v>0</v>
      </c>
    </row>
    <row r="151" spans="1:16" ht="30" hidden="1" customHeight="1" outlineLevel="1">
      <c r="A151" s="120"/>
      <c r="B151" s="120"/>
      <c r="C151" s="850">
        <v>127</v>
      </c>
      <c r="D151" s="851"/>
      <c r="E151" s="852"/>
      <c r="F151" s="852"/>
      <c r="G151" s="876"/>
      <c r="H151" s="1078"/>
      <c r="I151" s="879"/>
      <c r="J151" s="880"/>
      <c r="K151" s="881"/>
      <c r="L151" s="489"/>
      <c r="M151" s="838">
        <f t="shared" si="0"/>
        <v>0</v>
      </c>
      <c r="N151" s="855">
        <f t="shared" si="0"/>
        <v>0</v>
      </c>
      <c r="O151" s="878">
        <f t="shared" si="1"/>
        <v>0</v>
      </c>
      <c r="P151" s="849">
        <f t="shared" si="3"/>
        <v>0</v>
      </c>
    </row>
    <row r="152" spans="1:16" ht="30" hidden="1" customHeight="1" outlineLevel="1">
      <c r="A152" s="120"/>
      <c r="B152" s="120"/>
      <c r="C152" s="850">
        <v>128</v>
      </c>
      <c r="D152" s="851"/>
      <c r="E152" s="852"/>
      <c r="F152" s="852"/>
      <c r="G152" s="876"/>
      <c r="H152" s="1078"/>
      <c r="I152" s="879"/>
      <c r="J152" s="880"/>
      <c r="K152" s="881"/>
      <c r="L152" s="489"/>
      <c r="M152" s="838">
        <f t="shared" si="0"/>
        <v>0</v>
      </c>
      <c r="N152" s="855">
        <f t="shared" si="0"/>
        <v>0</v>
      </c>
      <c r="O152" s="878">
        <f t="shared" si="1"/>
        <v>0</v>
      </c>
      <c r="P152" s="849">
        <f t="shared" si="3"/>
        <v>0</v>
      </c>
    </row>
    <row r="153" spans="1:16" ht="30" hidden="1" customHeight="1" outlineLevel="1">
      <c r="A153" s="120"/>
      <c r="B153" s="120"/>
      <c r="C153" s="850">
        <v>129</v>
      </c>
      <c r="D153" s="851"/>
      <c r="E153" s="852"/>
      <c r="F153" s="852"/>
      <c r="G153" s="876"/>
      <c r="H153" s="1078"/>
      <c r="I153" s="879"/>
      <c r="J153" s="880"/>
      <c r="K153" s="881"/>
      <c r="L153" s="489"/>
      <c r="M153" s="838">
        <f t="shared" si="0"/>
        <v>0</v>
      </c>
      <c r="N153" s="855">
        <f>IF($H153&gt;0,F153,)</f>
        <v>0</v>
      </c>
      <c r="O153" s="878">
        <f t="shared" si="1"/>
        <v>0</v>
      </c>
      <c r="P153" s="849">
        <f t="shared" si="3"/>
        <v>0</v>
      </c>
    </row>
    <row r="154" spans="1:16" ht="30" hidden="1" customHeight="1" outlineLevel="1">
      <c r="A154" s="120"/>
      <c r="B154" s="120"/>
      <c r="C154" s="850">
        <v>130</v>
      </c>
      <c r="D154" s="851"/>
      <c r="E154" s="852"/>
      <c r="F154" s="852"/>
      <c r="G154" s="876"/>
      <c r="H154" s="1078"/>
      <c r="I154" s="879"/>
      <c r="J154" s="880"/>
      <c r="K154" s="881"/>
      <c r="L154" s="489"/>
      <c r="M154" s="838">
        <f t="shared" ref="M154:N174" si="4">IF($H154&gt;0,E154,)</f>
        <v>0</v>
      </c>
      <c r="N154" s="855">
        <f t="shared" si="4"/>
        <v>0</v>
      </c>
      <c r="O154" s="878">
        <f t="shared" si="1"/>
        <v>0</v>
      </c>
      <c r="P154" s="849">
        <f t="shared" ref="P154:P174" si="5">ROUND(O154*H154%,)</f>
        <v>0</v>
      </c>
    </row>
    <row r="155" spans="1:16" ht="30" hidden="1" customHeight="1" outlineLevel="1">
      <c r="A155" s="120"/>
      <c r="B155" s="120"/>
      <c r="C155" s="850">
        <v>131</v>
      </c>
      <c r="D155" s="851"/>
      <c r="E155" s="852"/>
      <c r="F155" s="852"/>
      <c r="G155" s="876"/>
      <c r="H155" s="1078"/>
      <c r="I155" s="879"/>
      <c r="J155" s="880"/>
      <c r="K155" s="881"/>
      <c r="L155" s="489"/>
      <c r="M155" s="838">
        <f t="shared" si="4"/>
        <v>0</v>
      </c>
      <c r="N155" s="855">
        <f t="shared" si="4"/>
        <v>0</v>
      </c>
      <c r="O155" s="878">
        <f t="shared" si="1"/>
        <v>0</v>
      </c>
      <c r="P155" s="849">
        <f t="shared" si="5"/>
        <v>0</v>
      </c>
    </row>
    <row r="156" spans="1:16" ht="30" hidden="1" customHeight="1" outlineLevel="1">
      <c r="A156" s="120"/>
      <c r="B156" s="120"/>
      <c r="C156" s="850">
        <v>132</v>
      </c>
      <c r="D156" s="851"/>
      <c r="E156" s="852"/>
      <c r="F156" s="852"/>
      <c r="G156" s="876"/>
      <c r="H156" s="1078"/>
      <c r="I156" s="879"/>
      <c r="J156" s="880"/>
      <c r="K156" s="881"/>
      <c r="L156" s="489"/>
      <c r="M156" s="838">
        <f t="shared" si="4"/>
        <v>0</v>
      </c>
      <c r="N156" s="855">
        <f t="shared" si="4"/>
        <v>0</v>
      </c>
      <c r="O156" s="878">
        <f t="shared" si="1"/>
        <v>0</v>
      </c>
      <c r="P156" s="849">
        <f t="shared" si="5"/>
        <v>0</v>
      </c>
    </row>
    <row r="157" spans="1:16" ht="30" hidden="1" customHeight="1" outlineLevel="1">
      <c r="A157" s="120"/>
      <c r="B157" s="120"/>
      <c r="C157" s="850">
        <v>133</v>
      </c>
      <c r="D157" s="851"/>
      <c r="E157" s="852"/>
      <c r="F157" s="852"/>
      <c r="G157" s="876"/>
      <c r="H157" s="1078"/>
      <c r="I157" s="879"/>
      <c r="J157" s="880"/>
      <c r="K157" s="881"/>
      <c r="L157" s="489"/>
      <c r="M157" s="838">
        <f t="shared" si="4"/>
        <v>0</v>
      </c>
      <c r="N157" s="855">
        <f t="shared" si="4"/>
        <v>0</v>
      </c>
      <c r="O157" s="878">
        <f t="shared" si="1"/>
        <v>0</v>
      </c>
      <c r="P157" s="849">
        <f t="shared" si="5"/>
        <v>0</v>
      </c>
    </row>
    <row r="158" spans="1:16" ht="30" hidden="1" customHeight="1" outlineLevel="1">
      <c r="A158" s="120"/>
      <c r="B158" s="120"/>
      <c r="C158" s="850">
        <v>134</v>
      </c>
      <c r="D158" s="851"/>
      <c r="E158" s="852"/>
      <c r="F158" s="852"/>
      <c r="G158" s="876"/>
      <c r="H158" s="1078"/>
      <c r="I158" s="879"/>
      <c r="J158" s="880"/>
      <c r="K158" s="881"/>
      <c r="L158" s="489"/>
      <c r="M158" s="838">
        <f t="shared" si="4"/>
        <v>0</v>
      </c>
      <c r="N158" s="855">
        <f t="shared" si="4"/>
        <v>0</v>
      </c>
      <c r="O158" s="878">
        <f t="shared" si="1"/>
        <v>0</v>
      </c>
      <c r="P158" s="849">
        <f t="shared" si="5"/>
        <v>0</v>
      </c>
    </row>
    <row r="159" spans="1:16" ht="30" hidden="1" customHeight="1" outlineLevel="1">
      <c r="A159" s="120"/>
      <c r="B159" s="120"/>
      <c r="C159" s="850">
        <v>135</v>
      </c>
      <c r="D159" s="851"/>
      <c r="E159" s="852"/>
      <c r="F159" s="852"/>
      <c r="G159" s="876"/>
      <c r="H159" s="1078"/>
      <c r="I159" s="879"/>
      <c r="J159" s="880"/>
      <c r="K159" s="881"/>
      <c r="L159" s="489"/>
      <c r="M159" s="838">
        <f t="shared" si="4"/>
        <v>0</v>
      </c>
      <c r="N159" s="855">
        <f t="shared" si="4"/>
        <v>0</v>
      </c>
      <c r="O159" s="878">
        <f t="shared" si="1"/>
        <v>0</v>
      </c>
      <c r="P159" s="849">
        <f t="shared" si="5"/>
        <v>0</v>
      </c>
    </row>
    <row r="160" spans="1:16" ht="30" hidden="1" customHeight="1" outlineLevel="1">
      <c r="A160" s="120"/>
      <c r="B160" s="120"/>
      <c r="C160" s="850">
        <v>136</v>
      </c>
      <c r="D160" s="851"/>
      <c r="E160" s="852"/>
      <c r="F160" s="852"/>
      <c r="G160" s="876"/>
      <c r="H160" s="1078"/>
      <c r="I160" s="879"/>
      <c r="J160" s="880"/>
      <c r="K160" s="881"/>
      <c r="L160" s="489"/>
      <c r="M160" s="838">
        <f t="shared" si="4"/>
        <v>0</v>
      </c>
      <c r="N160" s="855">
        <f t="shared" si="4"/>
        <v>0</v>
      </c>
      <c r="O160" s="878">
        <f t="shared" si="1"/>
        <v>0</v>
      </c>
      <c r="P160" s="849">
        <f t="shared" si="5"/>
        <v>0</v>
      </c>
    </row>
    <row r="161" spans="1:16" ht="30" hidden="1" customHeight="1" outlineLevel="1">
      <c r="A161" s="120"/>
      <c r="B161" s="120"/>
      <c r="C161" s="850">
        <v>137</v>
      </c>
      <c r="D161" s="851"/>
      <c r="E161" s="852"/>
      <c r="F161" s="852"/>
      <c r="G161" s="876"/>
      <c r="H161" s="1078"/>
      <c r="I161" s="879"/>
      <c r="J161" s="880"/>
      <c r="K161" s="881"/>
      <c r="L161" s="489"/>
      <c r="M161" s="838">
        <f t="shared" si="4"/>
        <v>0</v>
      </c>
      <c r="N161" s="855">
        <f t="shared" si="4"/>
        <v>0</v>
      </c>
      <c r="O161" s="878">
        <f t="shared" si="1"/>
        <v>0</v>
      </c>
      <c r="P161" s="849">
        <f t="shared" si="5"/>
        <v>0</v>
      </c>
    </row>
    <row r="162" spans="1:16" ht="30" hidden="1" customHeight="1" outlineLevel="1">
      <c r="A162" s="120"/>
      <c r="B162" s="120"/>
      <c r="C162" s="850">
        <v>138</v>
      </c>
      <c r="D162" s="851"/>
      <c r="E162" s="852"/>
      <c r="F162" s="852"/>
      <c r="G162" s="876"/>
      <c r="H162" s="1078"/>
      <c r="I162" s="879"/>
      <c r="J162" s="880"/>
      <c r="K162" s="881"/>
      <c r="L162" s="489"/>
      <c r="M162" s="838">
        <f t="shared" si="4"/>
        <v>0</v>
      </c>
      <c r="N162" s="855">
        <f t="shared" si="4"/>
        <v>0</v>
      </c>
      <c r="O162" s="878">
        <f t="shared" si="1"/>
        <v>0</v>
      </c>
      <c r="P162" s="849">
        <f t="shared" si="5"/>
        <v>0</v>
      </c>
    </row>
    <row r="163" spans="1:16" ht="30" hidden="1" customHeight="1" outlineLevel="1">
      <c r="A163" s="120"/>
      <c r="B163" s="120"/>
      <c r="C163" s="850">
        <v>139</v>
      </c>
      <c r="D163" s="851"/>
      <c r="E163" s="852"/>
      <c r="F163" s="852"/>
      <c r="G163" s="876"/>
      <c r="H163" s="1078"/>
      <c r="I163" s="879"/>
      <c r="J163" s="880"/>
      <c r="K163" s="881"/>
      <c r="L163" s="489"/>
      <c r="M163" s="838">
        <f t="shared" si="4"/>
        <v>0</v>
      </c>
      <c r="N163" s="855">
        <f t="shared" si="4"/>
        <v>0</v>
      </c>
      <c r="O163" s="878">
        <f t="shared" si="1"/>
        <v>0</v>
      </c>
      <c r="P163" s="849">
        <f t="shared" si="5"/>
        <v>0</v>
      </c>
    </row>
    <row r="164" spans="1:16" ht="30" hidden="1" customHeight="1" outlineLevel="1">
      <c r="A164" s="120"/>
      <c r="B164" s="120"/>
      <c r="C164" s="850">
        <v>140</v>
      </c>
      <c r="D164" s="851"/>
      <c r="E164" s="852"/>
      <c r="F164" s="852"/>
      <c r="G164" s="876"/>
      <c r="H164" s="1078"/>
      <c r="I164" s="879"/>
      <c r="J164" s="880"/>
      <c r="K164" s="881"/>
      <c r="L164" s="489"/>
      <c r="M164" s="838">
        <f t="shared" si="4"/>
        <v>0</v>
      </c>
      <c r="N164" s="855">
        <f t="shared" si="4"/>
        <v>0</v>
      </c>
      <c r="O164" s="878">
        <f t="shared" si="1"/>
        <v>0</v>
      </c>
      <c r="P164" s="849">
        <f t="shared" si="5"/>
        <v>0</v>
      </c>
    </row>
    <row r="165" spans="1:16" ht="30" hidden="1" customHeight="1" outlineLevel="1">
      <c r="A165" s="120"/>
      <c r="B165" s="120"/>
      <c r="C165" s="850">
        <v>141</v>
      </c>
      <c r="D165" s="851"/>
      <c r="E165" s="852"/>
      <c r="F165" s="852"/>
      <c r="G165" s="876"/>
      <c r="H165" s="1078"/>
      <c r="I165" s="879"/>
      <c r="J165" s="880"/>
      <c r="K165" s="881"/>
      <c r="L165" s="489"/>
      <c r="M165" s="838">
        <f t="shared" si="4"/>
        <v>0</v>
      </c>
      <c r="N165" s="855">
        <f t="shared" si="4"/>
        <v>0</v>
      </c>
      <c r="O165" s="878">
        <f t="shared" si="1"/>
        <v>0</v>
      </c>
      <c r="P165" s="849">
        <f t="shared" si="5"/>
        <v>0</v>
      </c>
    </row>
    <row r="166" spans="1:16" ht="30" hidden="1" customHeight="1" outlineLevel="1">
      <c r="A166" s="120"/>
      <c r="B166" s="120"/>
      <c r="C166" s="850">
        <v>142</v>
      </c>
      <c r="D166" s="851"/>
      <c r="E166" s="852"/>
      <c r="F166" s="852"/>
      <c r="G166" s="876"/>
      <c r="H166" s="1078"/>
      <c r="I166" s="879"/>
      <c r="J166" s="880"/>
      <c r="K166" s="881"/>
      <c r="L166" s="489"/>
      <c r="M166" s="838">
        <f t="shared" si="4"/>
        <v>0</v>
      </c>
      <c r="N166" s="855">
        <f t="shared" si="4"/>
        <v>0</v>
      </c>
      <c r="O166" s="878">
        <f t="shared" si="1"/>
        <v>0</v>
      </c>
      <c r="P166" s="849">
        <f t="shared" si="5"/>
        <v>0</v>
      </c>
    </row>
    <row r="167" spans="1:16" ht="30" hidden="1" customHeight="1" outlineLevel="1">
      <c r="A167" s="120"/>
      <c r="B167" s="120"/>
      <c r="C167" s="850">
        <v>143</v>
      </c>
      <c r="D167" s="851"/>
      <c r="E167" s="852"/>
      <c r="F167" s="852"/>
      <c r="G167" s="876"/>
      <c r="H167" s="1078"/>
      <c r="I167" s="879"/>
      <c r="J167" s="880"/>
      <c r="K167" s="881"/>
      <c r="L167" s="489"/>
      <c r="M167" s="838">
        <f t="shared" si="4"/>
        <v>0</v>
      </c>
      <c r="N167" s="855">
        <f t="shared" si="4"/>
        <v>0</v>
      </c>
      <c r="O167" s="878">
        <f t="shared" si="1"/>
        <v>0</v>
      </c>
      <c r="P167" s="849">
        <f t="shared" si="5"/>
        <v>0</v>
      </c>
    </row>
    <row r="168" spans="1:16" ht="30" hidden="1" customHeight="1" outlineLevel="1">
      <c r="A168" s="120"/>
      <c r="B168" s="120"/>
      <c r="C168" s="850">
        <v>144</v>
      </c>
      <c r="D168" s="851"/>
      <c r="E168" s="852"/>
      <c r="F168" s="852"/>
      <c r="G168" s="876"/>
      <c r="H168" s="1078"/>
      <c r="I168" s="879"/>
      <c r="J168" s="880"/>
      <c r="K168" s="881"/>
      <c r="L168" s="489"/>
      <c r="M168" s="838">
        <f t="shared" si="4"/>
        <v>0</v>
      </c>
      <c r="N168" s="855">
        <f t="shared" si="4"/>
        <v>0</v>
      </c>
      <c r="O168" s="878">
        <f t="shared" si="1"/>
        <v>0</v>
      </c>
      <c r="P168" s="849">
        <f t="shared" si="5"/>
        <v>0</v>
      </c>
    </row>
    <row r="169" spans="1:16" ht="30" hidden="1" customHeight="1" outlineLevel="1">
      <c r="A169" s="120"/>
      <c r="B169" s="120"/>
      <c r="C169" s="850">
        <v>145</v>
      </c>
      <c r="D169" s="851"/>
      <c r="E169" s="852"/>
      <c r="F169" s="852"/>
      <c r="G169" s="876"/>
      <c r="H169" s="1078"/>
      <c r="I169" s="879"/>
      <c r="J169" s="880"/>
      <c r="K169" s="881"/>
      <c r="L169" s="489"/>
      <c r="M169" s="838">
        <f t="shared" si="4"/>
        <v>0</v>
      </c>
      <c r="N169" s="855">
        <f t="shared" si="4"/>
        <v>0</v>
      </c>
      <c r="O169" s="878">
        <f t="shared" si="1"/>
        <v>0</v>
      </c>
      <c r="P169" s="849">
        <f t="shared" si="5"/>
        <v>0</v>
      </c>
    </row>
    <row r="170" spans="1:16" ht="30" hidden="1" customHeight="1" outlineLevel="1">
      <c r="A170" s="120"/>
      <c r="B170" s="120"/>
      <c r="C170" s="850">
        <v>146</v>
      </c>
      <c r="D170" s="851"/>
      <c r="E170" s="852"/>
      <c r="F170" s="852"/>
      <c r="G170" s="876"/>
      <c r="H170" s="1078"/>
      <c r="I170" s="879"/>
      <c r="J170" s="880"/>
      <c r="K170" s="881"/>
      <c r="L170" s="489"/>
      <c r="M170" s="838">
        <f t="shared" si="4"/>
        <v>0</v>
      </c>
      <c r="N170" s="855">
        <f t="shared" si="4"/>
        <v>0</v>
      </c>
      <c r="O170" s="878">
        <f t="shared" si="1"/>
        <v>0</v>
      </c>
      <c r="P170" s="849">
        <f t="shared" si="5"/>
        <v>0</v>
      </c>
    </row>
    <row r="171" spans="1:16" ht="30" hidden="1" customHeight="1" outlineLevel="1">
      <c r="A171" s="120"/>
      <c r="B171" s="120"/>
      <c r="C171" s="850">
        <v>147</v>
      </c>
      <c r="D171" s="851"/>
      <c r="E171" s="852"/>
      <c r="F171" s="852"/>
      <c r="G171" s="876"/>
      <c r="H171" s="1078"/>
      <c r="I171" s="879"/>
      <c r="J171" s="880"/>
      <c r="K171" s="881"/>
      <c r="L171" s="489"/>
      <c r="M171" s="838">
        <f t="shared" si="4"/>
        <v>0</v>
      </c>
      <c r="N171" s="855">
        <f t="shared" si="4"/>
        <v>0</v>
      </c>
      <c r="O171" s="878">
        <f t="shared" si="1"/>
        <v>0</v>
      </c>
      <c r="P171" s="849">
        <f t="shared" si="5"/>
        <v>0</v>
      </c>
    </row>
    <row r="172" spans="1:16" ht="30" hidden="1" customHeight="1" outlineLevel="1">
      <c r="A172" s="120"/>
      <c r="B172" s="120"/>
      <c r="C172" s="850">
        <v>148</v>
      </c>
      <c r="D172" s="851"/>
      <c r="E172" s="852"/>
      <c r="F172" s="852"/>
      <c r="G172" s="876"/>
      <c r="H172" s="1078"/>
      <c r="I172" s="879"/>
      <c r="J172" s="880"/>
      <c r="K172" s="881"/>
      <c r="L172" s="489"/>
      <c r="M172" s="838">
        <f t="shared" si="4"/>
        <v>0</v>
      </c>
      <c r="N172" s="855">
        <f t="shared" si="4"/>
        <v>0</v>
      </c>
      <c r="O172" s="878">
        <f t="shared" si="1"/>
        <v>0</v>
      </c>
      <c r="P172" s="849">
        <f t="shared" si="5"/>
        <v>0</v>
      </c>
    </row>
    <row r="173" spans="1:16" ht="30" hidden="1" customHeight="1" outlineLevel="1">
      <c r="A173" s="120"/>
      <c r="B173" s="120"/>
      <c r="C173" s="850">
        <v>149</v>
      </c>
      <c r="D173" s="851"/>
      <c r="E173" s="852"/>
      <c r="F173" s="852"/>
      <c r="G173" s="876"/>
      <c r="H173" s="1078"/>
      <c r="I173" s="879"/>
      <c r="J173" s="880"/>
      <c r="K173" s="881"/>
      <c r="L173" s="489"/>
      <c r="M173" s="838">
        <f t="shared" si="4"/>
        <v>0</v>
      </c>
      <c r="N173" s="855">
        <f t="shared" si="4"/>
        <v>0</v>
      </c>
      <c r="O173" s="878">
        <f t="shared" si="1"/>
        <v>0</v>
      </c>
      <c r="P173" s="849">
        <f t="shared" si="5"/>
        <v>0</v>
      </c>
    </row>
    <row r="174" spans="1:16" ht="30" hidden="1" customHeight="1" outlineLevel="1" thickBot="1">
      <c r="A174" s="120"/>
      <c r="B174" s="120"/>
      <c r="C174" s="858">
        <v>150</v>
      </c>
      <c r="D174" s="859"/>
      <c r="E174" s="860"/>
      <c r="F174" s="860"/>
      <c r="G174" s="882"/>
      <c r="H174" s="1079"/>
      <c r="I174" s="883"/>
      <c r="J174" s="884"/>
      <c r="K174" s="824"/>
      <c r="L174" s="489"/>
      <c r="M174" s="838">
        <f t="shared" si="4"/>
        <v>0</v>
      </c>
      <c r="N174" s="855">
        <f t="shared" si="4"/>
        <v>0</v>
      </c>
      <c r="O174" s="878">
        <f t="shared" si="1"/>
        <v>0</v>
      </c>
      <c r="P174" s="849">
        <f t="shared" si="5"/>
        <v>0</v>
      </c>
    </row>
    <row r="175" spans="1:16" ht="14.25" customHeight="1" thickTop="1">
      <c r="A175" s="120"/>
      <c r="B175" s="120"/>
      <c r="C175" s="864" t="s">
        <v>668</v>
      </c>
      <c r="D175" s="865"/>
      <c r="E175" s="865"/>
      <c r="F175" s="865"/>
      <c r="G175" s="865"/>
      <c r="H175" s="865"/>
      <c r="I175" s="865"/>
      <c r="J175" s="610"/>
      <c r="K175" s="885"/>
      <c r="L175" s="885"/>
      <c r="M175" s="866"/>
      <c r="N175" s="866"/>
      <c r="O175" s="866"/>
      <c r="P175" s="866"/>
    </row>
    <row r="176" spans="1:16" ht="14.25" customHeight="1">
      <c r="B176" s="30"/>
    </row>
    <row r="177" spans="2:17" ht="14.25" customHeight="1">
      <c r="C177" s="2"/>
      <c r="K177" s="184"/>
      <c r="L177" s="184"/>
    </row>
    <row r="178" spans="2:17" ht="14.25" customHeight="1">
      <c r="C178" s="2"/>
      <c r="K178" s="184"/>
      <c r="L178" s="184"/>
    </row>
    <row r="179" spans="2:17" ht="14.25" customHeight="1">
      <c r="C179" s="2"/>
      <c r="K179" s="184"/>
      <c r="L179" s="184"/>
    </row>
    <row r="180" spans="2:17" ht="14.25" customHeight="1">
      <c r="C180" s="2"/>
      <c r="K180" s="184"/>
      <c r="L180" s="184"/>
    </row>
    <row r="181" spans="2:17" ht="14.25" customHeight="1">
      <c r="C181" s="2"/>
      <c r="K181" s="184"/>
      <c r="L181" s="184"/>
    </row>
    <row r="182" spans="2:17" ht="14.25" customHeight="1">
      <c r="C182" s="2"/>
      <c r="K182" s="184"/>
      <c r="L182" s="184"/>
    </row>
    <row r="183" spans="2:17" ht="14.25" customHeight="1">
      <c r="C183" s="2"/>
      <c r="K183" s="184"/>
      <c r="L183" s="184"/>
    </row>
    <row r="184" spans="2:17" ht="14.25" customHeight="1">
      <c r="C184" s="108" t="s">
        <v>669</v>
      </c>
      <c r="K184" s="184"/>
      <c r="L184" s="184"/>
      <c r="M184" s="44"/>
      <c r="N184" s="44"/>
      <c r="O184" s="44"/>
      <c r="P184" s="44"/>
    </row>
    <row r="185" spans="2:17" ht="14.25" customHeight="1">
      <c r="B185" s="30"/>
      <c r="C185" s="661"/>
      <c r="D185" s="625" t="s">
        <v>689</v>
      </c>
      <c r="E185" s="30"/>
      <c r="F185" s="30"/>
      <c r="G185" s="30"/>
      <c r="H185" s="30"/>
      <c r="I185" s="30"/>
      <c r="J185" s="627"/>
      <c r="K185" s="195"/>
      <c r="L185" s="195"/>
      <c r="M185" s="874"/>
      <c r="N185" s="874"/>
      <c r="O185" s="874"/>
      <c r="P185" s="874"/>
      <c r="Q185" s="30"/>
    </row>
    <row r="186" spans="2:17" ht="18" customHeight="1" thickBot="1">
      <c r="B186" s="30"/>
      <c r="C186" s="869" t="s">
        <v>690</v>
      </c>
      <c r="D186" s="625"/>
      <c r="E186" s="30"/>
      <c r="F186" s="30"/>
      <c r="G186" s="30"/>
      <c r="H186" s="30"/>
      <c r="I186" s="30"/>
      <c r="J186" s="627"/>
      <c r="K186" s="195"/>
      <c r="L186" s="195"/>
      <c r="M186" s="2074" t="s">
        <v>650</v>
      </c>
      <c r="N186" s="2074"/>
      <c r="O186" s="2074"/>
      <c r="P186" s="2074"/>
      <c r="Q186" s="30"/>
    </row>
    <row r="187" spans="2:17" ht="18" hidden="1" customHeight="1" thickBot="1">
      <c r="B187" s="30"/>
      <c r="C187" s="869"/>
      <c r="D187" s="625"/>
      <c r="E187" s="30"/>
      <c r="F187" s="30"/>
      <c r="G187" s="30"/>
      <c r="H187" s="30"/>
      <c r="I187" s="30"/>
      <c r="J187" s="627"/>
      <c r="K187" s="195"/>
      <c r="L187" s="195"/>
      <c r="M187" s="886"/>
      <c r="N187" s="886"/>
      <c r="O187" s="886"/>
      <c r="P187" s="886"/>
      <c r="Q187" s="30"/>
    </row>
    <row r="188" spans="2:17" ht="21.75" customHeight="1">
      <c r="C188" s="2067" t="s">
        <v>655</v>
      </c>
      <c r="D188" s="1213" t="s">
        <v>673</v>
      </c>
      <c r="E188" s="1935" t="s">
        <v>674</v>
      </c>
      <c r="F188" s="1935" t="s">
        <v>691</v>
      </c>
      <c r="G188" s="1837" t="s">
        <v>692</v>
      </c>
      <c r="H188" s="1500" t="s">
        <v>301</v>
      </c>
      <c r="I188" s="2073"/>
      <c r="K188" s="184"/>
      <c r="L188" s="184"/>
      <c r="M188" s="2062" t="s">
        <v>693</v>
      </c>
      <c r="N188" s="2062" t="s">
        <v>694</v>
      </c>
      <c r="O188" s="2065" t="s">
        <v>695</v>
      </c>
      <c r="P188" s="2065" t="s">
        <v>696</v>
      </c>
    </row>
    <row r="189" spans="2:17" ht="21.75" customHeight="1">
      <c r="C189" s="2068"/>
      <c r="D189" s="1216"/>
      <c r="E189" s="1965"/>
      <c r="F189" s="1965"/>
      <c r="G189" s="1838"/>
      <c r="H189" s="1501"/>
      <c r="I189" s="2073"/>
      <c r="K189" s="184"/>
      <c r="L189" s="184"/>
      <c r="M189" s="2063"/>
      <c r="N189" s="2063"/>
      <c r="O189" s="2066"/>
      <c r="P189" s="2066"/>
    </row>
    <row r="190" spans="2:17" ht="30" customHeight="1" thickBot="1">
      <c r="C190" s="2069"/>
      <c r="D190" s="1216"/>
      <c r="E190" s="2071"/>
      <c r="F190" s="1153"/>
      <c r="G190" s="1236"/>
      <c r="H190" s="2072"/>
      <c r="I190" s="2073"/>
      <c r="L190" s="184"/>
      <c r="M190" s="839">
        <f>SUM(M191:M240)</f>
        <v>0</v>
      </c>
      <c r="N190" s="839">
        <f>SUM(N191:N240)</f>
        <v>0</v>
      </c>
      <c r="O190" s="841">
        <f>SUM(O191:O240)</f>
        <v>0</v>
      </c>
      <c r="P190" s="841">
        <f>SUM(P191:P240)</f>
        <v>0</v>
      </c>
    </row>
    <row r="191" spans="2:17" ht="30" customHeight="1" thickTop="1">
      <c r="C191" s="887">
        <v>1</v>
      </c>
      <c r="D191" s="843"/>
      <c r="E191" s="844"/>
      <c r="F191" s="844"/>
      <c r="G191" s="686"/>
      <c r="H191" s="1077"/>
      <c r="I191" s="888"/>
      <c r="L191" s="489"/>
      <c r="M191" s="837">
        <f t="shared" ref="M191:N240" si="6">IF($H191&gt;0,E191,)</f>
        <v>0</v>
      </c>
      <c r="N191" s="837">
        <f t="shared" si="6"/>
        <v>0</v>
      </c>
      <c r="O191" s="849">
        <f>IF(H191&gt;0,ROUND(G191,),)</f>
        <v>0</v>
      </c>
      <c r="P191" s="849">
        <f t="shared" ref="P191:P240" si="7">ROUND(O191*H191%,)</f>
        <v>0</v>
      </c>
    </row>
    <row r="192" spans="2:17" ht="30" customHeight="1">
      <c r="C192" s="850">
        <v>2</v>
      </c>
      <c r="D192" s="851"/>
      <c r="E192" s="852"/>
      <c r="F192" s="852"/>
      <c r="G192" s="876"/>
      <c r="H192" s="1078"/>
      <c r="I192" s="888"/>
      <c r="L192" s="489"/>
      <c r="M192" s="838">
        <f t="shared" si="6"/>
        <v>0</v>
      </c>
      <c r="N192" s="855">
        <f t="shared" si="6"/>
        <v>0</v>
      </c>
      <c r="O192" s="878">
        <f t="shared" ref="O192:O240" si="8">IF(H192&gt;0,ROUND(G192,),)</f>
        <v>0</v>
      </c>
      <c r="P192" s="849">
        <f t="shared" si="7"/>
        <v>0</v>
      </c>
    </row>
    <row r="193" spans="3:16" ht="30" customHeight="1" collapsed="1" thickBot="1">
      <c r="C193" s="850">
        <v>3</v>
      </c>
      <c r="D193" s="851"/>
      <c r="E193" s="852"/>
      <c r="F193" s="852"/>
      <c r="G193" s="876"/>
      <c r="H193" s="1078"/>
      <c r="I193" s="888"/>
      <c r="L193" s="489"/>
      <c r="M193" s="838">
        <f t="shared" si="6"/>
        <v>0</v>
      </c>
      <c r="N193" s="855">
        <f t="shared" si="6"/>
        <v>0</v>
      </c>
      <c r="O193" s="878">
        <f t="shared" si="8"/>
        <v>0</v>
      </c>
      <c r="P193" s="849">
        <f t="shared" si="7"/>
        <v>0</v>
      </c>
    </row>
    <row r="194" spans="3:16" ht="30" hidden="1" customHeight="1" outlineLevel="1">
      <c r="C194" s="850">
        <v>4</v>
      </c>
      <c r="D194" s="851"/>
      <c r="E194" s="852"/>
      <c r="F194" s="852"/>
      <c r="G194" s="876"/>
      <c r="H194" s="1078"/>
      <c r="I194" s="889"/>
      <c r="L194" s="489"/>
      <c r="M194" s="838">
        <f t="shared" si="6"/>
        <v>0</v>
      </c>
      <c r="N194" s="855">
        <f t="shared" si="6"/>
        <v>0</v>
      </c>
      <c r="O194" s="878">
        <f t="shared" si="8"/>
        <v>0</v>
      </c>
      <c r="P194" s="849">
        <f t="shared" si="7"/>
        <v>0</v>
      </c>
    </row>
    <row r="195" spans="3:16" ht="30" hidden="1" customHeight="1" outlineLevel="1">
      <c r="C195" s="850">
        <v>5</v>
      </c>
      <c r="D195" s="851"/>
      <c r="E195" s="852"/>
      <c r="F195" s="852"/>
      <c r="G195" s="876"/>
      <c r="H195" s="1078"/>
      <c r="I195" s="889"/>
      <c r="L195" s="489"/>
      <c r="M195" s="838">
        <f t="shared" si="6"/>
        <v>0</v>
      </c>
      <c r="N195" s="855">
        <f t="shared" si="6"/>
        <v>0</v>
      </c>
      <c r="O195" s="878">
        <f t="shared" si="8"/>
        <v>0</v>
      </c>
      <c r="P195" s="849">
        <f t="shared" si="7"/>
        <v>0</v>
      </c>
    </row>
    <row r="196" spans="3:16" ht="30" hidden="1" customHeight="1" outlineLevel="1">
      <c r="C196" s="850">
        <v>6</v>
      </c>
      <c r="D196" s="851"/>
      <c r="E196" s="852"/>
      <c r="F196" s="852"/>
      <c r="G196" s="876"/>
      <c r="H196" s="1078"/>
      <c r="I196" s="889"/>
      <c r="L196" s="489"/>
      <c r="M196" s="838">
        <f t="shared" si="6"/>
        <v>0</v>
      </c>
      <c r="N196" s="855">
        <f t="shared" si="6"/>
        <v>0</v>
      </c>
      <c r="O196" s="878">
        <f t="shared" si="8"/>
        <v>0</v>
      </c>
      <c r="P196" s="849">
        <f t="shared" si="7"/>
        <v>0</v>
      </c>
    </row>
    <row r="197" spans="3:16" ht="30" hidden="1" customHeight="1" outlineLevel="1">
      <c r="C197" s="850">
        <v>7</v>
      </c>
      <c r="D197" s="851"/>
      <c r="E197" s="852"/>
      <c r="F197" s="852"/>
      <c r="G197" s="876"/>
      <c r="H197" s="1078"/>
      <c r="I197" s="889"/>
      <c r="L197" s="489"/>
      <c r="M197" s="838">
        <f t="shared" si="6"/>
        <v>0</v>
      </c>
      <c r="N197" s="855">
        <f t="shared" si="6"/>
        <v>0</v>
      </c>
      <c r="O197" s="878">
        <f t="shared" si="8"/>
        <v>0</v>
      </c>
      <c r="P197" s="849">
        <f t="shared" si="7"/>
        <v>0</v>
      </c>
    </row>
    <row r="198" spans="3:16" ht="30" hidden="1" customHeight="1" outlineLevel="1">
      <c r="C198" s="850">
        <v>8</v>
      </c>
      <c r="D198" s="851"/>
      <c r="E198" s="852"/>
      <c r="F198" s="852"/>
      <c r="G198" s="876"/>
      <c r="H198" s="1078"/>
      <c r="I198" s="889"/>
      <c r="L198" s="489"/>
      <c r="M198" s="838">
        <f t="shared" si="6"/>
        <v>0</v>
      </c>
      <c r="N198" s="855">
        <f t="shared" si="6"/>
        <v>0</v>
      </c>
      <c r="O198" s="878">
        <f t="shared" si="8"/>
        <v>0</v>
      </c>
      <c r="P198" s="849">
        <f t="shared" si="7"/>
        <v>0</v>
      </c>
    </row>
    <row r="199" spans="3:16" ht="30" hidden="1" customHeight="1" outlineLevel="1">
      <c r="C199" s="850">
        <v>9</v>
      </c>
      <c r="D199" s="851"/>
      <c r="E199" s="852"/>
      <c r="F199" s="852"/>
      <c r="G199" s="876"/>
      <c r="H199" s="1078"/>
      <c r="I199" s="889"/>
      <c r="L199" s="489"/>
      <c r="M199" s="838">
        <f t="shared" si="6"/>
        <v>0</v>
      </c>
      <c r="N199" s="855">
        <f t="shared" si="6"/>
        <v>0</v>
      </c>
      <c r="O199" s="878">
        <f t="shared" si="8"/>
        <v>0</v>
      </c>
      <c r="P199" s="849">
        <f t="shared" si="7"/>
        <v>0</v>
      </c>
    </row>
    <row r="200" spans="3:16" ht="30" hidden="1" customHeight="1" outlineLevel="1">
      <c r="C200" s="850">
        <v>10</v>
      </c>
      <c r="D200" s="851"/>
      <c r="E200" s="852"/>
      <c r="F200" s="852"/>
      <c r="G200" s="876"/>
      <c r="H200" s="1078"/>
      <c r="I200" s="889"/>
      <c r="L200" s="489"/>
      <c r="M200" s="838">
        <f t="shared" si="6"/>
        <v>0</v>
      </c>
      <c r="N200" s="855">
        <f t="shared" si="6"/>
        <v>0</v>
      </c>
      <c r="O200" s="878">
        <f t="shared" si="8"/>
        <v>0</v>
      </c>
      <c r="P200" s="849">
        <f t="shared" si="7"/>
        <v>0</v>
      </c>
    </row>
    <row r="201" spans="3:16" ht="30" hidden="1" customHeight="1" outlineLevel="1">
      <c r="C201" s="850">
        <v>11</v>
      </c>
      <c r="D201" s="851"/>
      <c r="E201" s="852"/>
      <c r="F201" s="852"/>
      <c r="G201" s="876"/>
      <c r="H201" s="1078"/>
      <c r="I201" s="889"/>
      <c r="L201" s="489"/>
      <c r="M201" s="838">
        <f t="shared" si="6"/>
        <v>0</v>
      </c>
      <c r="N201" s="855">
        <f t="shared" si="6"/>
        <v>0</v>
      </c>
      <c r="O201" s="878">
        <f t="shared" si="8"/>
        <v>0</v>
      </c>
      <c r="P201" s="849">
        <f t="shared" si="7"/>
        <v>0</v>
      </c>
    </row>
    <row r="202" spans="3:16" ht="30" hidden="1" customHeight="1" outlineLevel="1">
      <c r="C202" s="850">
        <v>12</v>
      </c>
      <c r="D202" s="851"/>
      <c r="E202" s="852"/>
      <c r="F202" s="852"/>
      <c r="G202" s="876"/>
      <c r="H202" s="1078"/>
      <c r="I202" s="889"/>
      <c r="L202" s="489"/>
      <c r="M202" s="838">
        <f t="shared" si="6"/>
        <v>0</v>
      </c>
      <c r="N202" s="855">
        <f t="shared" si="6"/>
        <v>0</v>
      </c>
      <c r="O202" s="878">
        <f t="shared" si="8"/>
        <v>0</v>
      </c>
      <c r="P202" s="849">
        <f t="shared" si="7"/>
        <v>0</v>
      </c>
    </row>
    <row r="203" spans="3:16" ht="30" hidden="1" customHeight="1" outlineLevel="1">
      <c r="C203" s="850">
        <v>13</v>
      </c>
      <c r="D203" s="851"/>
      <c r="E203" s="852"/>
      <c r="F203" s="852"/>
      <c r="G203" s="876"/>
      <c r="H203" s="1078"/>
      <c r="I203" s="889"/>
      <c r="L203" s="489"/>
      <c r="M203" s="838">
        <f t="shared" si="6"/>
        <v>0</v>
      </c>
      <c r="N203" s="855">
        <f t="shared" si="6"/>
        <v>0</v>
      </c>
      <c r="O203" s="878">
        <f t="shared" si="8"/>
        <v>0</v>
      </c>
      <c r="P203" s="849">
        <f t="shared" si="7"/>
        <v>0</v>
      </c>
    </row>
    <row r="204" spans="3:16" ht="30" hidden="1" customHeight="1" outlineLevel="1">
      <c r="C204" s="850">
        <v>14</v>
      </c>
      <c r="D204" s="851"/>
      <c r="E204" s="852"/>
      <c r="F204" s="852"/>
      <c r="G204" s="876"/>
      <c r="H204" s="1078"/>
      <c r="I204" s="889"/>
      <c r="L204" s="489"/>
      <c r="M204" s="838">
        <f t="shared" si="6"/>
        <v>0</v>
      </c>
      <c r="N204" s="855">
        <f t="shared" si="6"/>
        <v>0</v>
      </c>
      <c r="O204" s="878">
        <f t="shared" si="8"/>
        <v>0</v>
      </c>
      <c r="P204" s="849">
        <f t="shared" si="7"/>
        <v>0</v>
      </c>
    </row>
    <row r="205" spans="3:16" ht="30" hidden="1" customHeight="1" outlineLevel="1">
      <c r="C205" s="850">
        <v>15</v>
      </c>
      <c r="D205" s="851"/>
      <c r="E205" s="852"/>
      <c r="F205" s="852"/>
      <c r="G205" s="876"/>
      <c r="H205" s="1078"/>
      <c r="I205" s="889"/>
      <c r="L205" s="489"/>
      <c r="M205" s="838">
        <f t="shared" si="6"/>
        <v>0</v>
      </c>
      <c r="N205" s="855">
        <f t="shared" si="6"/>
        <v>0</v>
      </c>
      <c r="O205" s="878">
        <f t="shared" si="8"/>
        <v>0</v>
      </c>
      <c r="P205" s="849">
        <f t="shared" si="7"/>
        <v>0</v>
      </c>
    </row>
    <row r="206" spans="3:16" ht="30" hidden="1" customHeight="1" outlineLevel="1">
      <c r="C206" s="850">
        <v>16</v>
      </c>
      <c r="D206" s="851"/>
      <c r="E206" s="852"/>
      <c r="F206" s="852"/>
      <c r="G206" s="876"/>
      <c r="H206" s="1078"/>
      <c r="I206" s="889"/>
      <c r="L206" s="489"/>
      <c r="M206" s="838">
        <f t="shared" si="6"/>
        <v>0</v>
      </c>
      <c r="N206" s="855">
        <f t="shared" si="6"/>
        <v>0</v>
      </c>
      <c r="O206" s="878">
        <f t="shared" si="8"/>
        <v>0</v>
      </c>
      <c r="P206" s="849">
        <f t="shared" si="7"/>
        <v>0</v>
      </c>
    </row>
    <row r="207" spans="3:16" ht="30" hidden="1" customHeight="1" outlineLevel="1">
      <c r="C207" s="850">
        <v>17</v>
      </c>
      <c r="D207" s="851"/>
      <c r="E207" s="852"/>
      <c r="F207" s="852"/>
      <c r="G207" s="876"/>
      <c r="H207" s="1078"/>
      <c r="I207" s="889"/>
      <c r="L207" s="489"/>
      <c r="M207" s="838">
        <f t="shared" si="6"/>
        <v>0</v>
      </c>
      <c r="N207" s="855">
        <f t="shared" si="6"/>
        <v>0</v>
      </c>
      <c r="O207" s="878">
        <f t="shared" si="8"/>
        <v>0</v>
      </c>
      <c r="P207" s="849">
        <f t="shared" si="7"/>
        <v>0</v>
      </c>
    </row>
    <row r="208" spans="3:16" ht="30" hidden="1" customHeight="1" outlineLevel="1">
      <c r="C208" s="850">
        <v>18</v>
      </c>
      <c r="D208" s="851"/>
      <c r="E208" s="852"/>
      <c r="F208" s="852"/>
      <c r="G208" s="876"/>
      <c r="H208" s="1078"/>
      <c r="I208" s="889"/>
      <c r="L208" s="489"/>
      <c r="M208" s="838">
        <f t="shared" si="6"/>
        <v>0</v>
      </c>
      <c r="N208" s="855">
        <f t="shared" si="6"/>
        <v>0</v>
      </c>
      <c r="O208" s="878">
        <f t="shared" si="8"/>
        <v>0</v>
      </c>
      <c r="P208" s="849">
        <f t="shared" si="7"/>
        <v>0</v>
      </c>
    </row>
    <row r="209" spans="3:16" ht="30" hidden="1" customHeight="1" outlineLevel="1">
      <c r="C209" s="850">
        <v>19</v>
      </c>
      <c r="D209" s="851"/>
      <c r="E209" s="852"/>
      <c r="F209" s="852"/>
      <c r="G209" s="876"/>
      <c r="H209" s="1078"/>
      <c r="I209" s="889"/>
      <c r="L209" s="489"/>
      <c r="M209" s="838">
        <f t="shared" si="6"/>
        <v>0</v>
      </c>
      <c r="N209" s="855">
        <f t="shared" si="6"/>
        <v>0</v>
      </c>
      <c r="O209" s="878">
        <f t="shared" si="8"/>
        <v>0</v>
      </c>
      <c r="P209" s="849">
        <f t="shared" si="7"/>
        <v>0</v>
      </c>
    </row>
    <row r="210" spans="3:16" ht="30" hidden="1" customHeight="1" outlineLevel="1">
      <c r="C210" s="850">
        <v>20</v>
      </c>
      <c r="D210" s="851"/>
      <c r="E210" s="852"/>
      <c r="F210" s="852"/>
      <c r="G210" s="876"/>
      <c r="H210" s="1078"/>
      <c r="I210" s="889"/>
      <c r="L210" s="489"/>
      <c r="M210" s="838">
        <f t="shared" si="6"/>
        <v>0</v>
      </c>
      <c r="N210" s="855">
        <f t="shared" si="6"/>
        <v>0</v>
      </c>
      <c r="O210" s="878">
        <f t="shared" si="8"/>
        <v>0</v>
      </c>
      <c r="P210" s="849">
        <f t="shared" si="7"/>
        <v>0</v>
      </c>
    </row>
    <row r="211" spans="3:16" ht="30" hidden="1" customHeight="1" outlineLevel="1">
      <c r="C211" s="850">
        <v>21</v>
      </c>
      <c r="D211" s="851"/>
      <c r="E211" s="852"/>
      <c r="F211" s="852"/>
      <c r="G211" s="876"/>
      <c r="H211" s="1078"/>
      <c r="I211" s="889"/>
      <c r="L211" s="489"/>
      <c r="M211" s="838">
        <f t="shared" si="6"/>
        <v>0</v>
      </c>
      <c r="N211" s="855">
        <f t="shared" si="6"/>
        <v>0</v>
      </c>
      <c r="O211" s="878">
        <f t="shared" si="8"/>
        <v>0</v>
      </c>
      <c r="P211" s="849">
        <f t="shared" si="7"/>
        <v>0</v>
      </c>
    </row>
    <row r="212" spans="3:16" ht="30" hidden="1" customHeight="1" outlineLevel="1">
      <c r="C212" s="850">
        <v>22</v>
      </c>
      <c r="D212" s="851"/>
      <c r="E212" s="852"/>
      <c r="F212" s="852"/>
      <c r="G212" s="876"/>
      <c r="H212" s="1078"/>
      <c r="I212" s="889"/>
      <c r="L212" s="489"/>
      <c r="M212" s="838">
        <f t="shared" si="6"/>
        <v>0</v>
      </c>
      <c r="N212" s="855">
        <f t="shared" si="6"/>
        <v>0</v>
      </c>
      <c r="O212" s="878">
        <f t="shared" si="8"/>
        <v>0</v>
      </c>
      <c r="P212" s="849">
        <f t="shared" si="7"/>
        <v>0</v>
      </c>
    </row>
    <row r="213" spans="3:16" ht="30" hidden="1" customHeight="1" outlineLevel="1">
      <c r="C213" s="850">
        <v>23</v>
      </c>
      <c r="D213" s="851"/>
      <c r="E213" s="852"/>
      <c r="F213" s="852"/>
      <c r="G213" s="876"/>
      <c r="H213" s="1078"/>
      <c r="I213" s="889"/>
      <c r="L213" s="489"/>
      <c r="M213" s="838">
        <f t="shared" si="6"/>
        <v>0</v>
      </c>
      <c r="N213" s="855">
        <f t="shared" si="6"/>
        <v>0</v>
      </c>
      <c r="O213" s="878">
        <f t="shared" si="8"/>
        <v>0</v>
      </c>
      <c r="P213" s="849">
        <f t="shared" si="7"/>
        <v>0</v>
      </c>
    </row>
    <row r="214" spans="3:16" ht="30" hidden="1" customHeight="1" outlineLevel="1">
      <c r="C214" s="850">
        <v>24</v>
      </c>
      <c r="D214" s="851"/>
      <c r="E214" s="852"/>
      <c r="F214" s="852"/>
      <c r="G214" s="876"/>
      <c r="H214" s="1078"/>
      <c r="I214" s="889"/>
      <c r="L214" s="489"/>
      <c r="M214" s="838">
        <f t="shared" si="6"/>
        <v>0</v>
      </c>
      <c r="N214" s="855">
        <f t="shared" si="6"/>
        <v>0</v>
      </c>
      <c r="O214" s="878">
        <f t="shared" si="8"/>
        <v>0</v>
      </c>
      <c r="P214" s="849">
        <f t="shared" si="7"/>
        <v>0</v>
      </c>
    </row>
    <row r="215" spans="3:16" ht="30" hidden="1" customHeight="1" outlineLevel="1">
      <c r="C215" s="850">
        <v>25</v>
      </c>
      <c r="D215" s="851"/>
      <c r="E215" s="852"/>
      <c r="F215" s="852"/>
      <c r="G215" s="876"/>
      <c r="H215" s="1078"/>
      <c r="I215" s="889"/>
      <c r="L215" s="489"/>
      <c r="M215" s="838">
        <f t="shared" si="6"/>
        <v>0</v>
      </c>
      <c r="N215" s="855">
        <f t="shared" si="6"/>
        <v>0</v>
      </c>
      <c r="O215" s="878">
        <f t="shared" si="8"/>
        <v>0</v>
      </c>
      <c r="P215" s="849">
        <f t="shared" si="7"/>
        <v>0</v>
      </c>
    </row>
    <row r="216" spans="3:16" ht="30" hidden="1" customHeight="1" outlineLevel="1">
      <c r="C216" s="850">
        <v>26</v>
      </c>
      <c r="D216" s="851"/>
      <c r="E216" s="852"/>
      <c r="F216" s="852"/>
      <c r="G216" s="876"/>
      <c r="H216" s="1078"/>
      <c r="I216" s="889"/>
      <c r="L216" s="489"/>
      <c r="M216" s="838">
        <f t="shared" si="6"/>
        <v>0</v>
      </c>
      <c r="N216" s="855">
        <f t="shared" si="6"/>
        <v>0</v>
      </c>
      <c r="O216" s="878">
        <f t="shared" si="8"/>
        <v>0</v>
      </c>
      <c r="P216" s="849">
        <f t="shared" si="7"/>
        <v>0</v>
      </c>
    </row>
    <row r="217" spans="3:16" ht="30" hidden="1" customHeight="1" outlineLevel="1">
      <c r="C217" s="850">
        <v>27</v>
      </c>
      <c r="D217" s="851"/>
      <c r="E217" s="852"/>
      <c r="F217" s="852"/>
      <c r="G217" s="876"/>
      <c r="H217" s="1078"/>
      <c r="I217" s="889"/>
      <c r="L217" s="489"/>
      <c r="M217" s="838">
        <f t="shared" si="6"/>
        <v>0</v>
      </c>
      <c r="N217" s="855">
        <f t="shared" si="6"/>
        <v>0</v>
      </c>
      <c r="O217" s="878">
        <f t="shared" si="8"/>
        <v>0</v>
      </c>
      <c r="P217" s="849">
        <f t="shared" si="7"/>
        <v>0</v>
      </c>
    </row>
    <row r="218" spans="3:16" ht="30" hidden="1" customHeight="1" outlineLevel="1">
      <c r="C218" s="850">
        <v>28</v>
      </c>
      <c r="D218" s="851"/>
      <c r="E218" s="852"/>
      <c r="F218" s="852"/>
      <c r="G218" s="876"/>
      <c r="H218" s="1078"/>
      <c r="I218" s="889"/>
      <c r="L218" s="489"/>
      <c r="M218" s="838">
        <f t="shared" si="6"/>
        <v>0</v>
      </c>
      <c r="N218" s="855">
        <f t="shared" si="6"/>
        <v>0</v>
      </c>
      <c r="O218" s="878">
        <f t="shared" si="8"/>
        <v>0</v>
      </c>
      <c r="P218" s="849">
        <f t="shared" si="7"/>
        <v>0</v>
      </c>
    </row>
    <row r="219" spans="3:16" ht="30" hidden="1" customHeight="1" outlineLevel="1">
      <c r="C219" s="850">
        <v>29</v>
      </c>
      <c r="D219" s="851"/>
      <c r="E219" s="852"/>
      <c r="F219" s="852"/>
      <c r="G219" s="876"/>
      <c r="H219" s="1078"/>
      <c r="I219" s="889"/>
      <c r="L219" s="489"/>
      <c r="M219" s="838">
        <f t="shared" si="6"/>
        <v>0</v>
      </c>
      <c r="N219" s="855">
        <f t="shared" si="6"/>
        <v>0</v>
      </c>
      <c r="O219" s="878">
        <f t="shared" si="8"/>
        <v>0</v>
      </c>
      <c r="P219" s="849">
        <f t="shared" si="7"/>
        <v>0</v>
      </c>
    </row>
    <row r="220" spans="3:16" ht="30" hidden="1" customHeight="1" outlineLevel="1">
      <c r="C220" s="850">
        <v>30</v>
      </c>
      <c r="D220" s="851"/>
      <c r="E220" s="852"/>
      <c r="F220" s="852"/>
      <c r="G220" s="876"/>
      <c r="H220" s="1078"/>
      <c r="I220" s="889"/>
      <c r="L220" s="489"/>
      <c r="M220" s="838">
        <f t="shared" si="6"/>
        <v>0</v>
      </c>
      <c r="N220" s="855">
        <f t="shared" si="6"/>
        <v>0</v>
      </c>
      <c r="O220" s="878">
        <f t="shared" si="8"/>
        <v>0</v>
      </c>
      <c r="P220" s="849">
        <f t="shared" si="7"/>
        <v>0</v>
      </c>
    </row>
    <row r="221" spans="3:16" ht="30" hidden="1" customHeight="1" outlineLevel="1">
      <c r="C221" s="850">
        <v>31</v>
      </c>
      <c r="D221" s="851"/>
      <c r="E221" s="852"/>
      <c r="F221" s="852"/>
      <c r="G221" s="876"/>
      <c r="H221" s="1078"/>
      <c r="I221" s="889"/>
      <c r="L221" s="489"/>
      <c r="M221" s="838">
        <f t="shared" si="6"/>
        <v>0</v>
      </c>
      <c r="N221" s="855">
        <f t="shared" si="6"/>
        <v>0</v>
      </c>
      <c r="O221" s="878">
        <f t="shared" si="8"/>
        <v>0</v>
      </c>
      <c r="P221" s="849">
        <f t="shared" si="7"/>
        <v>0</v>
      </c>
    </row>
    <row r="222" spans="3:16" ht="30" hidden="1" customHeight="1" outlineLevel="1">
      <c r="C222" s="850">
        <v>32</v>
      </c>
      <c r="D222" s="851"/>
      <c r="E222" s="852"/>
      <c r="F222" s="852"/>
      <c r="G222" s="876"/>
      <c r="H222" s="1078"/>
      <c r="I222" s="889"/>
      <c r="L222" s="489"/>
      <c r="M222" s="838">
        <f t="shared" si="6"/>
        <v>0</v>
      </c>
      <c r="N222" s="855">
        <f t="shared" si="6"/>
        <v>0</v>
      </c>
      <c r="O222" s="878">
        <f t="shared" si="8"/>
        <v>0</v>
      </c>
      <c r="P222" s="849">
        <f t="shared" si="7"/>
        <v>0</v>
      </c>
    </row>
    <row r="223" spans="3:16" ht="30" hidden="1" customHeight="1" outlineLevel="1">
      <c r="C223" s="850">
        <v>33</v>
      </c>
      <c r="D223" s="851"/>
      <c r="E223" s="852"/>
      <c r="F223" s="852"/>
      <c r="G223" s="876"/>
      <c r="H223" s="1078"/>
      <c r="I223" s="889"/>
      <c r="L223" s="489"/>
      <c r="M223" s="838">
        <f t="shared" si="6"/>
        <v>0</v>
      </c>
      <c r="N223" s="855">
        <f t="shared" si="6"/>
        <v>0</v>
      </c>
      <c r="O223" s="878">
        <f t="shared" si="8"/>
        <v>0</v>
      </c>
      <c r="P223" s="849">
        <f t="shared" si="7"/>
        <v>0</v>
      </c>
    </row>
    <row r="224" spans="3:16" ht="30" hidden="1" customHeight="1" outlineLevel="1">
      <c r="C224" s="850">
        <v>34</v>
      </c>
      <c r="D224" s="851"/>
      <c r="E224" s="852"/>
      <c r="F224" s="852"/>
      <c r="G224" s="876"/>
      <c r="H224" s="1078"/>
      <c r="I224" s="889"/>
      <c r="L224" s="489"/>
      <c r="M224" s="838">
        <f t="shared" si="6"/>
        <v>0</v>
      </c>
      <c r="N224" s="855">
        <f t="shared" si="6"/>
        <v>0</v>
      </c>
      <c r="O224" s="878">
        <f t="shared" si="8"/>
        <v>0</v>
      </c>
      <c r="P224" s="849">
        <f t="shared" si="7"/>
        <v>0</v>
      </c>
    </row>
    <row r="225" spans="3:16" ht="30" hidden="1" customHeight="1" outlineLevel="1">
      <c r="C225" s="850">
        <v>35</v>
      </c>
      <c r="D225" s="851"/>
      <c r="E225" s="852"/>
      <c r="F225" s="852"/>
      <c r="G225" s="876"/>
      <c r="H225" s="1078"/>
      <c r="I225" s="889"/>
      <c r="L225" s="489"/>
      <c r="M225" s="838">
        <f t="shared" si="6"/>
        <v>0</v>
      </c>
      <c r="N225" s="855">
        <f t="shared" si="6"/>
        <v>0</v>
      </c>
      <c r="O225" s="878">
        <f t="shared" si="8"/>
        <v>0</v>
      </c>
      <c r="P225" s="849">
        <f t="shared" si="7"/>
        <v>0</v>
      </c>
    </row>
    <row r="226" spans="3:16" ht="30" hidden="1" customHeight="1" outlineLevel="1">
      <c r="C226" s="850">
        <v>36</v>
      </c>
      <c r="D226" s="851"/>
      <c r="E226" s="852"/>
      <c r="F226" s="852"/>
      <c r="G226" s="876"/>
      <c r="H226" s="1078"/>
      <c r="I226" s="889"/>
      <c r="L226" s="489"/>
      <c r="M226" s="838">
        <f t="shared" si="6"/>
        <v>0</v>
      </c>
      <c r="N226" s="855">
        <f t="shared" si="6"/>
        <v>0</v>
      </c>
      <c r="O226" s="878">
        <f t="shared" si="8"/>
        <v>0</v>
      </c>
      <c r="P226" s="849">
        <f t="shared" si="7"/>
        <v>0</v>
      </c>
    </row>
    <row r="227" spans="3:16" ht="30" hidden="1" customHeight="1" outlineLevel="1">
      <c r="C227" s="850">
        <v>37</v>
      </c>
      <c r="D227" s="851"/>
      <c r="E227" s="852"/>
      <c r="F227" s="852"/>
      <c r="G227" s="876"/>
      <c r="H227" s="1078"/>
      <c r="I227" s="889"/>
      <c r="L227" s="489"/>
      <c r="M227" s="838">
        <f t="shared" si="6"/>
        <v>0</v>
      </c>
      <c r="N227" s="855">
        <f t="shared" si="6"/>
        <v>0</v>
      </c>
      <c r="O227" s="878">
        <f t="shared" si="8"/>
        <v>0</v>
      </c>
      <c r="P227" s="849">
        <f t="shared" si="7"/>
        <v>0</v>
      </c>
    </row>
    <row r="228" spans="3:16" ht="30" hidden="1" customHeight="1" outlineLevel="1">
      <c r="C228" s="850">
        <v>38</v>
      </c>
      <c r="D228" s="851"/>
      <c r="E228" s="852"/>
      <c r="F228" s="852"/>
      <c r="G228" s="876"/>
      <c r="H228" s="1078"/>
      <c r="I228" s="889"/>
      <c r="L228" s="489"/>
      <c r="M228" s="838">
        <f t="shared" si="6"/>
        <v>0</v>
      </c>
      <c r="N228" s="855">
        <f t="shared" si="6"/>
        <v>0</v>
      </c>
      <c r="O228" s="878">
        <f t="shared" si="8"/>
        <v>0</v>
      </c>
      <c r="P228" s="849">
        <f t="shared" si="7"/>
        <v>0</v>
      </c>
    </row>
    <row r="229" spans="3:16" ht="30" hidden="1" customHeight="1" outlineLevel="1">
      <c r="C229" s="850">
        <v>39</v>
      </c>
      <c r="D229" s="851"/>
      <c r="E229" s="852"/>
      <c r="F229" s="852"/>
      <c r="G229" s="876"/>
      <c r="H229" s="1078"/>
      <c r="I229" s="889"/>
      <c r="L229" s="489"/>
      <c r="M229" s="838">
        <f t="shared" si="6"/>
        <v>0</v>
      </c>
      <c r="N229" s="855">
        <f t="shared" si="6"/>
        <v>0</v>
      </c>
      <c r="O229" s="878">
        <f t="shared" si="8"/>
        <v>0</v>
      </c>
      <c r="P229" s="849">
        <f t="shared" si="7"/>
        <v>0</v>
      </c>
    </row>
    <row r="230" spans="3:16" ht="30" hidden="1" customHeight="1" outlineLevel="1">
      <c r="C230" s="850">
        <v>40</v>
      </c>
      <c r="D230" s="851"/>
      <c r="E230" s="852"/>
      <c r="F230" s="852"/>
      <c r="G230" s="876"/>
      <c r="H230" s="1078"/>
      <c r="I230" s="889"/>
      <c r="L230" s="489"/>
      <c r="M230" s="838">
        <f t="shared" si="6"/>
        <v>0</v>
      </c>
      <c r="N230" s="855">
        <f t="shared" si="6"/>
        <v>0</v>
      </c>
      <c r="O230" s="878">
        <f t="shared" si="8"/>
        <v>0</v>
      </c>
      <c r="P230" s="849">
        <f t="shared" si="7"/>
        <v>0</v>
      </c>
    </row>
    <row r="231" spans="3:16" ht="30" hidden="1" customHeight="1" outlineLevel="1">
      <c r="C231" s="850">
        <v>41</v>
      </c>
      <c r="D231" s="851"/>
      <c r="E231" s="852"/>
      <c r="F231" s="852"/>
      <c r="G231" s="876"/>
      <c r="H231" s="1078"/>
      <c r="I231" s="889"/>
      <c r="L231" s="489"/>
      <c r="M231" s="838">
        <f t="shared" si="6"/>
        <v>0</v>
      </c>
      <c r="N231" s="855">
        <f t="shared" si="6"/>
        <v>0</v>
      </c>
      <c r="O231" s="878">
        <f t="shared" si="8"/>
        <v>0</v>
      </c>
      <c r="P231" s="849">
        <f t="shared" si="7"/>
        <v>0</v>
      </c>
    </row>
    <row r="232" spans="3:16" ht="30" hidden="1" customHeight="1" outlineLevel="1">
      <c r="C232" s="850">
        <v>42</v>
      </c>
      <c r="D232" s="851"/>
      <c r="E232" s="852"/>
      <c r="F232" s="852"/>
      <c r="G232" s="876"/>
      <c r="H232" s="1078"/>
      <c r="I232" s="889"/>
      <c r="L232" s="489"/>
      <c r="M232" s="838">
        <f t="shared" si="6"/>
        <v>0</v>
      </c>
      <c r="N232" s="855">
        <f t="shared" si="6"/>
        <v>0</v>
      </c>
      <c r="O232" s="878">
        <f t="shared" si="8"/>
        <v>0</v>
      </c>
      <c r="P232" s="849">
        <f t="shared" si="7"/>
        <v>0</v>
      </c>
    </row>
    <row r="233" spans="3:16" ht="30" hidden="1" customHeight="1" outlineLevel="1">
      <c r="C233" s="850">
        <v>43</v>
      </c>
      <c r="D233" s="851"/>
      <c r="E233" s="852"/>
      <c r="F233" s="852"/>
      <c r="G233" s="876"/>
      <c r="H233" s="1078"/>
      <c r="I233" s="889"/>
      <c r="L233" s="489"/>
      <c r="M233" s="838">
        <f t="shared" si="6"/>
        <v>0</v>
      </c>
      <c r="N233" s="855">
        <f t="shared" si="6"/>
        <v>0</v>
      </c>
      <c r="O233" s="878">
        <f t="shared" si="8"/>
        <v>0</v>
      </c>
      <c r="P233" s="849">
        <f t="shared" si="7"/>
        <v>0</v>
      </c>
    </row>
    <row r="234" spans="3:16" ht="30" hidden="1" customHeight="1" outlineLevel="1">
      <c r="C234" s="850">
        <v>44</v>
      </c>
      <c r="D234" s="851"/>
      <c r="E234" s="852"/>
      <c r="F234" s="852"/>
      <c r="G234" s="876"/>
      <c r="H234" s="1078"/>
      <c r="I234" s="889"/>
      <c r="L234" s="489"/>
      <c r="M234" s="838">
        <f t="shared" si="6"/>
        <v>0</v>
      </c>
      <c r="N234" s="855">
        <f t="shared" si="6"/>
        <v>0</v>
      </c>
      <c r="O234" s="878">
        <f t="shared" si="8"/>
        <v>0</v>
      </c>
      <c r="P234" s="849">
        <f t="shared" si="7"/>
        <v>0</v>
      </c>
    </row>
    <row r="235" spans="3:16" ht="30" hidden="1" customHeight="1" outlineLevel="1">
      <c r="C235" s="850">
        <v>45</v>
      </c>
      <c r="D235" s="851"/>
      <c r="E235" s="852"/>
      <c r="F235" s="852"/>
      <c r="G235" s="876"/>
      <c r="H235" s="1078"/>
      <c r="I235" s="889"/>
      <c r="L235" s="489"/>
      <c r="M235" s="838">
        <f t="shared" si="6"/>
        <v>0</v>
      </c>
      <c r="N235" s="855">
        <f t="shared" si="6"/>
        <v>0</v>
      </c>
      <c r="O235" s="878">
        <f t="shared" si="8"/>
        <v>0</v>
      </c>
      <c r="P235" s="849">
        <f t="shared" si="7"/>
        <v>0</v>
      </c>
    </row>
    <row r="236" spans="3:16" ht="30" hidden="1" customHeight="1" outlineLevel="1">
      <c r="C236" s="850">
        <v>46</v>
      </c>
      <c r="D236" s="851"/>
      <c r="E236" s="852"/>
      <c r="F236" s="852"/>
      <c r="G236" s="876"/>
      <c r="H236" s="1078"/>
      <c r="I236" s="889"/>
      <c r="L236" s="489"/>
      <c r="M236" s="838">
        <f t="shared" si="6"/>
        <v>0</v>
      </c>
      <c r="N236" s="855">
        <f t="shared" si="6"/>
        <v>0</v>
      </c>
      <c r="O236" s="878">
        <f t="shared" si="8"/>
        <v>0</v>
      </c>
      <c r="P236" s="849">
        <f t="shared" si="7"/>
        <v>0</v>
      </c>
    </row>
    <row r="237" spans="3:16" ht="30" hidden="1" customHeight="1" outlineLevel="1">
      <c r="C237" s="850">
        <v>47</v>
      </c>
      <c r="D237" s="851"/>
      <c r="E237" s="852"/>
      <c r="F237" s="852"/>
      <c r="G237" s="876"/>
      <c r="H237" s="1078"/>
      <c r="I237" s="889"/>
      <c r="L237" s="489"/>
      <c r="M237" s="838">
        <f t="shared" si="6"/>
        <v>0</v>
      </c>
      <c r="N237" s="855">
        <f t="shared" si="6"/>
        <v>0</v>
      </c>
      <c r="O237" s="878">
        <f t="shared" si="8"/>
        <v>0</v>
      </c>
      <c r="P237" s="849">
        <f t="shared" si="7"/>
        <v>0</v>
      </c>
    </row>
    <row r="238" spans="3:16" ht="30" hidden="1" customHeight="1" outlineLevel="1">
      <c r="C238" s="850">
        <v>48</v>
      </c>
      <c r="D238" s="851"/>
      <c r="E238" s="852"/>
      <c r="F238" s="852"/>
      <c r="G238" s="876"/>
      <c r="H238" s="1078"/>
      <c r="I238" s="889"/>
      <c r="L238" s="489"/>
      <c r="M238" s="838">
        <f t="shared" si="6"/>
        <v>0</v>
      </c>
      <c r="N238" s="855">
        <f t="shared" si="6"/>
        <v>0</v>
      </c>
      <c r="O238" s="878">
        <f t="shared" si="8"/>
        <v>0</v>
      </c>
      <c r="P238" s="849">
        <f t="shared" si="7"/>
        <v>0</v>
      </c>
    </row>
    <row r="239" spans="3:16" ht="30" hidden="1" customHeight="1" outlineLevel="1">
      <c r="C239" s="850">
        <v>49</v>
      </c>
      <c r="D239" s="851"/>
      <c r="E239" s="852"/>
      <c r="F239" s="852"/>
      <c r="G239" s="876"/>
      <c r="H239" s="1078"/>
      <c r="I239" s="889"/>
      <c r="L239" s="489"/>
      <c r="M239" s="838">
        <f t="shared" si="6"/>
        <v>0</v>
      </c>
      <c r="N239" s="855">
        <f t="shared" si="6"/>
        <v>0</v>
      </c>
      <c r="O239" s="878">
        <f t="shared" si="8"/>
        <v>0</v>
      </c>
      <c r="P239" s="849">
        <f t="shared" si="7"/>
        <v>0</v>
      </c>
    </row>
    <row r="240" spans="3:16" ht="30" hidden="1" customHeight="1" outlineLevel="1" thickBot="1">
      <c r="C240" s="858">
        <v>50</v>
      </c>
      <c r="D240" s="859"/>
      <c r="E240" s="860"/>
      <c r="F240" s="860"/>
      <c r="G240" s="882"/>
      <c r="H240" s="1080"/>
      <c r="I240" s="889"/>
      <c r="L240" s="489"/>
      <c r="M240" s="838">
        <f t="shared" si="6"/>
        <v>0</v>
      </c>
      <c r="N240" s="855">
        <f t="shared" si="6"/>
        <v>0</v>
      </c>
      <c r="O240" s="878">
        <f t="shared" si="8"/>
        <v>0</v>
      </c>
      <c r="P240" s="849">
        <f t="shared" si="7"/>
        <v>0</v>
      </c>
    </row>
    <row r="241" spans="2:16" ht="14.25" customHeight="1" thickTop="1">
      <c r="B241" s="866"/>
      <c r="C241" s="404"/>
      <c r="D241" s="405"/>
      <c r="E241" s="405"/>
      <c r="F241" s="405"/>
      <c r="G241" s="405"/>
      <c r="H241" s="405"/>
      <c r="J241" s="610"/>
      <c r="K241" s="184"/>
      <c r="L241" s="184"/>
      <c r="M241" s="866"/>
      <c r="N241" s="866"/>
      <c r="O241" s="866"/>
      <c r="P241" s="866"/>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5</xdr:col>
                <xdr:colOff>123825</xdr:colOff>
                <xdr:row>14</xdr:row>
                <xdr:rowOff>161925</xdr:rowOff>
              </from>
              <to>
                <xdr:col>6</xdr:col>
                <xdr:colOff>171450</xdr:colOff>
                <xdr:row>16</xdr:row>
                <xdr:rowOff>142875</xdr:rowOff>
              </to>
            </anchor>
          </controlPr>
        </control>
      </mc:Choice>
      <mc:Fallback>
        <control shapeId="19457" r:id="rId5" name="btnKoushin1"/>
      </mc:Fallback>
    </mc:AlternateContent>
    <mc:AlternateContent xmlns:mc="http://schemas.openxmlformats.org/markup-compatibility/2006">
      <mc:Choice Requires="x14">
        <control shapeId="19458" r:id="rId7" name="Label1">
          <controlPr defaultSize="0" print="0" autoLine="0" r:id="rId8">
            <anchor moveWithCells="1">
              <from>
                <xdr:col>4</xdr:col>
                <xdr:colOff>9525</xdr:colOff>
                <xdr:row>14</xdr:row>
                <xdr:rowOff>161925</xdr:rowOff>
              </from>
              <to>
                <xdr:col>5</xdr:col>
                <xdr:colOff>9525</xdr:colOff>
                <xdr:row>15</xdr:row>
                <xdr:rowOff>152400</xdr:rowOff>
              </to>
            </anchor>
          </controlPr>
        </control>
      </mc:Choice>
      <mc:Fallback>
        <control shapeId="19458" r:id="rId7" name="Label1"/>
      </mc:Fallback>
    </mc:AlternateContent>
    <mc:AlternateContent xmlns:mc="http://schemas.openxmlformats.org/markup-compatibility/2006">
      <mc:Choice Requires="x14">
        <control shapeId="19459" r:id="rId9" name="txt_hyouji1">
          <controlPr locked="0" defaultSize="0" print="0" autoLine="0" r:id="rId10">
            <anchor moveWithCells="1">
              <from>
                <xdr:col>4</xdr:col>
                <xdr:colOff>9525</xdr:colOff>
                <xdr:row>15</xdr:row>
                <xdr:rowOff>152400</xdr:rowOff>
              </from>
              <to>
                <xdr:col>5</xdr:col>
                <xdr:colOff>9525</xdr:colOff>
                <xdr:row>16</xdr:row>
                <xdr:rowOff>142875</xdr:rowOff>
              </to>
            </anchor>
          </controlPr>
        </control>
      </mc:Choice>
      <mc:Fallback>
        <control shapeId="19459" r:id="rId9" name="txt_hyouji1"/>
      </mc:Fallback>
    </mc:AlternateContent>
    <mc:AlternateContent xmlns:mc="http://schemas.openxmlformats.org/markup-compatibility/2006">
      <mc:Choice Requires="x14">
        <control shapeId="19460" r:id="rId11" name="btnKoushin2">
          <controlPr defaultSize="0" print="0" autoLine="0" r:id="rId12">
            <anchor moveWithCells="1">
              <from>
                <xdr:col>5</xdr:col>
                <xdr:colOff>114300</xdr:colOff>
                <xdr:row>182</xdr:row>
                <xdr:rowOff>0</xdr:rowOff>
              </from>
              <to>
                <xdr:col>6</xdr:col>
                <xdr:colOff>161925</xdr:colOff>
                <xdr:row>183</xdr:row>
                <xdr:rowOff>161925</xdr:rowOff>
              </to>
            </anchor>
          </controlPr>
        </control>
      </mc:Choice>
      <mc:Fallback>
        <control shapeId="19460" r:id="rId11" name="btnKoushin2"/>
      </mc:Fallback>
    </mc:AlternateContent>
    <mc:AlternateContent xmlns:mc="http://schemas.openxmlformats.org/markup-compatibility/2006">
      <mc:Choice Requires="x14">
        <control shapeId="19461" r:id="rId13" name="Label2">
          <controlPr defaultSize="0" print="0" autoLine="0" r:id="rId14">
            <anchor moveWithCells="1">
              <from>
                <xdr:col>4</xdr:col>
                <xdr:colOff>0</xdr:colOff>
                <xdr:row>182</xdr:row>
                <xdr:rowOff>0</xdr:rowOff>
              </from>
              <to>
                <xdr:col>5</xdr:col>
                <xdr:colOff>0</xdr:colOff>
                <xdr:row>182</xdr:row>
                <xdr:rowOff>171450</xdr:rowOff>
              </to>
            </anchor>
          </controlPr>
        </control>
      </mc:Choice>
      <mc:Fallback>
        <control shapeId="19461" r:id="rId13" name="Label2"/>
      </mc:Fallback>
    </mc:AlternateContent>
    <mc:AlternateContent xmlns:mc="http://schemas.openxmlformats.org/markup-compatibility/2006">
      <mc:Choice Requires="x14">
        <control shapeId="19462" r:id="rId15" name="txt_hyouji2">
          <controlPr locked="0" defaultSize="0" print="0" autoLine="0" r:id="rId16">
            <anchor moveWithCells="1">
              <from>
                <xdr:col>4</xdr:col>
                <xdr:colOff>0</xdr:colOff>
                <xdr:row>182</xdr:row>
                <xdr:rowOff>161925</xdr:rowOff>
              </from>
              <to>
                <xdr:col>5</xdr:col>
                <xdr:colOff>0</xdr:colOff>
                <xdr:row>183</xdr:row>
                <xdr:rowOff>152400</xdr:rowOff>
              </to>
            </anchor>
          </controlPr>
        </control>
      </mc:Choice>
      <mc:Fallback>
        <control shapeId="19462"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customWidth="1"/>
    <col min="30" max="30" width="14.25" style="2" customWidth="1"/>
    <col min="31" max="31" width="11.375" style="2" customWidth="1"/>
    <col min="32" max="32" width="14.25" style="2" customWidth="1"/>
    <col min="33" max="33" width="11.375" style="2" customWidth="1"/>
    <col min="34" max="34" width="14.25" style="2" customWidth="1"/>
    <col min="35" max="35" width="11.375" style="2" customWidth="1"/>
    <col min="36" max="36" width="14.25" style="2" customWidth="1"/>
    <col min="37" max="37" width="11.375" style="2"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0</v>
      </c>
    </row>
    <row r="2" spans="1:59" s="30" customFormat="1" ht="18" customHeight="1">
      <c r="A2" s="152" t="s">
        <v>697</v>
      </c>
      <c r="B2" s="109"/>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U2" s="107" t="s">
        <v>697</v>
      </c>
      <c r="AV2" s="2"/>
      <c r="AW2" s="20"/>
      <c r="AX2" s="20"/>
      <c r="AY2" s="2"/>
      <c r="AZ2" s="2"/>
      <c r="BA2" s="2"/>
      <c r="BB2" s="2"/>
      <c r="BC2" s="2"/>
      <c r="BD2" s="2"/>
      <c r="BE2" s="2"/>
      <c r="BF2" s="2"/>
      <c r="BG2" s="2"/>
    </row>
    <row r="3" spans="1:59" s="30" customFormat="1" ht="14.25" customHeight="1">
      <c r="A3" s="152"/>
      <c r="C3" s="58" t="s">
        <v>698</v>
      </c>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U3" s="2"/>
      <c r="AV3" s="2"/>
      <c r="AW3" s="20"/>
      <c r="AX3" s="20"/>
      <c r="AY3" s="2"/>
      <c r="AZ3" s="2"/>
      <c r="BA3" s="2"/>
      <c r="BB3" s="2"/>
      <c r="BC3" s="2"/>
      <c r="BD3" s="2"/>
      <c r="BE3" s="2"/>
      <c r="BF3" s="2"/>
      <c r="BG3" s="2"/>
    </row>
    <row r="4" spans="1:59" s="30" customFormat="1" ht="14.25" customHeight="1">
      <c r="A4" s="152"/>
      <c r="C4" s="58" t="s">
        <v>699</v>
      </c>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U4" s="46"/>
      <c r="AV4" s="46"/>
      <c r="AW4" s="62"/>
      <c r="AX4" s="46"/>
      <c r="AY4" s="46"/>
      <c r="AZ4" s="46"/>
      <c r="BA4" s="46"/>
      <c r="BB4" s="46"/>
      <c r="BC4" s="46"/>
      <c r="BD4" s="46"/>
      <c r="BE4" s="46"/>
      <c r="BF4" s="46"/>
      <c r="BG4" s="46"/>
    </row>
    <row r="5" spans="1:59" s="30" customFormat="1" ht="14.25" customHeight="1">
      <c r="A5" s="152"/>
      <c r="C5" s="58" t="s">
        <v>700</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8" t="s">
        <v>701</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U7" s="108"/>
      <c r="AW7" s="20"/>
      <c r="AX7" s="20"/>
    </row>
    <row r="8" spans="1:59" s="51" customFormat="1" ht="14.25" customHeight="1">
      <c r="C8" s="51" t="s">
        <v>702</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703</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3" t="s">
        <v>704</v>
      </c>
      <c r="AV9" s="213"/>
      <c r="AW9" s="890"/>
      <c r="AX9" s="890"/>
      <c r="AY9" s="213"/>
      <c r="AZ9" s="213"/>
      <c r="BA9" s="2"/>
      <c r="BB9" s="39"/>
      <c r="BC9" s="39"/>
      <c r="BD9" s="39"/>
      <c r="BE9" s="39"/>
      <c r="BF9" s="39"/>
      <c r="BG9" s="2"/>
    </row>
    <row r="10" spans="1:59" s="51" customFormat="1" ht="14.25" customHeight="1" thickBot="1">
      <c r="C10" s="58" t="s">
        <v>541</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91"/>
      <c r="AM10" s="58"/>
      <c r="AN10" s="58"/>
      <c r="AO10" s="58"/>
      <c r="AP10" s="58"/>
      <c r="AQ10" s="58"/>
      <c r="AR10" s="891" t="s">
        <v>705</v>
      </c>
      <c r="AU10" s="2"/>
      <c r="AV10" s="2"/>
      <c r="AW10" s="2"/>
      <c r="AX10" s="2"/>
      <c r="AY10" s="2"/>
      <c r="AZ10" s="2"/>
      <c r="BA10" s="2"/>
      <c r="BB10" s="39"/>
      <c r="BC10" s="39"/>
      <c r="BD10" s="39"/>
      <c r="BE10" s="39"/>
      <c r="BF10" s="39"/>
      <c r="BG10" s="2"/>
    </row>
    <row r="11" spans="1:59" ht="14.1" customHeight="1">
      <c r="C11" s="813"/>
      <c r="D11" s="2077" t="s">
        <v>706</v>
      </c>
      <c r="E11" s="2077"/>
      <c r="F11" s="2077"/>
      <c r="G11" s="2077"/>
      <c r="H11" s="2077"/>
      <c r="I11" s="2077"/>
      <c r="J11" s="892"/>
      <c r="K11" s="172"/>
      <c r="L11" s="1213" t="s">
        <v>210</v>
      </c>
      <c r="M11" s="1213"/>
      <c r="N11" s="1213"/>
      <c r="O11" s="1213"/>
      <c r="P11" s="1213"/>
      <c r="Q11" s="1213"/>
      <c r="R11" s="1213"/>
      <c r="S11" s="1213"/>
      <c r="T11" s="1213"/>
      <c r="U11" s="1213"/>
      <c r="V11" s="1213"/>
      <c r="W11" s="1213"/>
      <c r="X11" s="1213"/>
      <c r="Y11" s="1213"/>
      <c r="Z11" s="1213"/>
      <c r="AA11" s="815"/>
      <c r="AB11" s="1213" t="s">
        <v>707</v>
      </c>
      <c r="AC11" s="1213"/>
      <c r="AD11" s="1213"/>
      <c r="AE11" s="1213"/>
      <c r="AF11" s="1213"/>
      <c r="AG11" s="1213"/>
      <c r="AH11" s="1213"/>
      <c r="AI11" s="1213"/>
      <c r="AJ11" s="2081" t="s">
        <v>708</v>
      </c>
      <c r="AK11" s="1213"/>
      <c r="AL11" s="813"/>
      <c r="AM11" s="2077" t="s">
        <v>706</v>
      </c>
      <c r="AN11" s="2077"/>
      <c r="AO11" s="2077"/>
      <c r="AP11" s="2077"/>
      <c r="AQ11" s="2077"/>
      <c r="AR11" s="2077"/>
      <c r="AS11" s="893"/>
      <c r="AW11" s="2"/>
      <c r="AX11" s="2"/>
      <c r="BB11" s="39"/>
      <c r="BC11" s="39"/>
      <c r="BD11" s="39"/>
      <c r="BE11" s="39"/>
      <c r="BF11" s="39"/>
    </row>
    <row r="12" spans="1:59" ht="14.1" customHeight="1">
      <c r="C12" s="894"/>
      <c r="D12" s="2078"/>
      <c r="E12" s="2078"/>
      <c r="F12" s="2078"/>
      <c r="G12" s="2078"/>
      <c r="H12" s="2078"/>
      <c r="I12" s="2078"/>
      <c r="J12" s="895"/>
      <c r="K12" s="146"/>
      <c r="L12" s="1216"/>
      <c r="M12" s="1216"/>
      <c r="N12" s="1216"/>
      <c r="O12" s="1216"/>
      <c r="P12" s="1216"/>
      <c r="Q12" s="1216"/>
      <c r="R12" s="1216"/>
      <c r="S12" s="1216"/>
      <c r="T12" s="1216"/>
      <c r="U12" s="1216"/>
      <c r="V12" s="1216"/>
      <c r="W12" s="1216"/>
      <c r="X12" s="1216"/>
      <c r="Y12" s="1216"/>
      <c r="Z12" s="1216"/>
      <c r="AA12" s="560"/>
      <c r="AB12" s="2080"/>
      <c r="AC12" s="2080"/>
      <c r="AD12" s="2080"/>
      <c r="AE12" s="2080"/>
      <c r="AF12" s="2080"/>
      <c r="AG12" s="2080"/>
      <c r="AH12" s="2080"/>
      <c r="AI12" s="2080"/>
      <c r="AJ12" s="2082"/>
      <c r="AK12" s="1216"/>
      <c r="AL12" s="894"/>
      <c r="AM12" s="2078"/>
      <c r="AN12" s="2078"/>
      <c r="AO12" s="2078"/>
      <c r="AP12" s="2078"/>
      <c r="AQ12" s="2078"/>
      <c r="AR12" s="2078"/>
      <c r="AS12" s="896"/>
      <c r="AW12" s="2"/>
      <c r="AX12" s="891" t="s">
        <v>705</v>
      </c>
      <c r="BB12" s="39"/>
      <c r="BC12" s="39"/>
      <c r="BD12" s="39"/>
      <c r="BE12" s="39"/>
      <c r="BG12" s="891"/>
    </row>
    <row r="13" spans="1:59" ht="14.1" customHeight="1">
      <c r="C13" s="894"/>
      <c r="D13" s="2078"/>
      <c r="E13" s="2078"/>
      <c r="F13" s="2078"/>
      <c r="G13" s="2078"/>
      <c r="H13" s="2078"/>
      <c r="I13" s="2078"/>
      <c r="J13" s="895"/>
      <c r="K13" s="146"/>
      <c r="L13" s="1216"/>
      <c r="M13" s="1216"/>
      <c r="N13" s="1216"/>
      <c r="O13" s="1216"/>
      <c r="P13" s="1216"/>
      <c r="Q13" s="1216"/>
      <c r="R13" s="1216"/>
      <c r="S13" s="1216"/>
      <c r="T13" s="1216"/>
      <c r="U13" s="1216"/>
      <c r="V13" s="1216"/>
      <c r="W13" s="1216"/>
      <c r="X13" s="1216"/>
      <c r="Y13" s="1216"/>
      <c r="Z13" s="1216"/>
      <c r="AA13" s="560"/>
      <c r="AB13" s="1370" t="s">
        <v>709</v>
      </c>
      <c r="AC13" s="1370"/>
      <c r="AD13" s="1369" t="s">
        <v>710</v>
      </c>
      <c r="AE13" s="2083"/>
      <c r="AF13" s="1369" t="s">
        <v>711</v>
      </c>
      <c r="AG13" s="2083"/>
      <c r="AH13" s="1369" t="s">
        <v>712</v>
      </c>
      <c r="AI13" s="1370"/>
      <c r="AJ13" s="2085" t="s">
        <v>713</v>
      </c>
      <c r="AK13" s="1370"/>
      <c r="AL13" s="894"/>
      <c r="AM13" s="2078"/>
      <c r="AN13" s="2078"/>
      <c r="AO13" s="2078"/>
      <c r="AP13" s="2078"/>
      <c r="AQ13" s="2078"/>
      <c r="AR13" s="2078"/>
      <c r="AS13" s="896"/>
      <c r="AU13" s="2097"/>
      <c r="AV13" s="2097"/>
      <c r="AW13" s="2098" t="s">
        <v>714</v>
      </c>
      <c r="AX13" s="2098" t="s">
        <v>715</v>
      </c>
      <c r="AZ13" s="2100"/>
      <c r="BA13" s="2100"/>
      <c r="BB13" s="2101"/>
      <c r="BC13" s="2101"/>
      <c r="BD13" s="2101"/>
      <c r="BE13" s="2101"/>
      <c r="BF13" s="2101"/>
      <c r="BG13" s="2076"/>
    </row>
    <row r="14" spans="1:59" ht="14.1" customHeight="1">
      <c r="C14" s="894"/>
      <c r="D14" s="2078"/>
      <c r="E14" s="2078"/>
      <c r="F14" s="2078"/>
      <c r="G14" s="2078"/>
      <c r="H14" s="2078"/>
      <c r="I14" s="2078"/>
      <c r="J14" s="895"/>
      <c r="K14" s="146"/>
      <c r="L14" s="1216"/>
      <c r="M14" s="1216"/>
      <c r="N14" s="1216"/>
      <c r="O14" s="1216"/>
      <c r="P14" s="1216"/>
      <c r="Q14" s="1216"/>
      <c r="R14" s="1216"/>
      <c r="S14" s="1216"/>
      <c r="T14" s="1216"/>
      <c r="U14" s="1216"/>
      <c r="V14" s="1216"/>
      <c r="W14" s="1216"/>
      <c r="X14" s="1216"/>
      <c r="Y14" s="1216"/>
      <c r="Z14" s="1216"/>
      <c r="AA14" s="560"/>
      <c r="AB14" s="1216"/>
      <c r="AC14" s="1216"/>
      <c r="AD14" s="1282"/>
      <c r="AE14" s="2084"/>
      <c r="AF14" s="1464"/>
      <c r="AG14" s="1217"/>
      <c r="AH14" s="1282"/>
      <c r="AI14" s="2080"/>
      <c r="AJ14" s="2086"/>
      <c r="AK14" s="2080"/>
      <c r="AL14" s="894"/>
      <c r="AM14" s="2078"/>
      <c r="AN14" s="2078"/>
      <c r="AO14" s="2078"/>
      <c r="AP14" s="2078"/>
      <c r="AQ14" s="2078"/>
      <c r="AR14" s="2078"/>
      <c r="AS14" s="896"/>
      <c r="AU14" s="2097"/>
      <c r="AV14" s="2097"/>
      <c r="AW14" s="2099"/>
      <c r="AX14" s="2099"/>
      <c r="AZ14" s="2100"/>
      <c r="BA14" s="2100"/>
      <c r="BB14" s="2101"/>
      <c r="BC14" s="2101"/>
      <c r="BD14" s="2101"/>
      <c r="BE14" s="2101"/>
      <c r="BF14" s="2101"/>
      <c r="BG14" s="2076"/>
    </row>
    <row r="15" spans="1:59" ht="18" customHeight="1">
      <c r="C15" s="894"/>
      <c r="D15" s="2078"/>
      <c r="E15" s="2078"/>
      <c r="F15" s="2078"/>
      <c r="G15" s="2078"/>
      <c r="H15" s="2078"/>
      <c r="I15" s="2078"/>
      <c r="J15" s="895"/>
      <c r="K15" s="146"/>
      <c r="L15" s="1216"/>
      <c r="M15" s="1216"/>
      <c r="N15" s="1216"/>
      <c r="O15" s="1216"/>
      <c r="P15" s="1216"/>
      <c r="Q15" s="1216"/>
      <c r="R15" s="1216"/>
      <c r="S15" s="1216"/>
      <c r="T15" s="1216"/>
      <c r="U15" s="1216"/>
      <c r="V15" s="1216"/>
      <c r="W15" s="1216"/>
      <c r="X15" s="1216"/>
      <c r="Y15" s="1216"/>
      <c r="Z15" s="1216"/>
      <c r="AA15" s="560"/>
      <c r="AB15" s="2095" t="s">
        <v>716</v>
      </c>
      <c r="AC15" s="2089" t="s">
        <v>717</v>
      </c>
      <c r="AD15" s="2089" t="s">
        <v>716</v>
      </c>
      <c r="AE15" s="2087" t="s">
        <v>717</v>
      </c>
      <c r="AF15" s="2089" t="s">
        <v>716</v>
      </c>
      <c r="AG15" s="2087" t="s">
        <v>717</v>
      </c>
      <c r="AH15" s="2087" t="s">
        <v>716</v>
      </c>
      <c r="AI15" s="2089" t="s">
        <v>717</v>
      </c>
      <c r="AJ15" s="2091" t="s">
        <v>716</v>
      </c>
      <c r="AK15" s="2093" t="s">
        <v>717</v>
      </c>
      <c r="AL15" s="894"/>
      <c r="AM15" s="2078"/>
      <c r="AN15" s="2078"/>
      <c r="AO15" s="2078"/>
      <c r="AP15" s="2078"/>
      <c r="AQ15" s="2078"/>
      <c r="AR15" s="2078"/>
      <c r="AS15" s="896"/>
      <c r="AU15" s="2097"/>
      <c r="AV15" s="2097"/>
      <c r="AW15" s="2099"/>
      <c r="AX15" s="2099"/>
      <c r="AZ15" s="2100"/>
      <c r="BA15" s="2100"/>
      <c r="BB15" s="1466"/>
      <c r="BC15" s="1466"/>
      <c r="BD15" s="1466"/>
      <c r="BE15" s="1466"/>
      <c r="BF15" s="1466"/>
      <c r="BG15" s="2076"/>
    </row>
    <row r="16" spans="1:59" ht="18" customHeight="1" thickBot="1">
      <c r="C16" s="897"/>
      <c r="D16" s="2079"/>
      <c r="E16" s="2079"/>
      <c r="F16" s="2079"/>
      <c r="G16" s="2079"/>
      <c r="H16" s="2079"/>
      <c r="I16" s="2079"/>
      <c r="J16" s="898"/>
      <c r="K16" s="168"/>
      <c r="L16" s="1219"/>
      <c r="M16" s="1219"/>
      <c r="N16" s="1219"/>
      <c r="O16" s="1219"/>
      <c r="P16" s="1219"/>
      <c r="Q16" s="1219"/>
      <c r="R16" s="1219"/>
      <c r="S16" s="1219"/>
      <c r="T16" s="1219"/>
      <c r="U16" s="1219"/>
      <c r="V16" s="1219"/>
      <c r="W16" s="1219"/>
      <c r="X16" s="1219"/>
      <c r="Y16" s="1219"/>
      <c r="Z16" s="1219"/>
      <c r="AA16" s="822"/>
      <c r="AB16" s="2096"/>
      <c r="AC16" s="2090"/>
      <c r="AD16" s="2090"/>
      <c r="AE16" s="2088"/>
      <c r="AF16" s="2090"/>
      <c r="AG16" s="2088"/>
      <c r="AH16" s="2088"/>
      <c r="AI16" s="2090"/>
      <c r="AJ16" s="2092"/>
      <c r="AK16" s="2094"/>
      <c r="AL16" s="897"/>
      <c r="AM16" s="2079"/>
      <c r="AN16" s="2079"/>
      <c r="AO16" s="2079"/>
      <c r="AP16" s="2079"/>
      <c r="AQ16" s="2079"/>
      <c r="AR16" s="2079"/>
      <c r="AS16" s="899"/>
      <c r="AU16" s="2097"/>
      <c r="AV16" s="2097"/>
      <c r="AW16" s="2099"/>
      <c r="AX16" s="2099"/>
      <c r="AZ16" s="2100"/>
      <c r="BA16" s="2100"/>
      <c r="BB16" s="1466"/>
      <c r="BC16" s="1466"/>
      <c r="BD16" s="1466"/>
      <c r="BE16" s="1466"/>
      <c r="BF16" s="1466"/>
      <c r="BG16" s="2076"/>
    </row>
    <row r="17" spans="3:59" ht="33" hidden="1" customHeight="1" thickTop="1">
      <c r="C17" s="894"/>
      <c r="D17" s="1096" t="s">
        <v>718</v>
      </c>
      <c r="E17" s="1096"/>
      <c r="F17" s="1096"/>
      <c r="G17" s="1096"/>
      <c r="H17" s="1096"/>
      <c r="I17" s="1096"/>
      <c r="J17" s="895"/>
      <c r="K17" s="2103" t="s">
        <v>719</v>
      </c>
      <c r="L17" s="2103"/>
      <c r="M17" s="2103"/>
      <c r="N17" s="2103"/>
      <c r="O17" s="2103"/>
      <c r="P17" s="2103"/>
      <c r="Q17" s="2103"/>
      <c r="R17" s="2103"/>
      <c r="S17" s="2103"/>
      <c r="T17" s="2103"/>
      <c r="U17" s="2103"/>
      <c r="V17" s="2103"/>
      <c r="W17" s="2103"/>
      <c r="X17" s="2103"/>
      <c r="Y17" s="2103"/>
      <c r="Z17" s="2103"/>
      <c r="AA17" s="2104"/>
      <c r="AB17" s="900"/>
      <c r="AC17" s="901"/>
      <c r="AD17" s="901"/>
      <c r="AE17" s="901"/>
      <c r="AF17" s="901"/>
      <c r="AG17" s="901"/>
      <c r="AH17" s="902"/>
      <c r="AI17" s="903"/>
      <c r="AJ17" s="904"/>
      <c r="AK17" s="905"/>
      <c r="AL17" s="906"/>
      <c r="AM17" s="1096" t="s">
        <v>718</v>
      </c>
      <c r="AN17" s="1096"/>
      <c r="AO17" s="1096"/>
      <c r="AP17" s="1096"/>
      <c r="AQ17" s="1096"/>
      <c r="AR17" s="1096"/>
      <c r="AS17" s="896"/>
      <c r="AU17" s="2105" t="s">
        <v>720</v>
      </c>
      <c r="AV17" s="907" t="s">
        <v>721</v>
      </c>
      <c r="AW17" s="408">
        <f>SUM(AB17,AD17,AF17,AH17)</f>
        <v>0</v>
      </c>
      <c r="AX17" s="408">
        <f>AJ17</f>
        <v>0</v>
      </c>
      <c r="AZ17" s="2102"/>
      <c r="BA17" s="244"/>
      <c r="BB17" s="908"/>
      <c r="BC17" s="908"/>
      <c r="BD17" s="908"/>
      <c r="BE17" s="908"/>
      <c r="BF17" s="908"/>
      <c r="BG17" s="908"/>
    </row>
    <row r="18" spans="3:59" ht="33" customHeight="1">
      <c r="C18" s="909"/>
      <c r="D18" s="1479" t="s">
        <v>722</v>
      </c>
      <c r="E18" s="1479"/>
      <c r="F18" s="1479"/>
      <c r="G18" s="1479"/>
      <c r="H18" s="1479"/>
      <c r="I18" s="1479"/>
      <c r="J18" s="910"/>
      <c r="K18" s="1246" t="s">
        <v>723</v>
      </c>
      <c r="L18" s="1246"/>
      <c r="M18" s="1246"/>
      <c r="N18" s="1246"/>
      <c r="O18" s="1246"/>
      <c r="P18" s="1246"/>
      <c r="Q18" s="1246"/>
      <c r="R18" s="1246"/>
      <c r="S18" s="1246"/>
      <c r="T18" s="1246"/>
      <c r="U18" s="1246"/>
      <c r="V18" s="1246"/>
      <c r="W18" s="1246"/>
      <c r="X18" s="1246"/>
      <c r="Y18" s="1246"/>
      <c r="Z18" s="1246"/>
      <c r="AA18" s="1247"/>
      <c r="AB18" s="1041"/>
      <c r="AC18" s="911"/>
      <c r="AD18" s="1046"/>
      <c r="AE18" s="911"/>
      <c r="AF18" s="1046"/>
      <c r="AG18" s="911"/>
      <c r="AH18" s="1046"/>
      <c r="AI18" s="912"/>
      <c r="AJ18" s="1049"/>
      <c r="AK18" s="913"/>
      <c r="AL18" s="914"/>
      <c r="AM18" s="1479" t="s">
        <v>722</v>
      </c>
      <c r="AN18" s="1479"/>
      <c r="AO18" s="1479"/>
      <c r="AP18" s="1479"/>
      <c r="AQ18" s="1479"/>
      <c r="AR18" s="1479"/>
      <c r="AS18" s="915"/>
      <c r="AU18" s="2105"/>
      <c r="AV18" s="907" t="s">
        <v>724</v>
      </c>
      <c r="AW18" s="1044">
        <f t="shared" ref="AW18:AW33" si="0">SUM(AB18,AD18,AF18,AH18)</f>
        <v>0</v>
      </c>
      <c r="AX18" s="1044">
        <f t="shared" ref="AX18:AX31" si="1">AJ18</f>
        <v>0</v>
      </c>
      <c r="AZ18" s="2102"/>
      <c r="BA18" s="244"/>
      <c r="BB18" s="908"/>
      <c r="BC18" s="908"/>
      <c r="BD18" s="908"/>
      <c r="BE18" s="908"/>
      <c r="BF18" s="908"/>
      <c r="BG18" s="908"/>
    </row>
    <row r="19" spans="3:59" ht="33" customHeight="1">
      <c r="C19" s="909"/>
      <c r="D19" s="1479" t="s">
        <v>725</v>
      </c>
      <c r="E19" s="1479"/>
      <c r="F19" s="1479"/>
      <c r="G19" s="1479"/>
      <c r="H19" s="1479"/>
      <c r="I19" s="1479"/>
      <c r="J19" s="910"/>
      <c r="K19" s="1246" t="s">
        <v>726</v>
      </c>
      <c r="L19" s="1246"/>
      <c r="M19" s="1246"/>
      <c r="N19" s="1246"/>
      <c r="O19" s="1246"/>
      <c r="P19" s="1246"/>
      <c r="Q19" s="1246"/>
      <c r="R19" s="1246"/>
      <c r="S19" s="1246"/>
      <c r="T19" s="1246"/>
      <c r="U19" s="1246"/>
      <c r="V19" s="1246"/>
      <c r="W19" s="1246"/>
      <c r="X19" s="1246"/>
      <c r="Y19" s="1246"/>
      <c r="Z19" s="1246"/>
      <c r="AA19" s="1247"/>
      <c r="AB19" s="1041"/>
      <c r="AC19" s="911"/>
      <c r="AD19" s="1046"/>
      <c r="AE19" s="911"/>
      <c r="AF19" s="1046"/>
      <c r="AG19" s="911"/>
      <c r="AH19" s="1046"/>
      <c r="AI19" s="912"/>
      <c r="AJ19" s="1049"/>
      <c r="AK19" s="913"/>
      <c r="AL19" s="914"/>
      <c r="AM19" s="1479" t="s">
        <v>725</v>
      </c>
      <c r="AN19" s="1479"/>
      <c r="AO19" s="1479"/>
      <c r="AP19" s="1479"/>
      <c r="AQ19" s="1479"/>
      <c r="AR19" s="1479"/>
      <c r="AS19" s="915"/>
      <c r="AU19" s="2105"/>
      <c r="AV19" s="907" t="s">
        <v>727</v>
      </c>
      <c r="AW19" s="1044">
        <f t="shared" si="0"/>
        <v>0</v>
      </c>
      <c r="AX19" s="1044">
        <f t="shared" si="1"/>
        <v>0</v>
      </c>
      <c r="AZ19" s="2102"/>
      <c r="BA19" s="244"/>
      <c r="BB19" s="908"/>
      <c r="BC19" s="908"/>
      <c r="BD19" s="908"/>
      <c r="BE19" s="908"/>
      <c r="BF19" s="908"/>
      <c r="BG19" s="908"/>
    </row>
    <row r="20" spans="3:59" ht="33" customHeight="1">
      <c r="C20" s="909"/>
      <c r="D20" s="1479" t="s">
        <v>728</v>
      </c>
      <c r="E20" s="1479"/>
      <c r="F20" s="1479"/>
      <c r="G20" s="1479"/>
      <c r="H20" s="1479"/>
      <c r="I20" s="1479"/>
      <c r="J20" s="910"/>
      <c r="K20" s="1246" t="s">
        <v>729</v>
      </c>
      <c r="L20" s="1246"/>
      <c r="M20" s="1246"/>
      <c r="N20" s="1246"/>
      <c r="O20" s="1246"/>
      <c r="P20" s="1246"/>
      <c r="Q20" s="1246"/>
      <c r="R20" s="1246"/>
      <c r="S20" s="1246"/>
      <c r="T20" s="1246"/>
      <c r="U20" s="1246"/>
      <c r="V20" s="1246"/>
      <c r="W20" s="1246"/>
      <c r="X20" s="1246"/>
      <c r="Y20" s="1246"/>
      <c r="Z20" s="1246"/>
      <c r="AA20" s="1247"/>
      <c r="AB20" s="1041"/>
      <c r="AC20" s="911"/>
      <c r="AD20" s="1046"/>
      <c r="AE20" s="911"/>
      <c r="AF20" s="1046"/>
      <c r="AG20" s="911"/>
      <c r="AH20" s="1046"/>
      <c r="AI20" s="912"/>
      <c r="AJ20" s="1049"/>
      <c r="AK20" s="913"/>
      <c r="AL20" s="914"/>
      <c r="AM20" s="1479" t="s">
        <v>728</v>
      </c>
      <c r="AN20" s="1479"/>
      <c r="AO20" s="1479"/>
      <c r="AP20" s="1479"/>
      <c r="AQ20" s="1479"/>
      <c r="AR20" s="1479"/>
      <c r="AS20" s="915"/>
      <c r="AU20" s="2105"/>
      <c r="AV20" s="907" t="s">
        <v>730</v>
      </c>
      <c r="AW20" s="1044">
        <f t="shared" si="0"/>
        <v>0</v>
      </c>
      <c r="AX20" s="1044">
        <f t="shared" si="1"/>
        <v>0</v>
      </c>
      <c r="AZ20" s="2102"/>
      <c r="BA20" s="244"/>
      <c r="BB20" s="908"/>
      <c r="BC20" s="908"/>
      <c r="BD20" s="908"/>
      <c r="BE20" s="908"/>
      <c r="BF20" s="908"/>
      <c r="BG20" s="908"/>
    </row>
    <row r="21" spans="3:59" ht="33" customHeight="1">
      <c r="C21" s="909"/>
      <c r="D21" s="1479" t="s">
        <v>731</v>
      </c>
      <c r="E21" s="1479"/>
      <c r="F21" s="1479"/>
      <c r="G21" s="1479"/>
      <c r="H21" s="1479"/>
      <c r="I21" s="1479"/>
      <c r="J21" s="910"/>
      <c r="K21" s="1246" t="s">
        <v>732</v>
      </c>
      <c r="L21" s="1246"/>
      <c r="M21" s="1246"/>
      <c r="N21" s="1246"/>
      <c r="O21" s="1246"/>
      <c r="P21" s="1246"/>
      <c r="Q21" s="1246"/>
      <c r="R21" s="1246"/>
      <c r="S21" s="1246"/>
      <c r="T21" s="1246"/>
      <c r="U21" s="1246"/>
      <c r="V21" s="1246"/>
      <c r="W21" s="1246"/>
      <c r="X21" s="1246"/>
      <c r="Y21" s="1246"/>
      <c r="Z21" s="1246"/>
      <c r="AA21" s="1247"/>
      <c r="AB21" s="1041"/>
      <c r="AC21" s="911"/>
      <c r="AD21" s="1046"/>
      <c r="AE21" s="911"/>
      <c r="AF21" s="1046"/>
      <c r="AG21" s="911"/>
      <c r="AH21" s="1046"/>
      <c r="AI21" s="912"/>
      <c r="AJ21" s="1049"/>
      <c r="AK21" s="913"/>
      <c r="AL21" s="914"/>
      <c r="AM21" s="1479" t="s">
        <v>733</v>
      </c>
      <c r="AN21" s="1479"/>
      <c r="AO21" s="1479"/>
      <c r="AP21" s="1479"/>
      <c r="AQ21" s="1479"/>
      <c r="AR21" s="1479"/>
      <c r="AS21" s="915"/>
      <c r="AU21" s="2105"/>
      <c r="AV21" s="907" t="s">
        <v>734</v>
      </c>
      <c r="AW21" s="1044">
        <f t="shared" si="0"/>
        <v>0</v>
      </c>
      <c r="AX21" s="1044">
        <f t="shared" si="1"/>
        <v>0</v>
      </c>
      <c r="AZ21" s="2102"/>
      <c r="BA21" s="244"/>
      <c r="BB21" s="908"/>
      <c r="BC21" s="908"/>
      <c r="BD21" s="908"/>
      <c r="BE21" s="908"/>
      <c r="BF21" s="908"/>
      <c r="BG21" s="908"/>
    </row>
    <row r="22" spans="3:59" ht="33" customHeight="1">
      <c r="C22" s="909"/>
      <c r="D22" s="1479" t="s">
        <v>735</v>
      </c>
      <c r="E22" s="1479"/>
      <c r="F22" s="1479"/>
      <c r="G22" s="1479"/>
      <c r="H22" s="1479"/>
      <c r="I22" s="1479"/>
      <c r="J22" s="910"/>
      <c r="K22" s="1246" t="s">
        <v>736</v>
      </c>
      <c r="L22" s="1246"/>
      <c r="M22" s="1246"/>
      <c r="N22" s="1246"/>
      <c r="O22" s="1246"/>
      <c r="P22" s="1246"/>
      <c r="Q22" s="1246"/>
      <c r="R22" s="1246"/>
      <c r="S22" s="1246"/>
      <c r="T22" s="1246"/>
      <c r="U22" s="1246"/>
      <c r="V22" s="1246"/>
      <c r="W22" s="1246"/>
      <c r="X22" s="1246"/>
      <c r="Y22" s="1246"/>
      <c r="Z22" s="1246"/>
      <c r="AA22" s="1247"/>
      <c r="AB22" s="1041"/>
      <c r="AC22" s="911"/>
      <c r="AD22" s="1046"/>
      <c r="AE22" s="911"/>
      <c r="AF22" s="1046"/>
      <c r="AG22" s="911"/>
      <c r="AH22" s="1046"/>
      <c r="AI22" s="912"/>
      <c r="AJ22" s="1049"/>
      <c r="AK22" s="913"/>
      <c r="AL22" s="914"/>
      <c r="AM22" s="1479" t="s">
        <v>735</v>
      </c>
      <c r="AN22" s="1479"/>
      <c r="AO22" s="1479"/>
      <c r="AP22" s="1479"/>
      <c r="AQ22" s="1479"/>
      <c r="AR22" s="1479"/>
      <c r="AS22" s="915"/>
      <c r="AU22" s="2105"/>
      <c r="AV22" s="907" t="s">
        <v>737</v>
      </c>
      <c r="AW22" s="1044">
        <f t="shared" si="0"/>
        <v>0</v>
      </c>
      <c r="AX22" s="1044">
        <f t="shared" si="1"/>
        <v>0</v>
      </c>
      <c r="AZ22" s="2102"/>
      <c r="BA22" s="244"/>
      <c r="BB22" s="908"/>
      <c r="BC22" s="908"/>
      <c r="BD22" s="908"/>
      <c r="BE22" s="908"/>
      <c r="BF22" s="908"/>
      <c r="BG22" s="908"/>
    </row>
    <row r="23" spans="3:59" ht="33" hidden="1" customHeight="1">
      <c r="C23" s="909"/>
      <c r="D23" s="1479" t="s">
        <v>738</v>
      </c>
      <c r="E23" s="1479"/>
      <c r="F23" s="1479"/>
      <c r="G23" s="1479"/>
      <c r="H23" s="1479"/>
      <c r="I23" s="1479"/>
      <c r="J23" s="910"/>
      <c r="K23" s="1246" t="s">
        <v>739</v>
      </c>
      <c r="L23" s="1246"/>
      <c r="M23" s="1246"/>
      <c r="N23" s="1246"/>
      <c r="O23" s="1246"/>
      <c r="P23" s="1246"/>
      <c r="Q23" s="1246"/>
      <c r="R23" s="1246"/>
      <c r="S23" s="1246"/>
      <c r="T23" s="1246"/>
      <c r="U23" s="1246"/>
      <c r="V23" s="1246"/>
      <c r="W23" s="1246"/>
      <c r="X23" s="1246"/>
      <c r="Y23" s="1246"/>
      <c r="Z23" s="1246"/>
      <c r="AA23" s="1247"/>
      <c r="AB23" s="1041"/>
      <c r="AC23" s="911"/>
      <c r="AD23" s="1046"/>
      <c r="AE23" s="911"/>
      <c r="AF23" s="1046"/>
      <c r="AG23" s="911"/>
      <c r="AH23" s="1046"/>
      <c r="AI23" s="912"/>
      <c r="AJ23" s="1049"/>
      <c r="AK23" s="913"/>
      <c r="AL23" s="914"/>
      <c r="AM23" s="1479" t="s">
        <v>740</v>
      </c>
      <c r="AN23" s="1479"/>
      <c r="AO23" s="1479"/>
      <c r="AP23" s="1479"/>
      <c r="AQ23" s="1479"/>
      <c r="AR23" s="1479"/>
      <c r="AS23" s="915"/>
      <c r="AU23" s="2105"/>
      <c r="AV23" s="907" t="s">
        <v>738</v>
      </c>
      <c r="AW23" s="1044">
        <f t="shared" si="0"/>
        <v>0</v>
      </c>
      <c r="AX23" s="1044">
        <f t="shared" si="1"/>
        <v>0</v>
      </c>
      <c r="AZ23" s="916"/>
      <c r="BA23" s="244"/>
      <c r="BB23" s="908"/>
      <c r="BC23" s="908"/>
      <c r="BD23" s="908"/>
      <c r="BE23" s="908"/>
      <c r="BF23" s="908"/>
      <c r="BG23" s="908"/>
    </row>
    <row r="24" spans="3:59" ht="33" customHeight="1">
      <c r="C24" s="909"/>
      <c r="D24" s="1479" t="s">
        <v>741</v>
      </c>
      <c r="E24" s="1479"/>
      <c r="F24" s="1479"/>
      <c r="G24" s="1479"/>
      <c r="H24" s="1479"/>
      <c r="I24" s="1479"/>
      <c r="J24" s="910"/>
      <c r="K24" s="1246" t="s">
        <v>742</v>
      </c>
      <c r="L24" s="1246"/>
      <c r="M24" s="1246"/>
      <c r="N24" s="1246"/>
      <c r="O24" s="1246"/>
      <c r="P24" s="1246"/>
      <c r="Q24" s="1246"/>
      <c r="R24" s="1246"/>
      <c r="S24" s="1246"/>
      <c r="T24" s="1246"/>
      <c r="U24" s="1246"/>
      <c r="V24" s="1246"/>
      <c r="W24" s="1246"/>
      <c r="X24" s="1246"/>
      <c r="Y24" s="1246"/>
      <c r="Z24" s="1246"/>
      <c r="AA24" s="1247"/>
      <c r="AB24" s="1041"/>
      <c r="AC24" s="911"/>
      <c r="AD24" s="1046"/>
      <c r="AE24" s="911"/>
      <c r="AF24" s="1046"/>
      <c r="AG24" s="911"/>
      <c r="AH24" s="1046"/>
      <c r="AI24" s="912"/>
      <c r="AJ24" s="1049"/>
      <c r="AK24" s="913"/>
      <c r="AL24" s="914"/>
      <c r="AM24" s="1479" t="s">
        <v>741</v>
      </c>
      <c r="AN24" s="1479"/>
      <c r="AO24" s="1479"/>
      <c r="AP24" s="1479"/>
      <c r="AQ24" s="1479"/>
      <c r="AR24" s="1479"/>
      <c r="AS24" s="915"/>
      <c r="AU24" s="2105"/>
      <c r="AV24" s="907" t="s">
        <v>743</v>
      </c>
      <c r="AW24" s="1044">
        <f t="shared" si="0"/>
        <v>0</v>
      </c>
      <c r="AX24" s="1044">
        <f t="shared" si="1"/>
        <v>0</v>
      </c>
    </row>
    <row r="25" spans="3:59" ht="33" customHeight="1">
      <c r="C25" s="909"/>
      <c r="D25" s="1479" t="s">
        <v>744</v>
      </c>
      <c r="E25" s="1479"/>
      <c r="F25" s="1479"/>
      <c r="G25" s="1479"/>
      <c r="H25" s="1479"/>
      <c r="I25" s="1479"/>
      <c r="J25" s="910"/>
      <c r="K25" s="1246" t="s">
        <v>745</v>
      </c>
      <c r="L25" s="1246"/>
      <c r="M25" s="1246"/>
      <c r="N25" s="1246"/>
      <c r="O25" s="1246"/>
      <c r="P25" s="1246"/>
      <c r="Q25" s="1246"/>
      <c r="R25" s="1246"/>
      <c r="S25" s="1246"/>
      <c r="T25" s="1246"/>
      <c r="U25" s="1246"/>
      <c r="V25" s="1246"/>
      <c r="W25" s="1246"/>
      <c r="X25" s="1246"/>
      <c r="Y25" s="1246"/>
      <c r="Z25" s="1246"/>
      <c r="AA25" s="1247"/>
      <c r="AB25" s="1041"/>
      <c r="AC25" s="911"/>
      <c r="AD25" s="1046"/>
      <c r="AE25" s="911"/>
      <c r="AF25" s="1046"/>
      <c r="AG25" s="911"/>
      <c r="AH25" s="1046"/>
      <c r="AI25" s="912"/>
      <c r="AJ25" s="1049"/>
      <c r="AK25" s="913"/>
      <c r="AL25" s="914"/>
      <c r="AM25" s="1479" t="s">
        <v>744</v>
      </c>
      <c r="AN25" s="1479"/>
      <c r="AO25" s="1479"/>
      <c r="AP25" s="1479"/>
      <c r="AQ25" s="1479"/>
      <c r="AR25" s="1479"/>
      <c r="AS25" s="915"/>
      <c r="AU25" s="2105"/>
      <c r="AV25" s="907" t="s">
        <v>746</v>
      </c>
      <c r="AW25" s="1044">
        <f t="shared" si="0"/>
        <v>0</v>
      </c>
      <c r="AX25" s="1044">
        <f t="shared" si="1"/>
        <v>0</v>
      </c>
    </row>
    <row r="26" spans="3:59" ht="33" hidden="1" customHeight="1">
      <c r="C26" s="909"/>
      <c r="D26" s="1479" t="s">
        <v>747</v>
      </c>
      <c r="E26" s="1479"/>
      <c r="F26" s="1479"/>
      <c r="G26" s="1479"/>
      <c r="H26" s="1479"/>
      <c r="I26" s="1479"/>
      <c r="J26" s="910"/>
      <c r="K26" s="1246" t="s">
        <v>748</v>
      </c>
      <c r="L26" s="1246"/>
      <c r="M26" s="1246"/>
      <c r="N26" s="1246"/>
      <c r="O26" s="1246"/>
      <c r="P26" s="1246"/>
      <c r="Q26" s="1246"/>
      <c r="R26" s="1246"/>
      <c r="S26" s="1246"/>
      <c r="T26" s="1246"/>
      <c r="U26" s="1246"/>
      <c r="V26" s="1246"/>
      <c r="W26" s="1246"/>
      <c r="X26" s="1246"/>
      <c r="Y26" s="1246"/>
      <c r="Z26" s="1246"/>
      <c r="AA26" s="1247"/>
      <c r="AB26" s="1041"/>
      <c r="AC26" s="911"/>
      <c r="AD26" s="1046"/>
      <c r="AE26" s="911"/>
      <c r="AF26" s="1046"/>
      <c r="AG26" s="911"/>
      <c r="AH26" s="1046"/>
      <c r="AI26" s="912"/>
      <c r="AJ26" s="1049"/>
      <c r="AK26" s="913"/>
      <c r="AL26" s="914"/>
      <c r="AM26" s="1479" t="s">
        <v>747</v>
      </c>
      <c r="AN26" s="1479"/>
      <c r="AO26" s="1479"/>
      <c r="AP26" s="1479"/>
      <c r="AQ26" s="1479"/>
      <c r="AR26" s="1479"/>
      <c r="AS26" s="915"/>
      <c r="AU26" s="2105"/>
      <c r="AV26" s="907" t="s">
        <v>749</v>
      </c>
      <c r="AW26" s="1044">
        <f t="shared" si="0"/>
        <v>0</v>
      </c>
      <c r="AX26" s="1044">
        <f t="shared" si="1"/>
        <v>0</v>
      </c>
    </row>
    <row r="27" spans="3:59" ht="33" customHeight="1">
      <c r="C27" s="909"/>
      <c r="D27" s="1479" t="s">
        <v>750</v>
      </c>
      <c r="E27" s="1479"/>
      <c r="F27" s="1479"/>
      <c r="G27" s="1479"/>
      <c r="H27" s="1479"/>
      <c r="I27" s="1479"/>
      <c r="J27" s="910"/>
      <c r="K27" s="1246" t="s">
        <v>751</v>
      </c>
      <c r="L27" s="1246"/>
      <c r="M27" s="1246"/>
      <c r="N27" s="1246"/>
      <c r="O27" s="1246"/>
      <c r="P27" s="1246"/>
      <c r="Q27" s="1246"/>
      <c r="R27" s="1246"/>
      <c r="S27" s="1246"/>
      <c r="T27" s="1246"/>
      <c r="U27" s="1246"/>
      <c r="V27" s="1246"/>
      <c r="W27" s="1246"/>
      <c r="X27" s="1246"/>
      <c r="Y27" s="1246"/>
      <c r="Z27" s="1246"/>
      <c r="AA27" s="1247"/>
      <c r="AB27" s="1041"/>
      <c r="AC27" s="911"/>
      <c r="AD27" s="1046"/>
      <c r="AE27" s="911"/>
      <c r="AF27" s="1046"/>
      <c r="AG27" s="911"/>
      <c r="AH27" s="1046"/>
      <c r="AI27" s="912"/>
      <c r="AJ27" s="1049"/>
      <c r="AK27" s="913"/>
      <c r="AL27" s="914"/>
      <c r="AM27" s="1479" t="s">
        <v>750</v>
      </c>
      <c r="AN27" s="1479"/>
      <c r="AO27" s="1479"/>
      <c r="AP27" s="1479"/>
      <c r="AQ27" s="1479"/>
      <c r="AR27" s="1479"/>
      <c r="AS27" s="915"/>
      <c r="AU27" s="2105"/>
      <c r="AV27" s="907" t="s">
        <v>752</v>
      </c>
      <c r="AW27" s="1044">
        <f t="shared" si="0"/>
        <v>0</v>
      </c>
      <c r="AX27" s="1044">
        <f t="shared" si="1"/>
        <v>0</v>
      </c>
    </row>
    <row r="28" spans="3:59" ht="33" customHeight="1">
      <c r="C28" s="909"/>
      <c r="D28" s="1479" t="s">
        <v>753</v>
      </c>
      <c r="E28" s="1479"/>
      <c r="F28" s="1479"/>
      <c r="G28" s="1479"/>
      <c r="H28" s="1479"/>
      <c r="I28" s="1479"/>
      <c r="J28" s="910"/>
      <c r="K28" s="1246" t="s">
        <v>754</v>
      </c>
      <c r="L28" s="1246"/>
      <c r="M28" s="1246"/>
      <c r="N28" s="1246"/>
      <c r="O28" s="1246"/>
      <c r="P28" s="1246"/>
      <c r="Q28" s="1246"/>
      <c r="R28" s="1246"/>
      <c r="S28" s="1246"/>
      <c r="T28" s="1246"/>
      <c r="U28" s="1246"/>
      <c r="V28" s="1246"/>
      <c r="W28" s="1246"/>
      <c r="X28" s="1246"/>
      <c r="Y28" s="1246"/>
      <c r="Z28" s="1246"/>
      <c r="AA28" s="1247"/>
      <c r="AB28" s="1041"/>
      <c r="AC28" s="911"/>
      <c r="AD28" s="1046"/>
      <c r="AE28" s="911"/>
      <c r="AF28" s="1046"/>
      <c r="AG28" s="911"/>
      <c r="AH28" s="1046"/>
      <c r="AI28" s="912"/>
      <c r="AJ28" s="1049"/>
      <c r="AK28" s="913"/>
      <c r="AL28" s="914"/>
      <c r="AM28" s="1479" t="s">
        <v>753</v>
      </c>
      <c r="AN28" s="1479"/>
      <c r="AO28" s="1479"/>
      <c r="AP28" s="1479"/>
      <c r="AQ28" s="1479"/>
      <c r="AR28" s="1479"/>
      <c r="AS28" s="915"/>
      <c r="AU28" s="2105"/>
      <c r="AV28" s="907" t="s">
        <v>755</v>
      </c>
      <c r="AW28" s="1044">
        <f t="shared" si="0"/>
        <v>0</v>
      </c>
      <c r="AX28" s="1044">
        <f t="shared" si="1"/>
        <v>0</v>
      </c>
    </row>
    <row r="29" spans="3:59" ht="33" hidden="1" customHeight="1">
      <c r="C29" s="909"/>
      <c r="D29" s="1479" t="s">
        <v>756</v>
      </c>
      <c r="E29" s="1479"/>
      <c r="F29" s="1479"/>
      <c r="G29" s="1479"/>
      <c r="H29" s="1479"/>
      <c r="I29" s="1479"/>
      <c r="J29" s="910"/>
      <c r="K29" s="1246" t="s">
        <v>756</v>
      </c>
      <c r="L29" s="1246"/>
      <c r="M29" s="1246"/>
      <c r="N29" s="1246"/>
      <c r="O29" s="1246"/>
      <c r="P29" s="1246"/>
      <c r="Q29" s="1246"/>
      <c r="R29" s="1246"/>
      <c r="S29" s="1246"/>
      <c r="T29" s="1246"/>
      <c r="U29" s="1246"/>
      <c r="V29" s="1246"/>
      <c r="W29" s="1246"/>
      <c r="X29" s="1246"/>
      <c r="Y29" s="1246"/>
      <c r="Z29" s="1246"/>
      <c r="AA29" s="1247"/>
      <c r="AB29" s="1041"/>
      <c r="AC29" s="911"/>
      <c r="AD29" s="1046"/>
      <c r="AE29" s="911"/>
      <c r="AF29" s="1046"/>
      <c r="AG29" s="911"/>
      <c r="AH29" s="1046"/>
      <c r="AI29" s="912"/>
      <c r="AJ29" s="1049"/>
      <c r="AK29" s="913"/>
      <c r="AL29" s="914"/>
      <c r="AM29" s="1479" t="s">
        <v>756</v>
      </c>
      <c r="AN29" s="1479"/>
      <c r="AO29" s="1479"/>
      <c r="AP29" s="1479"/>
      <c r="AQ29" s="1479"/>
      <c r="AR29" s="1479"/>
      <c r="AS29" s="915"/>
      <c r="AU29" s="2105"/>
      <c r="AV29" s="907" t="s">
        <v>757</v>
      </c>
      <c r="AW29" s="1044">
        <f>SUM(AB29,AD29,AF29,AH29)</f>
        <v>0</v>
      </c>
      <c r="AX29" s="1044">
        <f t="shared" si="1"/>
        <v>0</v>
      </c>
    </row>
    <row r="30" spans="3:59" ht="33" customHeight="1">
      <c r="C30" s="909"/>
      <c r="D30" s="1479" t="s">
        <v>758</v>
      </c>
      <c r="E30" s="1479"/>
      <c r="F30" s="1479"/>
      <c r="G30" s="1479"/>
      <c r="H30" s="1479"/>
      <c r="I30" s="1479"/>
      <c r="J30" s="910"/>
      <c r="K30" s="1246" t="s">
        <v>759</v>
      </c>
      <c r="L30" s="1246"/>
      <c r="M30" s="1246"/>
      <c r="N30" s="1246"/>
      <c r="O30" s="1246"/>
      <c r="P30" s="1246"/>
      <c r="Q30" s="1246"/>
      <c r="R30" s="1246"/>
      <c r="S30" s="1246"/>
      <c r="T30" s="1246"/>
      <c r="U30" s="1246"/>
      <c r="V30" s="1246"/>
      <c r="W30" s="1246"/>
      <c r="X30" s="1246"/>
      <c r="Y30" s="1246"/>
      <c r="Z30" s="1246"/>
      <c r="AA30" s="1247"/>
      <c r="AB30" s="1041"/>
      <c r="AC30" s="911"/>
      <c r="AD30" s="1046"/>
      <c r="AE30" s="911"/>
      <c r="AF30" s="1046"/>
      <c r="AG30" s="911"/>
      <c r="AH30" s="1046"/>
      <c r="AI30" s="912"/>
      <c r="AJ30" s="1049"/>
      <c r="AK30" s="913"/>
      <c r="AL30" s="914"/>
      <c r="AM30" s="1479" t="s">
        <v>758</v>
      </c>
      <c r="AN30" s="1479"/>
      <c r="AO30" s="1479"/>
      <c r="AP30" s="1479"/>
      <c r="AQ30" s="1479"/>
      <c r="AR30" s="1479"/>
      <c r="AS30" s="915"/>
      <c r="AU30" s="2105"/>
      <c r="AV30" s="907" t="s">
        <v>760</v>
      </c>
      <c r="AW30" s="1044">
        <f t="shared" si="0"/>
        <v>0</v>
      </c>
      <c r="AX30" s="1044">
        <f t="shared" si="1"/>
        <v>0</v>
      </c>
    </row>
    <row r="31" spans="3:59" ht="33" customHeight="1" thickBot="1">
      <c r="C31" s="909"/>
      <c r="D31" s="1479" t="s">
        <v>761</v>
      </c>
      <c r="E31" s="1479"/>
      <c r="F31" s="1479"/>
      <c r="G31" s="1479"/>
      <c r="H31" s="1479"/>
      <c r="I31" s="1479"/>
      <c r="J31" s="910"/>
      <c r="K31" s="1246" t="s">
        <v>762</v>
      </c>
      <c r="L31" s="1246"/>
      <c r="M31" s="1246"/>
      <c r="N31" s="1246"/>
      <c r="O31" s="1246"/>
      <c r="P31" s="1246"/>
      <c r="Q31" s="1246"/>
      <c r="R31" s="1246"/>
      <c r="S31" s="1246"/>
      <c r="T31" s="1246"/>
      <c r="U31" s="1246"/>
      <c r="V31" s="1246"/>
      <c r="W31" s="1246"/>
      <c r="X31" s="1246"/>
      <c r="Y31" s="1246"/>
      <c r="Z31" s="1246"/>
      <c r="AA31" s="1247"/>
      <c r="AB31" s="1041"/>
      <c r="AC31" s="911"/>
      <c r="AD31" s="1046"/>
      <c r="AE31" s="911"/>
      <c r="AF31" s="1046"/>
      <c r="AG31" s="911"/>
      <c r="AH31" s="1046"/>
      <c r="AI31" s="912"/>
      <c r="AJ31" s="1050"/>
      <c r="AK31" s="917"/>
      <c r="AL31" s="914"/>
      <c r="AM31" s="1479" t="s">
        <v>761</v>
      </c>
      <c r="AN31" s="1479"/>
      <c r="AO31" s="1479"/>
      <c r="AP31" s="1479"/>
      <c r="AQ31" s="1479"/>
      <c r="AR31" s="1479"/>
      <c r="AS31" s="915"/>
      <c r="AU31" s="2105"/>
      <c r="AV31" s="907" t="s">
        <v>763</v>
      </c>
      <c r="AW31" s="1044">
        <f t="shared" si="0"/>
        <v>0</v>
      </c>
      <c r="AX31" s="1044">
        <f t="shared" si="1"/>
        <v>0</v>
      </c>
    </row>
    <row r="32" spans="3:59" ht="33" customHeight="1" thickTop="1" thickBot="1">
      <c r="C32" s="918"/>
      <c r="D32" s="2107" t="s">
        <v>764</v>
      </c>
      <c r="E32" s="2107"/>
      <c r="F32" s="2107"/>
      <c r="G32" s="2107"/>
      <c r="H32" s="2107"/>
      <c r="I32" s="2107"/>
      <c r="J32" s="919"/>
      <c r="K32" s="2108" t="s">
        <v>765</v>
      </c>
      <c r="L32" s="2108"/>
      <c r="M32" s="2108"/>
      <c r="N32" s="2108"/>
      <c r="O32" s="2108"/>
      <c r="P32" s="2108"/>
      <c r="Q32" s="2108"/>
      <c r="R32" s="2108"/>
      <c r="S32" s="2108"/>
      <c r="T32" s="2108"/>
      <c r="U32" s="2108"/>
      <c r="V32" s="2108"/>
      <c r="W32" s="2108"/>
      <c r="X32" s="2108"/>
      <c r="Y32" s="2108"/>
      <c r="Z32" s="2108"/>
      <c r="AA32" s="2109"/>
      <c r="AB32" s="1042"/>
      <c r="AC32" s="920"/>
      <c r="AD32" s="1047"/>
      <c r="AE32" s="920"/>
      <c r="AF32" s="1047"/>
      <c r="AG32" s="920"/>
      <c r="AH32" s="1047"/>
      <c r="AI32" s="921"/>
      <c r="AJ32" s="1051"/>
      <c r="AK32" s="922"/>
      <c r="AL32" s="918"/>
      <c r="AM32" s="2107" t="s">
        <v>764</v>
      </c>
      <c r="AN32" s="2107"/>
      <c r="AO32" s="2107"/>
      <c r="AP32" s="2107"/>
      <c r="AQ32" s="2107"/>
      <c r="AR32" s="2107"/>
      <c r="AS32" s="896"/>
      <c r="AU32" s="2106"/>
      <c r="AV32" s="907" t="s">
        <v>766</v>
      </c>
      <c r="AW32" s="1044">
        <f>SUM(AB32,AD32,AF32,AH32)</f>
        <v>0</v>
      </c>
      <c r="AX32" s="1045"/>
    </row>
    <row r="33" spans="1:58" s="178" customFormat="1" ht="30" customHeight="1" thickTop="1" thickBot="1">
      <c r="B33" s="2"/>
      <c r="C33" s="923"/>
      <c r="D33" s="2110" t="s">
        <v>767</v>
      </c>
      <c r="E33" s="2110"/>
      <c r="F33" s="2110"/>
      <c r="G33" s="2110"/>
      <c r="H33" s="2110"/>
      <c r="I33" s="2110"/>
      <c r="J33" s="924"/>
      <c r="K33" s="2111" t="s">
        <v>768</v>
      </c>
      <c r="L33" s="2111"/>
      <c r="M33" s="2111"/>
      <c r="N33" s="2111"/>
      <c r="O33" s="2111"/>
      <c r="P33" s="2111"/>
      <c r="Q33" s="2111"/>
      <c r="R33" s="2111"/>
      <c r="S33" s="2111"/>
      <c r="T33" s="2111"/>
      <c r="U33" s="2111"/>
      <c r="V33" s="2111"/>
      <c r="W33" s="2111"/>
      <c r="X33" s="2111"/>
      <c r="Y33" s="2111"/>
      <c r="Z33" s="2111"/>
      <c r="AA33" s="2112"/>
      <c r="AB33" s="1043"/>
      <c r="AC33" s="925"/>
      <c r="AD33" s="1048"/>
      <c r="AE33" s="925"/>
      <c r="AF33" s="1048"/>
      <c r="AG33" s="925"/>
      <c r="AH33" s="1048"/>
      <c r="AI33" s="926"/>
      <c r="AJ33" s="1052"/>
      <c r="AK33" s="927"/>
      <c r="AL33" s="928"/>
      <c r="AM33" s="2110" t="s">
        <v>767</v>
      </c>
      <c r="AN33" s="2110"/>
      <c r="AO33" s="2110"/>
      <c r="AP33" s="2110"/>
      <c r="AQ33" s="2110"/>
      <c r="AR33" s="2110"/>
      <c r="AS33" s="929"/>
      <c r="AU33" s="2113" t="s">
        <v>769</v>
      </c>
      <c r="AV33" s="2114"/>
      <c r="AW33" s="1044">
        <f t="shared" si="0"/>
        <v>0</v>
      </c>
      <c r="AX33" s="1044">
        <f>AJ33</f>
        <v>0</v>
      </c>
      <c r="AY33" s="2"/>
      <c r="AZ33" s="39" t="s">
        <v>770</v>
      </c>
      <c r="BC33" s="2"/>
      <c r="BD33" s="2"/>
      <c r="BE33" s="2"/>
      <c r="BF33" s="2"/>
    </row>
    <row r="34" spans="1:58" s="178" customFormat="1" ht="30" customHeight="1" thickBot="1">
      <c r="B34" s="930"/>
      <c r="C34" s="930"/>
      <c r="D34" s="931"/>
      <c r="E34" s="931"/>
      <c r="F34" s="931"/>
      <c r="G34" s="931"/>
      <c r="H34" s="931"/>
      <c r="I34" s="931"/>
      <c r="J34" s="931"/>
      <c r="K34" s="931"/>
      <c r="L34" s="931"/>
      <c r="M34" s="931"/>
      <c r="N34" s="931"/>
      <c r="O34" s="931"/>
      <c r="P34" s="931"/>
      <c r="Q34" s="931"/>
      <c r="R34" s="931"/>
      <c r="S34" s="931"/>
      <c r="T34" s="931"/>
      <c r="U34" s="931"/>
      <c r="V34" s="931"/>
      <c r="W34" s="931"/>
      <c r="X34" s="931"/>
      <c r="Y34" s="931"/>
      <c r="Z34" s="931"/>
      <c r="AA34" s="931"/>
      <c r="AB34" s="931"/>
      <c r="AC34" s="931"/>
      <c r="AD34" s="931"/>
      <c r="AE34" s="931"/>
      <c r="AF34" s="931"/>
      <c r="AG34" s="931"/>
      <c r="AH34" s="931"/>
      <c r="AI34" s="931"/>
      <c r="AJ34" s="931"/>
      <c r="AK34" s="931"/>
      <c r="AL34" s="931"/>
      <c r="AM34" s="931"/>
      <c r="AN34" s="931"/>
      <c r="AO34" s="931"/>
      <c r="AP34" s="931"/>
      <c r="AQ34" s="931"/>
      <c r="AR34" s="931"/>
      <c r="AU34" s="2113" t="s">
        <v>771</v>
      </c>
      <c r="AV34" s="2114"/>
      <c r="AW34" s="1044">
        <f>SUBTOTAL(109,AW17:AW32)</f>
        <v>0</v>
      </c>
      <c r="AX34" s="1044">
        <f>SUBTOTAL(109,AX17:AX32)</f>
        <v>0</v>
      </c>
      <c r="AY34" s="2"/>
      <c r="AZ34" s="932" t="s">
        <v>772</v>
      </c>
      <c r="BC34" s="2"/>
      <c r="BD34" s="2"/>
      <c r="BE34" s="2"/>
      <c r="BF34" s="2"/>
    </row>
    <row r="35" spans="1:58" s="178" customFormat="1" ht="30" customHeight="1" thickTop="1" thickBot="1">
      <c r="AU35" s="2115" t="s">
        <v>773</v>
      </c>
      <c r="AV35" s="2113"/>
      <c r="AW35" s="1044">
        <f>SUM(AW33:AW34)</f>
        <v>0</v>
      </c>
      <c r="AX35" s="1044">
        <f>SUM(AX33:AX34)</f>
        <v>0</v>
      </c>
      <c r="AY35" s="2"/>
      <c r="AZ35" s="933"/>
      <c r="BC35" s="2"/>
      <c r="BD35" s="2"/>
      <c r="BE35" s="2"/>
      <c r="BF35" s="2"/>
    </row>
    <row r="36" spans="1:58" ht="14.25" customHeight="1" thickTop="1">
      <c r="A36" s="30"/>
      <c r="B36" s="108" t="s">
        <v>774</v>
      </c>
      <c r="C36" s="30"/>
      <c r="D36" s="30"/>
      <c r="F36" s="30"/>
      <c r="AB36" s="30"/>
      <c r="AC36" s="30"/>
      <c r="AD36" s="30"/>
      <c r="AE36" s="30"/>
      <c r="AF36" s="30"/>
      <c r="AG36" s="30"/>
      <c r="AH36" s="30"/>
      <c r="AI36" s="30"/>
      <c r="AJ36" s="30"/>
      <c r="AK36" s="30"/>
      <c r="AL36" s="30"/>
      <c r="AM36" s="30"/>
      <c r="AN36" s="30"/>
      <c r="AO36" s="30"/>
      <c r="AP36" s="30"/>
      <c r="AQ36" s="30"/>
      <c r="AR36" s="30"/>
      <c r="AS36" s="658"/>
      <c r="AT36" s="658"/>
      <c r="AX36" s="2"/>
      <c r="AY36" s="178"/>
      <c r="AZ36" s="178"/>
      <c r="BA36" s="178"/>
      <c r="BB36" s="178"/>
      <c r="BC36" s="178"/>
      <c r="BD36" s="178"/>
      <c r="BE36" s="178"/>
      <c r="BF36" s="178"/>
    </row>
    <row r="37" spans="1:58" ht="14.25" customHeight="1">
      <c r="B37" s="934"/>
      <c r="C37" s="51" t="s">
        <v>775</v>
      </c>
      <c r="D37" s="30"/>
      <c r="F37" s="658"/>
      <c r="AB37" s="658"/>
      <c r="AC37" s="658"/>
      <c r="AD37" s="658"/>
      <c r="AE37" s="658"/>
      <c r="AF37" s="658"/>
      <c r="AG37" s="658"/>
      <c r="AH37" s="658"/>
      <c r="AI37" s="658"/>
      <c r="AJ37" s="658"/>
      <c r="AK37" s="658"/>
      <c r="AL37" s="658"/>
      <c r="AM37" s="658"/>
      <c r="AN37" s="658"/>
      <c r="AO37" s="658"/>
      <c r="AP37" s="658"/>
      <c r="AQ37" s="658"/>
      <c r="AR37" s="658"/>
      <c r="AS37" s="46"/>
      <c r="AT37" s="46"/>
      <c r="AX37" s="2"/>
      <c r="AY37" s="178"/>
      <c r="AZ37" s="178"/>
      <c r="BA37" s="178"/>
      <c r="BB37" s="178"/>
      <c r="BC37" s="178"/>
      <c r="BD37" s="178"/>
      <c r="BE37" s="178"/>
      <c r="BF37" s="178"/>
    </row>
    <row r="38" spans="1:58" ht="30" customHeight="1" thickBot="1">
      <c r="X38" s="935"/>
      <c r="AM38" s="46"/>
      <c r="AN38" s="46"/>
      <c r="AO38" s="46"/>
      <c r="AP38" s="46"/>
      <c r="AQ38" s="46"/>
      <c r="AR38" s="46"/>
      <c r="AU38" s="151" t="s">
        <v>776</v>
      </c>
      <c r="AX38" s="2"/>
      <c r="AY38" s="178"/>
      <c r="AZ38" s="178"/>
      <c r="BA38" s="178"/>
      <c r="BB38" s="178"/>
      <c r="BC38" s="178"/>
      <c r="BD38" s="178"/>
      <c r="BE38" s="178"/>
      <c r="BF38" s="178"/>
    </row>
    <row r="39" spans="1:58" ht="38.25" customHeight="1" thickBot="1">
      <c r="C39" s="2118" t="s">
        <v>55</v>
      </c>
      <c r="D39" s="2119"/>
      <c r="E39" s="2120"/>
      <c r="F39" s="1851" t="s">
        <v>777</v>
      </c>
      <c r="G39" s="2121"/>
      <c r="H39" s="2121"/>
      <c r="I39" s="2121"/>
      <c r="J39" s="2121"/>
      <c r="K39" s="2121"/>
      <c r="L39" s="2122"/>
      <c r="M39" s="1154" t="s">
        <v>778</v>
      </c>
      <c r="N39" s="2121"/>
      <c r="O39" s="2121"/>
      <c r="P39" s="2123"/>
      <c r="AB39" s="936"/>
      <c r="AC39" s="937"/>
      <c r="AM39" s="214"/>
      <c r="AN39" s="214"/>
      <c r="AO39" s="214"/>
      <c r="AU39" s="2124"/>
      <c r="AV39" s="2124"/>
      <c r="AW39" s="2125" t="s">
        <v>779</v>
      </c>
      <c r="AX39" s="2126"/>
      <c r="AY39" s="2126"/>
      <c r="AZ39" s="2126"/>
      <c r="BA39" s="2127"/>
      <c r="BB39" s="2131" t="s">
        <v>780</v>
      </c>
    </row>
    <row r="40" spans="1:58" ht="30" customHeight="1" thickTop="1" thickBot="1">
      <c r="C40" s="2133" t="s">
        <v>713</v>
      </c>
      <c r="D40" s="1391"/>
      <c r="E40" s="2134"/>
      <c r="F40" s="2135"/>
      <c r="G40" s="2136"/>
      <c r="H40" s="2136"/>
      <c r="I40" s="2136"/>
      <c r="J40" s="2136"/>
      <c r="K40" s="2136"/>
      <c r="L40" s="2137"/>
      <c r="M40" s="2138"/>
      <c r="N40" s="2139"/>
      <c r="O40" s="2139"/>
      <c r="P40" s="2140"/>
      <c r="AB40" s="938"/>
      <c r="AC40" s="939"/>
      <c r="AN40" s="214"/>
      <c r="AO40" s="214"/>
      <c r="AU40" s="2124"/>
      <c r="AV40" s="2124"/>
      <c r="AW40" s="2128"/>
      <c r="AX40" s="2129"/>
      <c r="AY40" s="2129"/>
      <c r="AZ40" s="2129"/>
      <c r="BA40" s="2130"/>
      <c r="BB40" s="2132"/>
    </row>
    <row r="41" spans="1:58" ht="30" customHeight="1">
      <c r="AN41" s="640"/>
      <c r="AO41" s="640"/>
      <c r="AU41" s="2124"/>
      <c r="AV41" s="2124"/>
      <c r="AW41" s="2116" t="s">
        <v>781</v>
      </c>
      <c r="AX41" s="2116" t="s">
        <v>782</v>
      </c>
      <c r="AY41" s="2116" t="s">
        <v>783</v>
      </c>
      <c r="AZ41" s="2116" t="s">
        <v>784</v>
      </c>
      <c r="BA41" s="2116" t="s">
        <v>785</v>
      </c>
      <c r="BB41" s="2132"/>
    </row>
    <row r="42" spans="1:58" ht="30" customHeight="1">
      <c r="Y42" s="146"/>
      <c r="Z42" s="146"/>
      <c r="AA42" s="146"/>
      <c r="AC42" s="120"/>
      <c r="AD42" s="120"/>
      <c r="AE42" s="236"/>
      <c r="AF42" s="236"/>
      <c r="AG42" s="940"/>
      <c r="AH42" s="940"/>
      <c r="AI42" s="940"/>
      <c r="AJ42" s="120"/>
      <c r="AK42" s="120"/>
      <c r="AL42" s="120"/>
      <c r="AM42" s="941"/>
      <c r="AN42" s="941"/>
      <c r="AO42" s="640"/>
      <c r="AU42" s="2124"/>
      <c r="AV42" s="2124"/>
      <c r="AW42" s="2117"/>
      <c r="AX42" s="2117"/>
      <c r="AY42" s="2117"/>
      <c r="AZ42" s="2117"/>
      <c r="BA42" s="2117"/>
      <c r="BB42" s="2132"/>
    </row>
    <row r="43" spans="1:58" ht="30" customHeight="1">
      <c r="AU43" s="1495" t="s">
        <v>786</v>
      </c>
      <c r="AV43" s="248" t="s">
        <v>787</v>
      </c>
      <c r="AW43" s="838">
        <f>SUBTOTAL(109,AB17:AB32)</f>
        <v>0</v>
      </c>
      <c r="AX43" s="838">
        <f>SUBTOTAL(109,AD17:AD32)</f>
        <v>0</v>
      </c>
      <c r="AY43" s="838">
        <f>SUBTOTAL(109,AF17:AF32)</f>
        <v>0</v>
      </c>
      <c r="AZ43" s="838">
        <f>SUBTOTAL(109,AH17:AH32)</f>
        <v>0</v>
      </c>
      <c r="BA43" s="838">
        <f t="shared" ref="BA43:BA48" si="2">SUM(AW43:AZ43)</f>
        <v>0</v>
      </c>
      <c r="BB43" s="838">
        <f>AX34</f>
        <v>0</v>
      </c>
    </row>
    <row r="44" spans="1:58" ht="30" customHeight="1">
      <c r="AU44" s="1495"/>
      <c r="AV44" s="445" t="s">
        <v>788</v>
      </c>
      <c r="AW44" s="838">
        <f>SUM(AB33)</f>
        <v>0</v>
      </c>
      <c r="AX44" s="838">
        <f>SUM(AD33)</f>
        <v>0</v>
      </c>
      <c r="AY44" s="838">
        <f>SUM(AF33)</f>
        <v>0</v>
      </c>
      <c r="AZ44" s="838">
        <f>SUM(AH33)</f>
        <v>0</v>
      </c>
      <c r="BA44" s="838">
        <f>SUM(AW44:AZ44)</f>
        <v>0</v>
      </c>
      <c r="BB44" s="838">
        <f>AJ33</f>
        <v>0</v>
      </c>
    </row>
    <row r="45" spans="1:58" ht="30" customHeight="1">
      <c r="AU45" s="1495"/>
      <c r="AV45" s="445" t="s">
        <v>785</v>
      </c>
      <c r="AW45" s="838">
        <f>SUM(AW43:AW44)</f>
        <v>0</v>
      </c>
      <c r="AX45" s="838">
        <f>SUM(AX43:AX44)</f>
        <v>0</v>
      </c>
      <c r="AY45" s="838">
        <f>SUM(AY43:AY44)</f>
        <v>0</v>
      </c>
      <c r="AZ45" s="838">
        <f>SUM(AZ43:AZ44)</f>
        <v>0</v>
      </c>
      <c r="BA45" s="838">
        <f t="shared" si="2"/>
        <v>0</v>
      </c>
      <c r="BB45" s="838">
        <f>SUM(BB43:BB44)</f>
        <v>0</v>
      </c>
    </row>
    <row r="46" spans="1:58" ht="30" customHeight="1">
      <c r="AU46" s="1495" t="s">
        <v>789</v>
      </c>
      <c r="AV46" s="248" t="s">
        <v>787</v>
      </c>
      <c r="AW46" s="878">
        <f>ROUND(AW43*$AZ$35,)</f>
        <v>0</v>
      </c>
      <c r="AX46" s="878">
        <f>ROUND(AX43*$AZ$35*0.9,)</f>
        <v>0</v>
      </c>
      <c r="AY46" s="878">
        <f>ROUND(AY43*$AZ$35*0.8,)</f>
        <v>0</v>
      </c>
      <c r="AZ46" s="878">
        <f>ROUND(AZ43*$AZ$35*0.7,)</f>
        <v>0</v>
      </c>
      <c r="BA46" s="878">
        <f>ROUND(SUM(AW46:AZ46),0)</f>
        <v>0</v>
      </c>
      <c r="BB46" s="878" t="str">
        <f>IF($BB$45&gt;0,ROUND($F$40*$M$40%*BB43/$BB$45,),"")</f>
        <v/>
      </c>
    </row>
    <row r="47" spans="1:58" ht="30" customHeight="1">
      <c r="AU47" s="1495"/>
      <c r="AV47" s="445" t="s">
        <v>788</v>
      </c>
      <c r="AW47" s="878">
        <f>ROUND(AW44*$AZ$35,)</f>
        <v>0</v>
      </c>
      <c r="AX47" s="878">
        <f>ROUND(AX44*$AZ$35*0.9,)</f>
        <v>0</v>
      </c>
      <c r="AY47" s="878">
        <f>ROUND(AY44*$AZ$35*0.8,)</f>
        <v>0</v>
      </c>
      <c r="AZ47" s="878">
        <f>ROUND(AZ44*$AZ$35*0.7,)</f>
        <v>0</v>
      </c>
      <c r="BA47" s="878">
        <f>ROUND(SUM(AW47:AZ47),0)</f>
        <v>0</v>
      </c>
      <c r="BB47" s="878" t="str">
        <f>IF($BB$45&gt;0,ROUND($F$40*$M$40%*BB44/$BB$45,),"")</f>
        <v/>
      </c>
    </row>
    <row r="48" spans="1:58" ht="30" customHeight="1">
      <c r="AU48" s="1495"/>
      <c r="AV48" s="445" t="s">
        <v>785</v>
      </c>
      <c r="AW48" s="878">
        <f>ROUND(SUM(AW46:AW47),0)</f>
        <v>0</v>
      </c>
      <c r="AX48" s="878">
        <f>ROUND(SUM(AX46:AX47),0)</f>
        <v>0</v>
      </c>
      <c r="AY48" s="878">
        <f>ROUND(SUM(AY46:AY47),0)</f>
        <v>0</v>
      </c>
      <c r="AZ48" s="878">
        <f>ROUND(SUM(AZ46:AZ47),0)</f>
        <v>0</v>
      </c>
      <c r="BA48" s="878">
        <f t="shared" si="2"/>
        <v>0</v>
      </c>
      <c r="BB48" s="878">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F40:L40 AK33 AH17 AZ35 AB17 AC17:AC33 AD17 AE17:AE33 AF17 AG17:AG33 AI17:AI33 AK17:AK31 AJ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D18:AD33 AF18:AF33 AH18:AH33 AJ18:AJ33 AB18:AB33" xr:uid="{1B50A9AD-D2A0-496F-B7B0-74C3A587100F}">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803" t="s">
        <v>382</v>
      </c>
    </row>
    <row r="3" spans="2:3" ht="18" customHeight="1">
      <c r="B3" s="2115" t="s">
        <v>790</v>
      </c>
      <c r="C3" s="2115"/>
    </row>
    <row r="4" spans="2:3" ht="18" customHeight="1" thickBot="1">
      <c r="B4" s="942" t="s">
        <v>791</v>
      </c>
      <c r="C4" s="942" t="s">
        <v>792</v>
      </c>
    </row>
    <row r="5" spans="2:3" ht="30.75" customHeight="1" thickTop="1">
      <c r="B5" s="943"/>
      <c r="C5" s="944"/>
    </row>
    <row r="6" spans="2:3" ht="30.75" customHeight="1">
      <c r="B6" s="945"/>
      <c r="C6" s="946"/>
    </row>
    <row r="7" spans="2:3" ht="30.75" customHeight="1">
      <c r="B7" s="945"/>
      <c r="C7" s="946"/>
    </row>
    <row r="8" spans="2:3" ht="30.75" customHeight="1">
      <c r="B8" s="945"/>
      <c r="C8" s="946"/>
    </row>
    <row r="9" spans="2:3" ht="30.75" customHeight="1">
      <c r="B9" s="945"/>
      <c r="C9" s="946"/>
    </row>
    <row r="10" spans="2:3" ht="30.75" customHeight="1">
      <c r="B10" s="945"/>
      <c r="C10" s="946"/>
    </row>
    <row r="11" spans="2:3" ht="30.75" customHeight="1">
      <c r="B11" s="945"/>
      <c r="C11" s="946"/>
    </row>
    <row r="12" spans="2:3" ht="30.75" customHeight="1">
      <c r="B12" s="945"/>
      <c r="C12" s="946"/>
    </row>
    <row r="13" spans="2:3" ht="30.75" customHeight="1">
      <c r="B13" s="945"/>
      <c r="C13" s="946"/>
    </row>
    <row r="14" spans="2:3" ht="30.75" customHeight="1" thickBot="1">
      <c r="B14" s="947"/>
      <c r="C14" s="948"/>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CO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90" customWidth="1"/>
    <col min="20" max="20" width="30.625" style="990" customWidth="1"/>
    <col min="21" max="21" width="4.25" style="990" customWidth="1"/>
    <col min="22" max="22" width="30.625" style="990" customWidth="1"/>
    <col min="23" max="23" width="4.25" style="990" customWidth="1"/>
    <col min="24" max="24" width="30.625" style="990" customWidth="1"/>
    <col min="25" max="25" width="4.25" style="990" customWidth="1"/>
    <col min="26" max="26" width="30.625" style="990" customWidth="1"/>
    <col min="27" max="27" width="4.25" style="990" customWidth="1"/>
    <col min="28" max="28" width="30.625" style="990" customWidth="1"/>
    <col min="29" max="29" width="4.25" style="990" customWidth="1"/>
    <col min="30" max="30" width="30.625" style="990" customWidth="1"/>
    <col min="31" max="31" width="4.25" style="990" customWidth="1"/>
    <col min="32" max="32" width="30.625" style="990" customWidth="1"/>
    <col min="33" max="33" width="4.25" style="990" customWidth="1"/>
    <col min="34" max="34" width="30.625" style="990" customWidth="1"/>
    <col min="35" max="35" width="4.25" style="990" customWidth="1"/>
    <col min="36" max="36" width="30.625" style="990" customWidth="1"/>
    <col min="37" max="37" width="4.25" style="990" customWidth="1"/>
    <col min="38" max="38" width="30.625" style="990" customWidth="1"/>
    <col min="39" max="39" width="4.25" style="990" customWidth="1"/>
    <col min="40" max="40" width="30.625" style="990" customWidth="1"/>
    <col min="41" max="41" width="4.25" style="990" customWidth="1"/>
    <col min="42" max="42" width="30.625" style="990" customWidth="1"/>
    <col min="43" max="43" width="4.25" style="990" customWidth="1"/>
    <col min="44" max="44" width="4.375" style="990" customWidth="1"/>
    <col min="45" max="45" width="30.625" style="990" customWidth="1"/>
    <col min="46" max="46" width="4.25" style="990" customWidth="1"/>
    <col min="47" max="47" width="16.125" style="990" bestFit="1" customWidth="1"/>
    <col min="48" max="48" width="30.625" style="990" customWidth="1"/>
    <col min="49" max="49" width="4.25" style="990" customWidth="1"/>
    <col min="50" max="50" width="30.625" style="990" customWidth="1"/>
    <col min="51" max="51" width="4.25" style="990" customWidth="1"/>
    <col min="52" max="52" width="30.625" style="990" customWidth="1"/>
    <col min="53" max="53" width="4" style="997" customWidth="1"/>
    <col min="54" max="54" width="30.625" style="998" customWidth="1"/>
    <col min="55" max="55" width="4.25" style="990" customWidth="1"/>
    <col min="56" max="56" width="30.625" style="990" customWidth="1"/>
    <col min="57" max="57" width="4.25" style="990" customWidth="1"/>
    <col min="58" max="58" width="8.5" style="990" customWidth="1"/>
    <col min="59" max="59" width="30.625" style="990" customWidth="1"/>
    <col min="60" max="60" width="4.25" style="990" customWidth="1"/>
    <col min="61" max="61" width="30.625" style="990" customWidth="1"/>
    <col min="62" max="62" width="4.25" style="990" customWidth="1"/>
    <col min="63" max="63" width="30.625" style="990" customWidth="1"/>
    <col min="64" max="64" width="4.25" style="2" customWidth="1"/>
    <col min="65" max="65" width="30.625" style="990" customWidth="1"/>
    <col min="66" max="66" width="4.25" style="998" customWidth="1"/>
    <col min="67" max="67" width="30.625" style="998" customWidth="1"/>
    <col min="68" max="68" width="4.25" style="990" customWidth="1"/>
    <col min="69" max="69" width="30.625" style="998" customWidth="1"/>
    <col min="70" max="70" width="4.25" style="998" customWidth="1"/>
    <col min="71" max="71" width="30.625" style="998" customWidth="1"/>
    <col min="72" max="72" width="4.25" style="998" customWidth="1"/>
    <col min="73" max="73" width="30.625" style="998" customWidth="1"/>
    <col min="74" max="74" width="4.25" style="998" customWidth="1"/>
    <col min="75" max="75" width="30.625" style="998" customWidth="1"/>
    <col min="76" max="76" width="4.25" style="998" customWidth="1"/>
    <col min="77" max="77" width="30.625" style="998" customWidth="1"/>
    <col min="78" max="78" width="4.25" style="998" customWidth="1"/>
    <col min="79" max="79" width="30.625" style="998" customWidth="1"/>
    <col min="80" max="80" width="4.25" style="998" customWidth="1"/>
    <col min="81" max="81" width="30.625" style="998" customWidth="1"/>
    <col min="82" max="82" width="4.125" style="147" customWidth="1"/>
    <col min="83" max="83" width="27.25" style="990" bestFit="1" customWidth="1"/>
    <col min="84" max="84" width="30.625" style="990" customWidth="1"/>
    <col min="85" max="85" width="4.25" style="998" customWidth="1"/>
    <col min="86" max="86" width="30.625" style="990" customWidth="1"/>
    <col min="87" max="87" width="4.25" style="30" customWidth="1"/>
    <col min="88" max="88" width="30.625" style="990" customWidth="1"/>
    <col min="89" max="89" width="4" style="990" customWidth="1"/>
    <col min="90" max="90" width="30.625" style="998" customWidth="1"/>
    <col min="91" max="91" width="4.25" style="998" customWidth="1"/>
    <col min="92" max="92" width="30.625" style="990" customWidth="1"/>
    <col min="93" max="93" width="4.25" style="990" customWidth="1"/>
    <col min="94" max="94" width="30.625" style="990" customWidth="1"/>
    <col min="95" max="95" width="4" style="990" customWidth="1"/>
    <col min="96" max="96" width="30.625" style="990" customWidth="1"/>
    <col min="97" max="97" width="4" style="990"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90" bestFit="1" customWidth="1"/>
    <col min="107" max="107" width="6.375" style="990" bestFit="1" customWidth="1"/>
    <col min="108" max="108" width="9.375" style="990" bestFit="1" customWidth="1"/>
    <col min="109" max="109" width="9" style="990"/>
    <col min="110" max="110" width="16.375" style="990" bestFit="1" customWidth="1"/>
    <col min="111" max="111" width="15" style="990" customWidth="1"/>
    <col min="112" max="112" width="6.375" style="990" bestFit="1" customWidth="1"/>
    <col min="113" max="117" width="9" style="990"/>
    <col min="118" max="118" width="19.125" style="990" customWidth="1"/>
    <col min="119" max="16384" width="9" style="2"/>
  </cols>
  <sheetData>
    <row r="1" spans="1:118">
      <c r="A1" s="973" t="s">
        <v>793</v>
      </c>
      <c r="B1" s="973" t="s">
        <v>794</v>
      </c>
      <c r="C1" s="973"/>
      <c r="D1" s="973"/>
      <c r="F1" s="973" t="s">
        <v>794</v>
      </c>
      <c r="G1" s="973"/>
      <c r="H1" s="973" t="s">
        <v>794</v>
      </c>
      <c r="I1" s="973"/>
      <c r="J1" s="973" t="s">
        <v>794</v>
      </c>
      <c r="L1" s="973" t="s">
        <v>795</v>
      </c>
      <c r="M1" s="973"/>
      <c r="N1" s="973" t="s">
        <v>796</v>
      </c>
      <c r="O1" s="973"/>
      <c r="P1" s="973" t="s">
        <v>797</v>
      </c>
      <c r="R1" s="973" t="s">
        <v>798</v>
      </c>
      <c r="S1" s="973"/>
      <c r="T1" s="973" t="s">
        <v>798</v>
      </c>
      <c r="U1" s="973"/>
      <c r="V1" s="973" t="s">
        <v>799</v>
      </c>
      <c r="W1" s="973"/>
      <c r="X1" s="973" t="s">
        <v>798</v>
      </c>
      <c r="Y1" s="973"/>
      <c r="Z1" s="973" t="s">
        <v>798</v>
      </c>
      <c r="AA1" s="973"/>
      <c r="AB1" s="973" t="s">
        <v>798</v>
      </c>
      <c r="AC1" s="973"/>
      <c r="AD1" s="973" t="s">
        <v>798</v>
      </c>
      <c r="AE1" s="973"/>
      <c r="AF1" s="973" t="s">
        <v>798</v>
      </c>
      <c r="AG1" s="973"/>
      <c r="AH1" s="973" t="s">
        <v>798</v>
      </c>
      <c r="AI1" s="973"/>
      <c r="AJ1" s="973" t="s">
        <v>798</v>
      </c>
      <c r="AK1" s="973"/>
      <c r="AL1" s="973" t="s">
        <v>798</v>
      </c>
      <c r="AM1" s="973"/>
      <c r="AN1" s="973" t="s">
        <v>798</v>
      </c>
      <c r="AO1" s="973"/>
      <c r="AP1" s="973" t="s">
        <v>798</v>
      </c>
      <c r="AQ1" s="973"/>
      <c r="AR1" s="2141" t="s">
        <v>800</v>
      </c>
      <c r="AS1" s="2141"/>
      <c r="AT1" s="973"/>
      <c r="AU1" s="2141" t="s">
        <v>801</v>
      </c>
      <c r="AV1" s="2141"/>
      <c r="AW1" s="973"/>
      <c r="AX1" s="2141" t="s">
        <v>800</v>
      </c>
      <c r="AY1" s="2141"/>
      <c r="AZ1" s="2141" t="s">
        <v>800</v>
      </c>
      <c r="BA1" s="2141"/>
      <c r="BB1" s="974" t="s">
        <v>802</v>
      </c>
      <c r="BC1" s="973"/>
      <c r="BD1" s="973" t="s">
        <v>803</v>
      </c>
      <c r="BE1" s="973"/>
      <c r="BF1" s="2141" t="s">
        <v>804</v>
      </c>
      <c r="BG1" s="2141"/>
      <c r="BH1" s="973"/>
      <c r="BI1" s="973" t="s">
        <v>803</v>
      </c>
      <c r="BJ1" s="973"/>
      <c r="BK1" s="973" t="s">
        <v>805</v>
      </c>
      <c r="BM1" s="973" t="s">
        <v>806</v>
      </c>
      <c r="BN1" s="974"/>
      <c r="BO1" s="973" t="s">
        <v>807</v>
      </c>
      <c r="BP1" s="973"/>
      <c r="BQ1" s="973" t="s">
        <v>808</v>
      </c>
      <c r="BR1" s="974"/>
      <c r="BS1" s="973" t="s">
        <v>807</v>
      </c>
      <c r="BT1" s="974"/>
      <c r="BU1" s="973" t="s">
        <v>808</v>
      </c>
      <c r="BV1" s="974"/>
      <c r="BW1" s="973" t="s">
        <v>809</v>
      </c>
      <c r="BX1" s="974"/>
      <c r="BY1" s="973" t="s">
        <v>810</v>
      </c>
      <c r="BZ1" s="974"/>
      <c r="CA1" s="973" t="s">
        <v>808</v>
      </c>
      <c r="CB1" s="974"/>
      <c r="CC1" s="973" t="s">
        <v>807</v>
      </c>
      <c r="CD1" s="661"/>
      <c r="CE1" s="2141" t="s">
        <v>811</v>
      </c>
      <c r="CF1" s="2141"/>
      <c r="CG1" s="974"/>
      <c r="CH1" s="973" t="s">
        <v>807</v>
      </c>
      <c r="CI1" s="659"/>
      <c r="CJ1" s="973" t="s">
        <v>810</v>
      </c>
      <c r="CK1" s="973"/>
      <c r="CL1" s="974" t="s">
        <v>812</v>
      </c>
      <c r="CM1" s="974"/>
      <c r="CN1" s="973" t="s">
        <v>813</v>
      </c>
      <c r="CO1" s="973"/>
      <c r="CP1" s="973" t="s">
        <v>814</v>
      </c>
      <c r="CQ1" s="973"/>
      <c r="CR1" s="973" t="s">
        <v>815</v>
      </c>
      <c r="CS1" s="973"/>
      <c r="CT1" s="973" t="s">
        <v>816</v>
      </c>
      <c r="CU1" s="975"/>
      <c r="CV1" s="659" t="s">
        <v>817</v>
      </c>
      <c r="CW1" s="659"/>
      <c r="CX1" s="976"/>
      <c r="CY1" s="659"/>
      <c r="CZ1" s="975"/>
      <c r="DA1" s="659" t="s">
        <v>817</v>
      </c>
      <c r="DB1" s="975"/>
      <c r="DC1" s="975"/>
      <c r="DD1" s="975"/>
      <c r="DE1" s="973"/>
      <c r="DF1" s="659" t="s">
        <v>817</v>
      </c>
      <c r="DG1" s="973"/>
      <c r="DH1" s="973"/>
      <c r="DI1" s="973"/>
      <c r="DJ1" s="973"/>
      <c r="DK1" s="973" t="s">
        <v>818</v>
      </c>
      <c r="DL1" s="973"/>
      <c r="DM1" s="973"/>
      <c r="DN1" s="973" t="s">
        <v>819</v>
      </c>
    </row>
    <row r="2" spans="1:118">
      <c r="A2" s="973" t="s">
        <v>820</v>
      </c>
      <c r="B2" s="973"/>
      <c r="C2" s="973"/>
      <c r="D2" s="973"/>
      <c r="F2" s="973"/>
      <c r="G2" s="973"/>
      <c r="H2" s="973"/>
      <c r="I2" s="973"/>
      <c r="J2" s="973"/>
      <c r="L2" s="973" t="s">
        <v>821</v>
      </c>
      <c r="M2" s="973"/>
      <c r="N2" s="973" t="s">
        <v>822</v>
      </c>
      <c r="O2" s="973"/>
      <c r="P2" s="973" t="s">
        <v>823</v>
      </c>
      <c r="R2" s="973" t="s">
        <v>824</v>
      </c>
      <c r="S2" s="973"/>
      <c r="T2" s="973" t="s">
        <v>824</v>
      </c>
      <c r="U2" s="973"/>
      <c r="V2" s="973" t="s">
        <v>824</v>
      </c>
      <c r="W2" s="973"/>
      <c r="X2" s="973" t="s">
        <v>824</v>
      </c>
      <c r="Y2" s="973"/>
      <c r="Z2" s="973" t="s">
        <v>824</v>
      </c>
      <c r="AA2" s="973"/>
      <c r="AB2" s="973" t="s">
        <v>824</v>
      </c>
      <c r="AC2" s="973"/>
      <c r="AD2" s="973" t="s">
        <v>824</v>
      </c>
      <c r="AE2" s="973"/>
      <c r="AF2" s="973" t="s">
        <v>824</v>
      </c>
      <c r="AG2" s="973"/>
      <c r="AH2" s="973" t="s">
        <v>824</v>
      </c>
      <c r="AI2" s="973"/>
      <c r="AJ2" s="973" t="s">
        <v>824</v>
      </c>
      <c r="AK2" s="973"/>
      <c r="AL2" s="973" t="s">
        <v>824</v>
      </c>
      <c r="AM2" s="973"/>
      <c r="AN2" s="973" t="s">
        <v>824</v>
      </c>
      <c r="AO2" s="973"/>
      <c r="AP2" s="973" t="s">
        <v>824</v>
      </c>
      <c r="AQ2" s="973"/>
      <c r="AR2" s="2141" t="s">
        <v>491</v>
      </c>
      <c r="AS2" s="2141"/>
      <c r="AT2" s="973"/>
      <c r="AU2" s="2141" t="s">
        <v>491</v>
      </c>
      <c r="AV2" s="2141"/>
      <c r="AW2" s="973"/>
      <c r="AX2" s="973" t="s">
        <v>491</v>
      </c>
      <c r="AY2" s="973"/>
      <c r="AZ2" s="973" t="s">
        <v>491</v>
      </c>
      <c r="BA2" s="977"/>
      <c r="BB2" s="974"/>
      <c r="BC2" s="973"/>
      <c r="BD2" s="973" t="s">
        <v>547</v>
      </c>
      <c r="BE2" s="973"/>
      <c r="BF2" s="2141" t="s">
        <v>547</v>
      </c>
      <c r="BG2" s="2141"/>
      <c r="BH2" s="973"/>
      <c r="BI2" s="973" t="s">
        <v>547</v>
      </c>
      <c r="BJ2" s="973"/>
      <c r="BK2" s="973" t="s">
        <v>547</v>
      </c>
      <c r="BM2" s="973" t="s">
        <v>573</v>
      </c>
      <c r="BN2" s="974"/>
      <c r="BO2" s="974" t="s">
        <v>573</v>
      </c>
      <c r="BP2" s="973"/>
      <c r="BQ2" s="974" t="s">
        <v>573</v>
      </c>
      <c r="BR2" s="974"/>
      <c r="BS2" s="974" t="s">
        <v>573</v>
      </c>
      <c r="BT2" s="974"/>
      <c r="BU2" s="974" t="s">
        <v>573</v>
      </c>
      <c r="BV2" s="974"/>
      <c r="BW2" s="974" t="s">
        <v>573</v>
      </c>
      <c r="BX2" s="974"/>
      <c r="BY2" s="974" t="s">
        <v>573</v>
      </c>
      <c r="BZ2" s="974"/>
      <c r="CA2" s="974" t="s">
        <v>573</v>
      </c>
      <c r="CB2" s="974"/>
      <c r="CC2" s="974" t="s">
        <v>573</v>
      </c>
      <c r="CD2" s="661"/>
      <c r="CE2" s="2141" t="s">
        <v>573</v>
      </c>
      <c r="CF2" s="2141"/>
      <c r="CG2" s="974"/>
      <c r="CH2" s="973" t="s">
        <v>573</v>
      </c>
      <c r="CI2" s="659"/>
      <c r="CJ2" s="973" t="s">
        <v>573</v>
      </c>
      <c r="CK2" s="973"/>
      <c r="CL2" s="974" t="s">
        <v>825</v>
      </c>
      <c r="CM2" s="974"/>
      <c r="CN2" s="973" t="s">
        <v>697</v>
      </c>
      <c r="CO2" s="973"/>
      <c r="CP2" s="973" t="s">
        <v>697</v>
      </c>
      <c r="CQ2" s="973"/>
      <c r="CR2" s="973" t="s">
        <v>826</v>
      </c>
      <c r="CS2" s="973"/>
      <c r="CT2" s="973" t="s">
        <v>826</v>
      </c>
      <c r="CU2" s="975"/>
      <c r="CV2" s="659" t="s">
        <v>545</v>
      </c>
      <c r="CW2" s="659"/>
      <c r="CX2" s="976"/>
      <c r="CY2" s="659"/>
      <c r="CZ2" s="975"/>
      <c r="DA2" s="659" t="s">
        <v>827</v>
      </c>
      <c r="DB2" s="975"/>
      <c r="DC2" s="975"/>
      <c r="DD2" s="975"/>
      <c r="DE2" s="973"/>
      <c r="DF2" s="659" t="s">
        <v>828</v>
      </c>
      <c r="DG2" s="973"/>
      <c r="DH2" s="973"/>
      <c r="DI2" s="973"/>
      <c r="DJ2" s="973"/>
      <c r="DK2" s="973"/>
      <c r="DL2" s="973"/>
      <c r="DM2" s="973"/>
      <c r="DN2" s="973"/>
    </row>
    <row r="3" spans="1:118">
      <c r="A3" s="973"/>
      <c r="B3" s="973"/>
      <c r="C3" s="973"/>
      <c r="D3" s="973"/>
      <c r="F3" s="973"/>
      <c r="G3" s="973"/>
      <c r="H3" s="973"/>
      <c r="I3" s="973"/>
      <c r="J3" s="973"/>
      <c r="L3" s="973" t="s">
        <v>829</v>
      </c>
      <c r="M3" s="973"/>
      <c r="N3" s="973" t="s">
        <v>829</v>
      </c>
      <c r="O3" s="973"/>
      <c r="P3" s="973" t="s">
        <v>830</v>
      </c>
      <c r="R3" s="973" t="s">
        <v>831</v>
      </c>
      <c r="S3" s="973"/>
      <c r="T3" s="973" t="s">
        <v>832</v>
      </c>
      <c r="U3" s="973"/>
      <c r="V3" s="973" t="s">
        <v>833</v>
      </c>
      <c r="W3" s="973"/>
      <c r="X3" s="973" t="s">
        <v>833</v>
      </c>
      <c r="Y3" s="973"/>
      <c r="Z3" s="973" t="s">
        <v>833</v>
      </c>
      <c r="AA3" s="973"/>
      <c r="AB3" s="973" t="s">
        <v>833</v>
      </c>
      <c r="AC3" s="973"/>
      <c r="AD3" s="973" t="s">
        <v>833</v>
      </c>
      <c r="AE3" s="973"/>
      <c r="AF3" s="973" t="s">
        <v>833</v>
      </c>
      <c r="AG3" s="973"/>
      <c r="AH3" s="973" t="s">
        <v>833</v>
      </c>
      <c r="AI3" s="973"/>
      <c r="AJ3" s="973" t="s">
        <v>833</v>
      </c>
      <c r="AK3" s="973"/>
      <c r="AL3" s="973" t="s">
        <v>833</v>
      </c>
      <c r="AM3" s="973"/>
      <c r="AN3" s="973" t="s">
        <v>833</v>
      </c>
      <c r="AO3" s="973"/>
      <c r="AP3" s="973" t="s">
        <v>833</v>
      </c>
      <c r="AQ3" s="973"/>
      <c r="AR3" s="973"/>
      <c r="AS3" s="973"/>
      <c r="AT3" s="973"/>
      <c r="AU3" s="973"/>
      <c r="AV3" s="973"/>
      <c r="AW3" s="973"/>
      <c r="AX3" s="973"/>
      <c r="AY3" s="973"/>
      <c r="AZ3" s="973"/>
      <c r="BA3" s="977"/>
      <c r="BB3" s="974"/>
      <c r="BC3" s="973"/>
      <c r="BD3" s="973"/>
      <c r="BE3" s="973"/>
      <c r="BF3" s="973"/>
      <c r="BG3" s="973"/>
      <c r="BH3" s="973"/>
      <c r="BI3" s="973"/>
      <c r="BJ3" s="973"/>
      <c r="BK3" s="973"/>
      <c r="BM3" s="973"/>
      <c r="BN3" s="974"/>
      <c r="BO3" s="974"/>
      <c r="BP3" s="973"/>
      <c r="BQ3" s="974"/>
      <c r="BR3" s="974"/>
      <c r="BS3" s="974"/>
      <c r="BT3" s="974"/>
      <c r="BU3" s="974"/>
      <c r="BV3" s="974"/>
      <c r="BW3" s="974"/>
      <c r="BX3" s="974"/>
      <c r="BY3" s="974"/>
      <c r="BZ3" s="974"/>
      <c r="CA3" s="974"/>
      <c r="CB3" s="974"/>
      <c r="CC3" s="974"/>
      <c r="CD3" s="661"/>
      <c r="CE3" s="973"/>
      <c r="CF3" s="973"/>
      <c r="CG3" s="974"/>
      <c r="CH3" s="973"/>
      <c r="CI3" s="659"/>
      <c r="CJ3" s="973"/>
      <c r="CK3" s="973"/>
      <c r="CL3" s="974"/>
      <c r="CM3" s="974"/>
      <c r="CN3" s="973" t="s">
        <v>834</v>
      </c>
      <c r="CO3" s="973"/>
      <c r="CP3" s="973" t="s">
        <v>834</v>
      </c>
      <c r="CQ3" s="973"/>
      <c r="CR3" s="973" t="s">
        <v>835</v>
      </c>
      <c r="CS3" s="973"/>
      <c r="CT3" s="973" t="s">
        <v>836</v>
      </c>
      <c r="CU3" s="975"/>
      <c r="CV3" s="975"/>
      <c r="CW3" s="659"/>
      <c r="CX3" s="978"/>
      <c r="CY3" s="975"/>
      <c r="CZ3" s="975"/>
      <c r="DA3" s="975"/>
      <c r="DB3" s="975"/>
      <c r="DC3" s="975"/>
      <c r="DD3" s="975"/>
      <c r="DE3" s="973"/>
      <c r="DF3" s="973"/>
      <c r="DG3" s="973"/>
      <c r="DH3" s="973"/>
      <c r="DI3" s="973"/>
      <c r="DJ3" s="973"/>
      <c r="DK3" s="973"/>
      <c r="DL3" s="973"/>
      <c r="DM3" s="973"/>
      <c r="DN3" s="973"/>
    </row>
    <row r="4" spans="1:118" ht="27" customHeight="1">
      <c r="A4" s="979" t="s">
        <v>837</v>
      </c>
      <c r="B4" s="980" t="s">
        <v>10</v>
      </c>
      <c r="C4" s="981" t="s">
        <v>838</v>
      </c>
      <c r="D4" s="981" t="s">
        <v>839</v>
      </c>
      <c r="F4" s="980" t="s">
        <v>13</v>
      </c>
      <c r="G4" s="979"/>
      <c r="H4" s="980" t="s">
        <v>17</v>
      </c>
      <c r="I4" s="979"/>
      <c r="J4" s="980" t="s">
        <v>18</v>
      </c>
      <c r="L4" s="980" t="s">
        <v>840</v>
      </c>
      <c r="M4" s="979"/>
      <c r="N4" s="980" t="s">
        <v>841</v>
      </c>
      <c r="O4" s="979"/>
      <c r="P4" s="980" t="s">
        <v>842</v>
      </c>
      <c r="R4" s="980" t="s">
        <v>843</v>
      </c>
      <c r="S4" s="982"/>
      <c r="T4" s="980" t="s">
        <v>844</v>
      </c>
      <c r="U4" s="982"/>
      <c r="V4" s="980" t="s">
        <v>845</v>
      </c>
      <c r="W4" s="982"/>
      <c r="X4" s="980" t="s">
        <v>846</v>
      </c>
      <c r="Y4" s="982"/>
      <c r="Z4" s="980" t="s">
        <v>847</v>
      </c>
      <c r="AA4" s="982"/>
      <c r="AB4" s="980" t="s">
        <v>848</v>
      </c>
      <c r="AC4" s="982"/>
      <c r="AD4" s="980" t="s">
        <v>849</v>
      </c>
      <c r="AE4" s="982"/>
      <c r="AF4" s="980" t="s">
        <v>850</v>
      </c>
      <c r="AG4" s="982"/>
      <c r="AH4" s="980" t="s">
        <v>851</v>
      </c>
      <c r="AI4" s="982"/>
      <c r="AJ4" s="980" t="s">
        <v>852</v>
      </c>
      <c r="AK4" s="982"/>
      <c r="AL4" s="980" t="s">
        <v>853</v>
      </c>
      <c r="AM4" s="982"/>
      <c r="AN4" s="980" t="s">
        <v>854</v>
      </c>
      <c r="AO4" s="982"/>
      <c r="AP4" s="980" t="s">
        <v>855</v>
      </c>
      <c r="AQ4" s="982"/>
      <c r="AR4" s="2142" t="s">
        <v>856</v>
      </c>
      <c r="AS4" s="2142"/>
      <c r="AT4" s="982"/>
      <c r="AU4" s="2142" t="s">
        <v>857</v>
      </c>
      <c r="AV4" s="2142"/>
      <c r="AW4" s="982"/>
      <c r="AX4" s="980" t="s">
        <v>858</v>
      </c>
      <c r="AY4" s="982"/>
      <c r="AZ4" s="980" t="s">
        <v>539</v>
      </c>
      <c r="BA4" s="983"/>
      <c r="BB4" s="984" t="s">
        <v>514</v>
      </c>
      <c r="BC4" s="982"/>
      <c r="BD4" s="980" t="s">
        <v>504</v>
      </c>
      <c r="BE4" s="45"/>
      <c r="BF4" s="2142" t="s">
        <v>859</v>
      </c>
      <c r="BG4" s="2142"/>
      <c r="BH4" s="982"/>
      <c r="BI4" s="980" t="s">
        <v>860</v>
      </c>
      <c r="BJ4" s="982"/>
      <c r="BK4" s="980" t="s">
        <v>539</v>
      </c>
      <c r="BM4" s="980" t="s">
        <v>861</v>
      </c>
      <c r="BN4" s="985"/>
      <c r="BO4" s="984" t="s">
        <v>862</v>
      </c>
      <c r="BP4" s="324"/>
      <c r="BQ4" s="984" t="s">
        <v>863</v>
      </c>
      <c r="BR4" s="324"/>
      <c r="BS4" s="984" t="s">
        <v>864</v>
      </c>
      <c r="BT4" s="324"/>
      <c r="BU4" s="984" t="s">
        <v>865</v>
      </c>
      <c r="BV4" s="324"/>
      <c r="BW4" s="984" t="s">
        <v>866</v>
      </c>
      <c r="BX4" s="324"/>
      <c r="BY4" s="984" t="s">
        <v>867</v>
      </c>
      <c r="BZ4" s="324"/>
      <c r="CA4" s="984" t="s">
        <v>868</v>
      </c>
      <c r="CB4" s="324"/>
      <c r="CC4" s="984" t="s">
        <v>869</v>
      </c>
      <c r="CD4" s="324"/>
      <c r="CE4" s="2142" t="s">
        <v>870</v>
      </c>
      <c r="CF4" s="2142"/>
      <c r="CG4" s="324"/>
      <c r="CH4" s="980" t="s">
        <v>860</v>
      </c>
      <c r="CI4" s="20"/>
      <c r="CJ4" s="980" t="s">
        <v>539</v>
      </c>
      <c r="CK4" s="982"/>
      <c r="CL4" s="984" t="s">
        <v>871</v>
      </c>
      <c r="CM4" s="985"/>
      <c r="CN4" s="980" t="s">
        <v>872</v>
      </c>
      <c r="CO4" s="982"/>
      <c r="CP4" s="980" t="s">
        <v>873</v>
      </c>
      <c r="CQ4" s="982"/>
      <c r="CR4" s="980" t="s">
        <v>874</v>
      </c>
      <c r="CS4" s="982"/>
      <c r="CT4" s="980" t="s">
        <v>875</v>
      </c>
      <c r="CU4" s="34"/>
      <c r="CV4" s="986"/>
      <c r="CW4" s="986"/>
      <c r="CX4" s="987" t="s">
        <v>178</v>
      </c>
      <c r="CY4" s="988" t="s">
        <v>817</v>
      </c>
      <c r="CZ4" s="34"/>
      <c r="DA4" s="2143"/>
      <c r="DB4" s="2143"/>
      <c r="DC4" s="988" t="s">
        <v>876</v>
      </c>
      <c r="DD4" s="988" t="s">
        <v>817</v>
      </c>
      <c r="DE4" s="982"/>
      <c r="DF4" s="2144"/>
      <c r="DG4" s="2144"/>
      <c r="DH4" s="988" t="s">
        <v>877</v>
      </c>
      <c r="DI4" s="988" t="s">
        <v>817</v>
      </c>
      <c r="DJ4" s="982"/>
      <c r="DK4" s="989" t="s">
        <v>878</v>
      </c>
      <c r="DL4" s="989" t="s">
        <v>879</v>
      </c>
      <c r="DM4" s="982"/>
      <c r="DN4" s="980" t="s">
        <v>880</v>
      </c>
    </row>
    <row r="5" spans="1:118" ht="27" customHeight="1">
      <c r="A5" s="990"/>
      <c r="B5" s="991" t="s">
        <v>881</v>
      </c>
      <c r="C5" s="992">
        <v>60</v>
      </c>
      <c r="D5" s="993" t="s">
        <v>882</v>
      </c>
      <c r="F5" s="994" t="s">
        <v>883</v>
      </c>
      <c r="G5" s="990"/>
      <c r="H5" s="994" t="s">
        <v>884</v>
      </c>
      <c r="I5" s="990"/>
      <c r="J5" s="994" t="s">
        <v>885</v>
      </c>
      <c r="L5" s="994" t="s">
        <v>886</v>
      </c>
      <c r="M5" s="990"/>
      <c r="N5" s="994" t="s">
        <v>887</v>
      </c>
      <c r="O5" s="990"/>
      <c r="P5" s="994" t="s">
        <v>888</v>
      </c>
      <c r="R5" s="994" t="s">
        <v>889</v>
      </c>
      <c r="T5" s="994" t="s">
        <v>890</v>
      </c>
      <c r="V5" s="994" t="s">
        <v>891</v>
      </c>
      <c r="X5" s="994" t="s">
        <v>892</v>
      </c>
      <c r="Z5" s="994" t="s">
        <v>893</v>
      </c>
      <c r="AB5" s="994" t="s">
        <v>894</v>
      </c>
      <c r="AD5" s="995" t="s">
        <v>895</v>
      </c>
      <c r="AF5" s="995" t="s">
        <v>896</v>
      </c>
      <c r="AH5" s="995" t="s">
        <v>897</v>
      </c>
      <c r="AJ5" s="995" t="s">
        <v>898</v>
      </c>
      <c r="AL5" s="996" t="s">
        <v>899</v>
      </c>
      <c r="AN5" s="995" t="s">
        <v>900</v>
      </c>
      <c r="AP5" s="995" t="s">
        <v>901</v>
      </c>
      <c r="AR5" s="2145" t="s">
        <v>902</v>
      </c>
      <c r="AS5" s="994" t="s">
        <v>903</v>
      </c>
      <c r="AU5" s="2155" t="s">
        <v>904</v>
      </c>
      <c r="AV5" s="994" t="s">
        <v>905</v>
      </c>
      <c r="AX5" s="950" t="s">
        <v>906</v>
      </c>
      <c r="AZ5" s="950" t="s">
        <v>907</v>
      </c>
      <c r="BB5" s="995" t="s">
        <v>908</v>
      </c>
      <c r="BD5" s="950" t="s">
        <v>909</v>
      </c>
      <c r="BF5" s="2146" t="s">
        <v>910</v>
      </c>
      <c r="BG5" s="949" t="s">
        <v>911</v>
      </c>
      <c r="BI5" s="950" t="s">
        <v>912</v>
      </c>
      <c r="BK5" s="950" t="s">
        <v>913</v>
      </c>
      <c r="BM5" s="950" t="s">
        <v>914</v>
      </c>
      <c r="BO5" s="999" t="s">
        <v>915</v>
      </c>
      <c r="BQ5" s="999" t="s">
        <v>915</v>
      </c>
      <c r="BS5" s="999" t="s">
        <v>915</v>
      </c>
      <c r="BU5" s="999" t="s">
        <v>915</v>
      </c>
      <c r="BW5" s="999" t="s">
        <v>915</v>
      </c>
      <c r="BY5" s="999" t="s">
        <v>915</v>
      </c>
      <c r="CA5" s="999" t="s">
        <v>915</v>
      </c>
      <c r="CC5" s="999" t="s">
        <v>915</v>
      </c>
      <c r="CE5" s="2148" t="s">
        <v>916</v>
      </c>
      <c r="CF5" s="994" t="s">
        <v>917</v>
      </c>
      <c r="CH5" s="950" t="s">
        <v>912</v>
      </c>
      <c r="CJ5" s="950" t="s">
        <v>913</v>
      </c>
      <c r="CL5" s="999" t="s">
        <v>918</v>
      </c>
      <c r="CN5" s="950" t="s">
        <v>919</v>
      </c>
      <c r="CO5" s="954"/>
      <c r="CP5" s="950" t="s">
        <v>920</v>
      </c>
      <c r="CR5" s="950" t="s">
        <v>921</v>
      </c>
      <c r="CT5" s="950" t="s">
        <v>922</v>
      </c>
      <c r="CV5" s="1000" t="s">
        <v>923</v>
      </c>
      <c r="CW5" s="970" t="s">
        <v>924</v>
      </c>
      <c r="CX5" s="836" t="str">
        <f>LEFT(CV5,3)&amp;MID(CW5,2,2)</f>
        <v>[011]</v>
      </c>
      <c r="CY5" s="972">
        <v>22</v>
      </c>
      <c r="DA5" s="2146" t="s">
        <v>925</v>
      </c>
      <c r="DB5" s="951" t="s">
        <v>911</v>
      </c>
      <c r="DC5" s="952" t="s">
        <v>926</v>
      </c>
      <c r="DD5" s="644">
        <v>4</v>
      </c>
      <c r="DF5" s="1001" t="s">
        <v>927</v>
      </c>
      <c r="DG5" s="1002" t="s">
        <v>928</v>
      </c>
      <c r="DH5" s="1003" t="str">
        <f t="shared" ref="DH5:DH47" si="0">LEFT(DF5,3)&amp;MID(DG5,2,2)</f>
        <v>[016]</v>
      </c>
      <c r="DI5" s="1003">
        <v>7</v>
      </c>
      <c r="DK5" s="1002">
        <v>1</v>
      </c>
      <c r="DL5" s="1002">
        <v>1</v>
      </c>
      <c r="DN5" s="1002" t="s">
        <v>929</v>
      </c>
    </row>
    <row r="6" spans="1:118" ht="27" customHeight="1">
      <c r="A6" s="990"/>
      <c r="B6" s="1004" t="s">
        <v>930</v>
      </c>
      <c r="C6" s="1005">
        <v>45</v>
      </c>
      <c r="D6" s="1006" t="s">
        <v>931</v>
      </c>
      <c r="F6" s="1007" t="s">
        <v>14</v>
      </c>
      <c r="G6" s="990"/>
      <c r="H6" s="1007" t="s">
        <v>932</v>
      </c>
      <c r="I6" s="990"/>
      <c r="J6" s="1008" t="s">
        <v>933</v>
      </c>
      <c r="L6" s="1007" t="s">
        <v>934</v>
      </c>
      <c r="M6" s="990"/>
      <c r="N6" s="1007" t="s">
        <v>935</v>
      </c>
      <c r="O6" s="990"/>
      <c r="P6" s="1007" t="s">
        <v>936</v>
      </c>
      <c r="R6" s="1008" t="s">
        <v>937</v>
      </c>
      <c r="T6" s="1008" t="s">
        <v>938</v>
      </c>
      <c r="V6" s="1008" t="s">
        <v>939</v>
      </c>
      <c r="X6" s="1008" t="s">
        <v>940</v>
      </c>
      <c r="Z6" s="1008" t="s">
        <v>941</v>
      </c>
      <c r="AB6" s="1008" t="s">
        <v>942</v>
      </c>
      <c r="AD6" s="1009" t="s">
        <v>943</v>
      </c>
      <c r="AF6" s="1009" t="s">
        <v>944</v>
      </c>
      <c r="AH6" s="1009" t="s">
        <v>945</v>
      </c>
      <c r="AJ6" s="1009" t="s">
        <v>946</v>
      </c>
      <c r="AL6" s="1009" t="s">
        <v>947</v>
      </c>
      <c r="AN6" s="1009" t="s">
        <v>948</v>
      </c>
      <c r="AP6" s="1009" t="s">
        <v>949</v>
      </c>
      <c r="AR6" s="2145"/>
      <c r="AS6" s="1008" t="s">
        <v>950</v>
      </c>
      <c r="AU6" s="2156"/>
      <c r="AV6" s="1008" t="s">
        <v>951</v>
      </c>
      <c r="AX6" s="956" t="s">
        <v>952</v>
      </c>
      <c r="AZ6" s="954" t="s">
        <v>953</v>
      </c>
      <c r="BB6" s="967" t="s">
        <v>954</v>
      </c>
      <c r="BD6" s="956" t="s">
        <v>955</v>
      </c>
      <c r="BF6" s="1927"/>
      <c r="BG6" s="953" t="s">
        <v>956</v>
      </c>
      <c r="BI6" s="956" t="s">
        <v>952</v>
      </c>
      <c r="BK6" s="956" t="s">
        <v>957</v>
      </c>
      <c r="BM6" s="954" t="s">
        <v>958</v>
      </c>
      <c r="BO6" s="1010" t="s">
        <v>959</v>
      </c>
      <c r="BQ6" s="1010" t="s">
        <v>959</v>
      </c>
      <c r="BS6" s="1010" t="s">
        <v>959</v>
      </c>
      <c r="BU6" s="1010" t="s">
        <v>959</v>
      </c>
      <c r="BW6" s="1010" t="s">
        <v>959</v>
      </c>
      <c r="BY6" s="1010" t="s">
        <v>959</v>
      </c>
      <c r="CA6" s="1010" t="s">
        <v>959</v>
      </c>
      <c r="CC6" s="1010" t="s">
        <v>959</v>
      </c>
      <c r="CE6" s="2149"/>
      <c r="CF6" s="1008" t="s">
        <v>960</v>
      </c>
      <c r="CH6" s="956" t="s">
        <v>952</v>
      </c>
      <c r="CJ6" s="956" t="s">
        <v>957</v>
      </c>
      <c r="CL6" s="1011" t="s">
        <v>961</v>
      </c>
      <c r="CN6" s="956" t="s">
        <v>962</v>
      </c>
      <c r="CO6" s="954"/>
      <c r="CP6" s="954" t="s">
        <v>963</v>
      </c>
      <c r="CR6" s="956" t="s">
        <v>964</v>
      </c>
      <c r="CT6" s="954" t="s">
        <v>965</v>
      </c>
      <c r="CV6" s="1012" t="s">
        <v>923</v>
      </c>
      <c r="CW6" s="970" t="s">
        <v>966</v>
      </c>
      <c r="CX6" s="836" t="str">
        <f>LEFT(CV6,3)&amp;MID(CW6,2,2)</f>
        <v>[012]</v>
      </c>
      <c r="CY6" s="972">
        <v>22</v>
      </c>
      <c r="DA6" s="1927"/>
      <c r="DB6" s="951" t="s">
        <v>956</v>
      </c>
      <c r="DC6" s="952" t="s">
        <v>967</v>
      </c>
      <c r="DD6" s="644">
        <v>4</v>
      </c>
      <c r="DF6" s="1001" t="s">
        <v>968</v>
      </c>
      <c r="DG6" s="1002" t="s">
        <v>928</v>
      </c>
      <c r="DH6" s="1003" t="str">
        <f t="shared" si="0"/>
        <v>[026]</v>
      </c>
      <c r="DI6" s="1003">
        <v>7</v>
      </c>
      <c r="DK6" s="1002">
        <v>2</v>
      </c>
      <c r="DL6" s="1002">
        <v>0.5</v>
      </c>
    </row>
    <row r="7" spans="1:118" ht="27" customHeight="1">
      <c r="A7" s="990"/>
      <c r="B7" s="1004" t="s">
        <v>969</v>
      </c>
      <c r="C7" s="1005">
        <v>50</v>
      </c>
      <c r="D7" s="1006" t="s">
        <v>970</v>
      </c>
      <c r="F7" s="990"/>
      <c r="G7" s="990"/>
      <c r="H7" s="990"/>
      <c r="I7" s="990"/>
      <c r="J7" s="1008" t="s">
        <v>971</v>
      </c>
      <c r="R7" s="1007" t="s">
        <v>972</v>
      </c>
      <c r="T7" s="1008" t="s">
        <v>973</v>
      </c>
      <c r="V7" s="1008" t="s">
        <v>974</v>
      </c>
      <c r="X7" s="1008" t="s">
        <v>975</v>
      </c>
      <c r="Z7" s="1008" t="s">
        <v>976</v>
      </c>
      <c r="AB7" s="1008" t="s">
        <v>977</v>
      </c>
      <c r="AD7" s="1009" t="s">
        <v>978</v>
      </c>
      <c r="AF7" s="1009" t="s">
        <v>979</v>
      </c>
      <c r="AH7" s="1009" t="s">
        <v>980</v>
      </c>
      <c r="AJ7" s="1009" t="s">
        <v>981</v>
      </c>
      <c r="AL7" s="1013" t="s">
        <v>982</v>
      </c>
      <c r="AN7" s="1009" t="s">
        <v>983</v>
      </c>
      <c r="AP7" s="1009" t="s">
        <v>984</v>
      </c>
      <c r="AR7" s="2145"/>
      <c r="AS7" s="1008" t="s">
        <v>985</v>
      </c>
      <c r="AU7" s="2156"/>
      <c r="AV7" s="1008" t="s">
        <v>986</v>
      </c>
      <c r="AX7" s="147"/>
      <c r="AZ7" s="956" t="s">
        <v>987</v>
      </c>
      <c r="BB7" s="1014"/>
      <c r="BF7" s="2147"/>
      <c r="BG7" s="955" t="s">
        <v>988</v>
      </c>
      <c r="BI7" s="147"/>
      <c r="BK7" s="147"/>
      <c r="BM7" s="954" t="s">
        <v>989</v>
      </c>
      <c r="BO7" s="1010" t="s">
        <v>990</v>
      </c>
      <c r="BQ7" s="1010" t="s">
        <v>990</v>
      </c>
      <c r="BS7" s="1010" t="s">
        <v>990</v>
      </c>
      <c r="BU7" s="1010" t="s">
        <v>990</v>
      </c>
      <c r="BW7" s="1010" t="s">
        <v>990</v>
      </c>
      <c r="BY7" s="1010" t="s">
        <v>990</v>
      </c>
      <c r="CA7" s="1010" t="s">
        <v>990</v>
      </c>
      <c r="CC7" s="1010" t="s">
        <v>990</v>
      </c>
      <c r="CE7" s="2150"/>
      <c r="CF7" s="1007" t="s">
        <v>991</v>
      </c>
      <c r="CJ7" s="2"/>
      <c r="CL7" s="2"/>
      <c r="CN7" s="2"/>
      <c r="CO7" s="2"/>
      <c r="CP7" s="954" t="s">
        <v>992</v>
      </c>
      <c r="CT7" s="954" t="s">
        <v>993</v>
      </c>
      <c r="CV7" s="1012" t="s">
        <v>923</v>
      </c>
      <c r="CW7" s="1015" t="s">
        <v>994</v>
      </c>
      <c r="CX7" s="836" t="str">
        <f t="shared" ref="CX7:CX91" si="1">LEFT(CV7,3)&amp;MID(CW7,2,2)</f>
        <v>[013]</v>
      </c>
      <c r="CY7" s="972">
        <v>47</v>
      </c>
      <c r="DA7" s="2147"/>
      <c r="DB7" s="951" t="s">
        <v>988</v>
      </c>
      <c r="DC7" s="952" t="s">
        <v>995</v>
      </c>
      <c r="DD7" s="644">
        <v>5</v>
      </c>
      <c r="DF7" s="1001" t="s">
        <v>996</v>
      </c>
      <c r="DG7" s="1002" t="s">
        <v>928</v>
      </c>
      <c r="DH7" s="1003" t="str">
        <f t="shared" si="0"/>
        <v>[036]</v>
      </c>
      <c r="DI7" s="1003">
        <v>7</v>
      </c>
      <c r="DK7" s="1002">
        <v>3</v>
      </c>
      <c r="DL7" s="1002">
        <v>0.33400000000000002</v>
      </c>
    </row>
    <row r="8" spans="1:118" ht="27" customHeight="1">
      <c r="A8" s="990"/>
      <c r="B8" s="1004" t="s">
        <v>997</v>
      </c>
      <c r="C8" s="1005">
        <v>50</v>
      </c>
      <c r="D8" s="1006" t="s">
        <v>998</v>
      </c>
      <c r="F8" s="990"/>
      <c r="G8" s="990"/>
      <c r="H8" s="990"/>
      <c r="I8" s="990"/>
      <c r="J8" s="1007" t="s">
        <v>999</v>
      </c>
      <c r="T8" s="1008" t="s">
        <v>1000</v>
      </c>
      <c r="V8" s="1008" t="s">
        <v>1001</v>
      </c>
      <c r="X8" s="1008" t="s">
        <v>1002</v>
      </c>
      <c r="Z8" s="1008" t="s">
        <v>1003</v>
      </c>
      <c r="AB8" s="1008" t="s">
        <v>1004</v>
      </c>
      <c r="AD8" s="1009" t="s">
        <v>1005</v>
      </c>
      <c r="AF8" s="1009" t="s">
        <v>1006</v>
      </c>
      <c r="AH8" s="1009" t="s">
        <v>1007</v>
      </c>
      <c r="AJ8" s="1009" t="s">
        <v>1008</v>
      </c>
      <c r="AL8" s="1013" t="s">
        <v>1009</v>
      </c>
      <c r="AN8" s="1009" t="s">
        <v>1010</v>
      </c>
      <c r="AP8" s="1009" t="s">
        <v>1011</v>
      </c>
      <c r="AR8" s="2145"/>
      <c r="AS8" s="1008" t="s">
        <v>1012</v>
      </c>
      <c r="AU8" s="2156"/>
      <c r="AV8" s="1008" t="s">
        <v>1013</v>
      </c>
      <c r="AX8" s="147"/>
      <c r="AZ8" s="147"/>
      <c r="BC8" s="147"/>
      <c r="BD8" s="147"/>
      <c r="BF8" s="1927" t="s">
        <v>1014</v>
      </c>
      <c r="BG8" s="953" t="s">
        <v>911</v>
      </c>
      <c r="BI8" s="147"/>
      <c r="BK8" s="147"/>
      <c r="BM8" s="954" t="s">
        <v>1015</v>
      </c>
      <c r="BO8" s="1010" t="s">
        <v>1016</v>
      </c>
      <c r="BQ8" s="1010" t="s">
        <v>1016</v>
      </c>
      <c r="BS8" s="1010" t="s">
        <v>1016</v>
      </c>
      <c r="BU8" s="1010" t="s">
        <v>1016</v>
      </c>
      <c r="BW8" s="1010" t="s">
        <v>1016</v>
      </c>
      <c r="BY8" s="1010" t="s">
        <v>1016</v>
      </c>
      <c r="CA8" s="1010" t="s">
        <v>1016</v>
      </c>
      <c r="CC8" s="1010" t="s">
        <v>1016</v>
      </c>
      <c r="CE8" s="2148" t="s">
        <v>1017</v>
      </c>
      <c r="CF8" s="994" t="s">
        <v>1018</v>
      </c>
      <c r="CJ8" s="2"/>
      <c r="CL8" s="2"/>
      <c r="CN8" s="2"/>
      <c r="CO8" s="2"/>
      <c r="CP8" s="956" t="s">
        <v>1019</v>
      </c>
      <c r="CT8" s="954" t="s">
        <v>1020</v>
      </c>
      <c r="CV8" s="1012" t="s">
        <v>923</v>
      </c>
      <c r="CW8" s="1015" t="s">
        <v>1013</v>
      </c>
      <c r="CX8" s="836" t="str">
        <f t="shared" si="1"/>
        <v>[014]</v>
      </c>
      <c r="CY8" s="952">
        <v>38</v>
      </c>
      <c r="DA8" s="1927" t="s">
        <v>1021</v>
      </c>
      <c r="DB8" s="951" t="s">
        <v>911</v>
      </c>
      <c r="DC8" s="952" t="s">
        <v>1022</v>
      </c>
      <c r="DD8" s="644">
        <v>4</v>
      </c>
      <c r="DF8" s="1016" t="s">
        <v>1023</v>
      </c>
      <c r="DG8" s="1001" t="s">
        <v>1024</v>
      </c>
      <c r="DH8" s="1003" t="str">
        <f t="shared" si="0"/>
        <v>[041]</v>
      </c>
      <c r="DI8" s="1003">
        <v>7</v>
      </c>
      <c r="DK8" s="1002">
        <v>4</v>
      </c>
      <c r="DL8" s="1002">
        <v>0.25</v>
      </c>
    </row>
    <row r="9" spans="1:118" ht="27" customHeight="1">
      <c r="A9" s="990"/>
      <c r="B9" s="1004" t="s">
        <v>1025</v>
      </c>
      <c r="C9" s="1005">
        <v>60</v>
      </c>
      <c r="D9" s="1006" t="s">
        <v>1026</v>
      </c>
      <c r="T9" s="1008" t="s">
        <v>1027</v>
      </c>
      <c r="V9" s="1008" t="s">
        <v>1028</v>
      </c>
      <c r="X9" s="1008" t="s">
        <v>1029</v>
      </c>
      <c r="Z9" s="1008" t="s">
        <v>1030</v>
      </c>
      <c r="AB9" s="1008" t="s">
        <v>1031</v>
      </c>
      <c r="AD9" s="1009" t="s">
        <v>1032</v>
      </c>
      <c r="AF9" s="1009" t="s">
        <v>1033</v>
      </c>
      <c r="AH9" s="1009" t="s">
        <v>1034</v>
      </c>
      <c r="AJ9" s="1009" t="s">
        <v>1035</v>
      </c>
      <c r="AL9" s="1009" t="s">
        <v>1036</v>
      </c>
      <c r="AN9" s="1009" t="s">
        <v>1037</v>
      </c>
      <c r="AP9" s="1009" t="s">
        <v>1038</v>
      </c>
      <c r="AR9" s="2145"/>
      <c r="AS9" s="1008" t="s">
        <v>1039</v>
      </c>
      <c r="AU9" s="2156"/>
      <c r="AV9" s="957" t="s">
        <v>1064</v>
      </c>
      <c r="AX9" s="2"/>
      <c r="AZ9" s="147"/>
      <c r="BC9" s="2"/>
      <c r="BD9" s="2"/>
      <c r="BF9" s="1927"/>
      <c r="BG9" s="953" t="s">
        <v>1040</v>
      </c>
      <c r="BI9" s="147"/>
      <c r="BK9" s="147"/>
      <c r="BM9" s="954" t="s">
        <v>1041</v>
      </c>
      <c r="BO9" s="1010" t="s">
        <v>1042</v>
      </c>
      <c r="BQ9" s="1010" t="s">
        <v>1042</v>
      </c>
      <c r="BS9" s="1010" t="s">
        <v>1042</v>
      </c>
      <c r="BU9" s="1010" t="s">
        <v>1043</v>
      </c>
      <c r="BW9" s="1010" t="s">
        <v>1042</v>
      </c>
      <c r="BY9" s="1010" t="s">
        <v>1042</v>
      </c>
      <c r="CA9" s="1010" t="s">
        <v>1042</v>
      </c>
      <c r="CC9" s="1010" t="s">
        <v>1042</v>
      </c>
      <c r="CE9" s="2149"/>
      <c r="CF9" s="1008" t="s">
        <v>1044</v>
      </c>
      <c r="CL9" s="2"/>
      <c r="CN9" s="2"/>
      <c r="CO9" s="2"/>
      <c r="CP9" s="2"/>
      <c r="CT9" s="956" t="s">
        <v>1045</v>
      </c>
      <c r="CV9" s="1012" t="s">
        <v>923</v>
      </c>
      <c r="CW9" s="970" t="s">
        <v>1046</v>
      </c>
      <c r="CX9" s="836" t="str">
        <f t="shared" si="1"/>
        <v>[015]</v>
      </c>
      <c r="CY9" s="952">
        <v>19</v>
      </c>
      <c r="DA9" s="1927"/>
      <c r="DB9" s="951" t="s">
        <v>1040</v>
      </c>
      <c r="DC9" s="952" t="s">
        <v>1047</v>
      </c>
      <c r="DD9" s="644">
        <v>6</v>
      </c>
      <c r="DF9" s="1017" t="s">
        <v>1023</v>
      </c>
      <c r="DG9" s="1001" t="s">
        <v>1048</v>
      </c>
      <c r="DH9" s="1003" t="str">
        <f t="shared" si="0"/>
        <v>[042]</v>
      </c>
      <c r="DI9" s="1003">
        <v>7</v>
      </c>
      <c r="DK9" s="1002">
        <v>5</v>
      </c>
      <c r="DL9" s="1002">
        <v>0.2</v>
      </c>
    </row>
    <row r="10" spans="1:118" ht="27" customHeight="1">
      <c r="A10" s="990"/>
      <c r="B10" s="1004" t="s">
        <v>1049</v>
      </c>
      <c r="C10" s="1005">
        <v>60</v>
      </c>
      <c r="D10" s="1006" t="s">
        <v>1050</v>
      </c>
      <c r="T10" s="957" t="s">
        <v>1051</v>
      </c>
      <c r="V10" s="957" t="s">
        <v>1052</v>
      </c>
      <c r="X10" s="957" t="s">
        <v>1053</v>
      </c>
      <c r="Z10" s="957" t="s">
        <v>1054</v>
      </c>
      <c r="AB10" s="957" t="s">
        <v>1055</v>
      </c>
      <c r="AD10" s="957" t="s">
        <v>1056</v>
      </c>
      <c r="AF10" s="957" t="s">
        <v>1057</v>
      </c>
      <c r="AH10" s="957" t="s">
        <v>1058</v>
      </c>
      <c r="AJ10" s="957" t="s">
        <v>1059</v>
      </c>
      <c r="AL10" s="1009" t="s">
        <v>1060</v>
      </c>
      <c r="AN10" s="957" t="s">
        <v>1061</v>
      </c>
      <c r="AP10" s="958" t="s">
        <v>1062</v>
      </c>
      <c r="AQ10" s="147"/>
      <c r="AR10" s="2145"/>
      <c r="AS10" s="957" t="s">
        <v>1063</v>
      </c>
      <c r="AU10" s="2156"/>
      <c r="AV10" s="957" t="s">
        <v>1088</v>
      </c>
      <c r="AX10" s="147"/>
      <c r="AZ10" s="147"/>
      <c r="BC10" s="147"/>
      <c r="BD10" s="147"/>
      <c r="BF10" s="2147"/>
      <c r="BG10" s="955" t="s">
        <v>1065</v>
      </c>
      <c r="BI10" s="147"/>
      <c r="BK10" s="147"/>
      <c r="BM10" s="954" t="s">
        <v>1066</v>
      </c>
      <c r="BO10" s="1010" t="s">
        <v>1067</v>
      </c>
      <c r="BQ10" s="1010" t="s">
        <v>1067</v>
      </c>
      <c r="BS10" s="1010" t="s">
        <v>1067</v>
      </c>
      <c r="BU10" s="1010" t="s">
        <v>1067</v>
      </c>
      <c r="BW10" s="1010" t="s">
        <v>1067</v>
      </c>
      <c r="BY10" s="1010" t="s">
        <v>1067</v>
      </c>
      <c r="CA10" s="1010" t="s">
        <v>1043</v>
      </c>
      <c r="CC10" s="1010" t="s">
        <v>1068</v>
      </c>
      <c r="CE10" s="2150"/>
      <c r="CF10" s="1007" t="s">
        <v>1069</v>
      </c>
      <c r="CV10" s="1012" t="s">
        <v>923</v>
      </c>
      <c r="CW10" s="1015" t="s">
        <v>1070</v>
      </c>
      <c r="CX10" s="836" t="str">
        <f t="shared" si="1"/>
        <v>[016]</v>
      </c>
      <c r="CY10" s="952">
        <v>20</v>
      </c>
      <c r="DA10" s="2147"/>
      <c r="DB10" s="951" t="s">
        <v>1065</v>
      </c>
      <c r="DC10" s="952" t="s">
        <v>1071</v>
      </c>
      <c r="DD10" s="644">
        <v>3</v>
      </c>
      <c r="DF10" s="1018" t="s">
        <v>1023</v>
      </c>
      <c r="DG10" s="1001" t="s">
        <v>1072</v>
      </c>
      <c r="DH10" s="1003" t="str">
        <f t="shared" si="0"/>
        <v>[043]</v>
      </c>
      <c r="DI10" s="1003">
        <v>7</v>
      </c>
      <c r="DK10" s="1002">
        <v>6</v>
      </c>
      <c r="DL10" s="1002">
        <v>0.16700000000000001</v>
      </c>
    </row>
    <row r="11" spans="1:118" ht="27" customHeight="1">
      <c r="A11" s="990"/>
      <c r="B11" s="1004" t="s">
        <v>1073</v>
      </c>
      <c r="C11" s="1005">
        <v>60</v>
      </c>
      <c r="D11" s="1006" t="s">
        <v>1074</v>
      </c>
      <c r="T11" s="957" t="s">
        <v>1075</v>
      </c>
      <c r="V11" s="957" t="s">
        <v>1076</v>
      </c>
      <c r="X11" s="957" t="s">
        <v>1077</v>
      </c>
      <c r="Z11" s="957" t="s">
        <v>1078</v>
      </c>
      <c r="AB11" s="957" t="s">
        <v>1079</v>
      </c>
      <c r="AD11" s="957" t="s">
        <v>1080</v>
      </c>
      <c r="AF11" s="957" t="s">
        <v>1081</v>
      </c>
      <c r="AH11" s="957" t="s">
        <v>1082</v>
      </c>
      <c r="AJ11" s="957" t="s">
        <v>1083</v>
      </c>
      <c r="AL11" s="1009" t="s">
        <v>1084</v>
      </c>
      <c r="AN11" s="957" t="s">
        <v>1085</v>
      </c>
      <c r="AP11" s="957" t="s">
        <v>1086</v>
      </c>
      <c r="AQ11" s="147"/>
      <c r="AR11" s="2145"/>
      <c r="AS11" s="957" t="s">
        <v>1087</v>
      </c>
      <c r="AU11" s="2156"/>
      <c r="AV11" s="1008" t="s">
        <v>1324</v>
      </c>
      <c r="AX11" s="147"/>
      <c r="AZ11" s="147"/>
      <c r="BC11" s="147"/>
      <c r="BD11" s="147"/>
      <c r="BF11" s="147"/>
      <c r="BG11" s="147"/>
      <c r="BI11" s="147"/>
      <c r="BK11" s="147"/>
      <c r="BM11" s="954" t="s">
        <v>1089</v>
      </c>
      <c r="BO11" s="1010" t="s">
        <v>1090</v>
      </c>
      <c r="BQ11" s="1010" t="s">
        <v>1090</v>
      </c>
      <c r="BS11" s="1010" t="s">
        <v>1090</v>
      </c>
      <c r="BU11" s="1010" t="s">
        <v>1090</v>
      </c>
      <c r="BW11" s="1010" t="s">
        <v>1090</v>
      </c>
      <c r="BY11" s="1010" t="s">
        <v>1090</v>
      </c>
      <c r="CA11" s="1010" t="s">
        <v>1067</v>
      </c>
      <c r="CC11" s="1010" t="s">
        <v>1067</v>
      </c>
      <c r="CE11" s="2148" t="s">
        <v>1091</v>
      </c>
      <c r="CF11" s="994" t="s">
        <v>1092</v>
      </c>
      <c r="CV11" s="1012" t="s">
        <v>1093</v>
      </c>
      <c r="CW11" s="1015" t="s">
        <v>1094</v>
      </c>
      <c r="CX11" s="836" t="str">
        <f t="shared" si="1"/>
        <v>[018]</v>
      </c>
      <c r="CY11" s="952">
        <v>34</v>
      </c>
      <c r="DF11" s="1001" t="s">
        <v>1330</v>
      </c>
      <c r="DG11" s="1002" t="s">
        <v>928</v>
      </c>
      <c r="DH11" s="1003" t="str">
        <f t="shared" si="0"/>
        <v>[086]</v>
      </c>
      <c r="DI11" s="1003">
        <v>7</v>
      </c>
      <c r="DK11" s="1002">
        <v>7</v>
      </c>
      <c r="DL11" s="1002">
        <v>0.14299999999999999</v>
      </c>
    </row>
    <row r="12" spans="1:118" ht="27" customHeight="1">
      <c r="A12" s="990"/>
      <c r="B12" s="1004" t="s">
        <v>11</v>
      </c>
      <c r="C12" s="1005">
        <v>60</v>
      </c>
      <c r="D12" s="1006" t="s">
        <v>1095</v>
      </c>
      <c r="T12" s="957" t="s">
        <v>1096</v>
      </c>
      <c r="V12" s="957" t="s">
        <v>1097</v>
      </c>
      <c r="X12" s="957" t="s">
        <v>1098</v>
      </c>
      <c r="Z12" s="957" t="s">
        <v>1099</v>
      </c>
      <c r="AB12" s="957" t="s">
        <v>1100</v>
      </c>
      <c r="AD12" s="957" t="s">
        <v>1101</v>
      </c>
      <c r="AF12" s="957" t="s">
        <v>1102</v>
      </c>
      <c r="AH12" s="957" t="s">
        <v>1103</v>
      </c>
      <c r="AJ12" s="957" t="s">
        <v>1104</v>
      </c>
      <c r="AL12" s="1009" t="s">
        <v>1105</v>
      </c>
      <c r="AN12" s="957" t="s">
        <v>1106</v>
      </c>
      <c r="AP12" s="957" t="s">
        <v>1107</v>
      </c>
      <c r="AQ12" s="147"/>
      <c r="AR12" s="2145"/>
      <c r="AS12" s="959" t="s">
        <v>1108</v>
      </c>
      <c r="AU12" s="2156"/>
      <c r="AV12" s="957" t="s">
        <v>1325</v>
      </c>
      <c r="AX12" s="147"/>
      <c r="AZ12" s="147"/>
      <c r="BC12" s="147"/>
      <c r="BD12" s="147"/>
      <c r="BF12" s="147"/>
      <c r="BG12" s="147"/>
      <c r="BI12" s="147"/>
      <c r="BK12" s="147"/>
      <c r="BM12" s="954" t="s">
        <v>1110</v>
      </c>
      <c r="BO12" s="1010" t="s">
        <v>1111</v>
      </c>
      <c r="BQ12" s="1010" t="s">
        <v>1111</v>
      </c>
      <c r="BS12" s="1010" t="s">
        <v>1111</v>
      </c>
      <c r="BU12" s="1010" t="s">
        <v>1111</v>
      </c>
      <c r="BW12" s="1010" t="s">
        <v>1111</v>
      </c>
      <c r="BY12" s="1010" t="s">
        <v>1111</v>
      </c>
      <c r="CA12" s="1010" t="s">
        <v>1090</v>
      </c>
      <c r="CC12" s="1010" t="s">
        <v>1090</v>
      </c>
      <c r="CE12" s="2150"/>
      <c r="CF12" s="1007" t="s">
        <v>1112</v>
      </c>
      <c r="CV12" s="1012" t="s">
        <v>1093</v>
      </c>
      <c r="CW12" s="1019" t="s">
        <v>1327</v>
      </c>
      <c r="CX12" s="1020" t="str">
        <f t="shared" si="1"/>
        <v>[019]</v>
      </c>
      <c r="CY12" s="1021">
        <v>19</v>
      </c>
      <c r="DF12" s="1001" t="s">
        <v>1331</v>
      </c>
      <c r="DG12" s="1002" t="s">
        <v>928</v>
      </c>
      <c r="DH12" s="1003" t="str">
        <f t="shared" si="0"/>
        <v>[096]</v>
      </c>
      <c r="DI12" s="1003">
        <v>7</v>
      </c>
      <c r="DK12" s="1002">
        <v>8</v>
      </c>
      <c r="DL12" s="1002">
        <v>0.125</v>
      </c>
    </row>
    <row r="13" spans="1:118" ht="27" customHeight="1">
      <c r="A13" s="990"/>
      <c r="B13" s="1004" t="s">
        <v>1113</v>
      </c>
      <c r="C13" s="1005">
        <v>100</v>
      </c>
      <c r="D13" s="1006" t="s">
        <v>1114</v>
      </c>
      <c r="T13" s="957" t="s">
        <v>1115</v>
      </c>
      <c r="V13" s="957" t="s">
        <v>1116</v>
      </c>
      <c r="X13" s="957" t="s">
        <v>1117</v>
      </c>
      <c r="Z13" s="957" t="s">
        <v>1118</v>
      </c>
      <c r="AB13" s="957" t="s">
        <v>1119</v>
      </c>
      <c r="AD13" s="957" t="s">
        <v>1120</v>
      </c>
      <c r="AF13" s="957" t="s">
        <v>1121</v>
      </c>
      <c r="AH13" s="1009" t="s">
        <v>1060</v>
      </c>
      <c r="AJ13" s="957" t="s">
        <v>1122</v>
      </c>
      <c r="AL13" s="1009" t="s">
        <v>1123</v>
      </c>
      <c r="AN13" s="957" t="s">
        <v>1124</v>
      </c>
      <c r="AP13" s="957" t="s">
        <v>1125</v>
      </c>
      <c r="AQ13" s="147"/>
      <c r="AR13" s="2145" t="s">
        <v>1126</v>
      </c>
      <c r="AS13" s="960" t="s">
        <v>1127</v>
      </c>
      <c r="AU13" s="2157"/>
      <c r="AV13" s="959" t="s">
        <v>1326</v>
      </c>
      <c r="AX13" s="147"/>
      <c r="BF13" s="147"/>
      <c r="BG13" s="147"/>
      <c r="BI13" s="147"/>
      <c r="BK13" s="147"/>
      <c r="BM13" s="954" t="s">
        <v>1128</v>
      </c>
      <c r="BO13" s="1010" t="s">
        <v>1129</v>
      </c>
      <c r="BQ13" s="1010" t="s">
        <v>1129</v>
      </c>
      <c r="BS13" s="1010" t="s">
        <v>1129</v>
      </c>
      <c r="BU13" s="1010" t="s">
        <v>1130</v>
      </c>
      <c r="BW13" s="1010" t="s">
        <v>1131</v>
      </c>
      <c r="BY13" s="1010" t="s">
        <v>1129</v>
      </c>
      <c r="CA13" s="1010" t="s">
        <v>1111</v>
      </c>
      <c r="CC13" s="1010" t="s">
        <v>1111</v>
      </c>
      <c r="CE13" s="2148" t="s">
        <v>1132</v>
      </c>
      <c r="CF13" s="1008" t="s">
        <v>1133</v>
      </c>
      <c r="CV13" s="1012" t="s">
        <v>1093</v>
      </c>
      <c r="CW13" s="1019" t="s">
        <v>1328</v>
      </c>
      <c r="CX13" s="1020" t="str">
        <f>LEFT(CV13,3)&amp;MID(CW13,2,3)</f>
        <v>[0110]</v>
      </c>
      <c r="CY13" s="1021">
        <v>27</v>
      </c>
      <c r="DF13" s="1001" t="s">
        <v>1332</v>
      </c>
      <c r="DG13" s="1002" t="s">
        <v>928</v>
      </c>
      <c r="DH13" s="1003" t="str">
        <f t="shared" si="0"/>
        <v>[106]</v>
      </c>
      <c r="DI13" s="1003">
        <v>7</v>
      </c>
      <c r="DK13" s="1002">
        <v>9</v>
      </c>
      <c r="DL13" s="1002">
        <v>0.112</v>
      </c>
    </row>
    <row r="14" spans="1:118" ht="27" customHeight="1">
      <c r="A14" s="990"/>
      <c r="B14" s="1004" t="s">
        <v>1134</v>
      </c>
      <c r="C14" s="1005">
        <v>100</v>
      </c>
      <c r="D14" s="1006" t="s">
        <v>1135</v>
      </c>
      <c r="T14" s="957" t="s">
        <v>1136</v>
      </c>
      <c r="V14" s="957" t="s">
        <v>1137</v>
      </c>
      <c r="X14" s="957" t="s">
        <v>1138</v>
      </c>
      <c r="Z14" s="957" t="s">
        <v>1139</v>
      </c>
      <c r="AB14" s="957" t="s">
        <v>1140</v>
      </c>
      <c r="AD14" s="957" t="s">
        <v>1141</v>
      </c>
      <c r="AF14" s="957" t="s">
        <v>1142</v>
      </c>
      <c r="AH14" s="1009" t="s">
        <v>1084</v>
      </c>
      <c r="AJ14" s="957" t="s">
        <v>1143</v>
      </c>
      <c r="AL14" s="967" t="s">
        <v>1144</v>
      </c>
      <c r="AN14" s="957" t="s">
        <v>1145</v>
      </c>
      <c r="AP14" s="958" t="s">
        <v>1146</v>
      </c>
      <c r="AQ14" s="147"/>
      <c r="AR14" s="2145"/>
      <c r="AS14" s="957" t="s">
        <v>1147</v>
      </c>
      <c r="AU14" s="2155" t="s">
        <v>1109</v>
      </c>
      <c r="AV14" s="994" t="s">
        <v>905</v>
      </c>
      <c r="AX14" s="147"/>
      <c r="BF14" s="147"/>
      <c r="BG14" s="147"/>
      <c r="BI14" s="147"/>
      <c r="BK14" s="147"/>
      <c r="BM14" s="954" t="s">
        <v>1148</v>
      </c>
      <c r="BO14" s="1010" t="s">
        <v>1149</v>
      </c>
      <c r="BQ14" s="1010" t="s">
        <v>1149</v>
      </c>
      <c r="BS14" s="1010" t="s">
        <v>1149</v>
      </c>
      <c r="BU14" s="1010" t="s">
        <v>1150</v>
      </c>
      <c r="BW14" s="1010" t="s">
        <v>1150</v>
      </c>
      <c r="BY14" s="1010" t="s">
        <v>1149</v>
      </c>
      <c r="CA14" s="1010" t="s">
        <v>1151</v>
      </c>
      <c r="CC14" s="1010" t="s">
        <v>1152</v>
      </c>
      <c r="CE14" s="2150"/>
      <c r="CF14" s="1007" t="s">
        <v>1153</v>
      </c>
      <c r="CV14" s="1022" t="s">
        <v>923</v>
      </c>
      <c r="CW14" s="1019" t="s">
        <v>1329</v>
      </c>
      <c r="CX14" s="1020" t="str">
        <f>LEFT(CV14,3)&amp;MID(CW14,2,3)</f>
        <v>[0111]</v>
      </c>
      <c r="CY14" s="1021">
        <v>34</v>
      </c>
      <c r="DF14" s="1001" t="s">
        <v>1154</v>
      </c>
      <c r="DG14" s="1002" t="s">
        <v>928</v>
      </c>
      <c r="DH14" s="1003" t="str">
        <f t="shared" si="0"/>
        <v>[126]</v>
      </c>
      <c r="DI14" s="1003">
        <v>7</v>
      </c>
      <c r="DK14" s="1002">
        <v>10</v>
      </c>
      <c r="DL14" s="1002">
        <v>0.1</v>
      </c>
    </row>
    <row r="15" spans="1:118" ht="27" customHeight="1">
      <c r="A15" s="990"/>
      <c r="B15" s="1004" t="s">
        <v>1155</v>
      </c>
      <c r="C15" s="1005">
        <v>1000</v>
      </c>
      <c r="D15" s="1006" t="s">
        <v>1156</v>
      </c>
      <c r="T15" s="957" t="s">
        <v>1157</v>
      </c>
      <c r="V15" s="957" t="s">
        <v>1158</v>
      </c>
      <c r="X15" s="957" t="s">
        <v>1159</v>
      </c>
      <c r="Z15" s="957" t="s">
        <v>1159</v>
      </c>
      <c r="AB15" s="957" t="s">
        <v>1159</v>
      </c>
      <c r="AD15" s="1009" t="s">
        <v>1060</v>
      </c>
      <c r="AF15" s="1009" t="s">
        <v>1060</v>
      </c>
      <c r="AH15" s="1009" t="s">
        <v>1105</v>
      </c>
      <c r="AJ15" s="957" t="s">
        <v>1160</v>
      </c>
      <c r="AL15" s="2"/>
      <c r="AN15" s="957" t="s">
        <v>1161</v>
      </c>
      <c r="AP15" s="957" t="s">
        <v>1162</v>
      </c>
      <c r="AQ15" s="147"/>
      <c r="AR15" s="2145"/>
      <c r="AS15" s="957" t="s">
        <v>1163</v>
      </c>
      <c r="AU15" s="2156"/>
      <c r="AV15" s="1008" t="s">
        <v>951</v>
      </c>
      <c r="AX15" s="147"/>
      <c r="BF15" s="147"/>
      <c r="BG15" s="147"/>
      <c r="BI15" s="147"/>
      <c r="BM15" s="954" t="s">
        <v>1164</v>
      </c>
      <c r="BO15" s="1010" t="s">
        <v>1165</v>
      </c>
      <c r="BQ15" s="1010" t="s">
        <v>1166</v>
      </c>
      <c r="BS15" s="1010" t="s">
        <v>1167</v>
      </c>
      <c r="BU15" s="1010" t="s">
        <v>1168</v>
      </c>
      <c r="BW15" s="1010" t="s">
        <v>1168</v>
      </c>
      <c r="BY15" s="1010" t="s">
        <v>1169</v>
      </c>
      <c r="CA15" s="1010" t="s">
        <v>1150</v>
      </c>
      <c r="CC15" s="1010" t="s">
        <v>1170</v>
      </c>
      <c r="CE15" s="2148" t="s">
        <v>1171</v>
      </c>
      <c r="CF15" s="960" t="s">
        <v>1172</v>
      </c>
      <c r="CV15" s="1000" t="s">
        <v>950</v>
      </c>
      <c r="CW15" s="971" t="s">
        <v>924</v>
      </c>
      <c r="CX15" s="836" t="str">
        <f t="shared" si="1"/>
        <v>[021]</v>
      </c>
      <c r="CY15" s="972">
        <v>24</v>
      </c>
      <c r="DF15" s="1016" t="s">
        <v>1173</v>
      </c>
      <c r="DG15" s="1002" t="s">
        <v>1174</v>
      </c>
      <c r="DH15" s="1003" t="str">
        <f t="shared" si="0"/>
        <v>[131]</v>
      </c>
      <c r="DI15" s="1003">
        <v>7</v>
      </c>
      <c r="DK15" s="1002">
        <v>11</v>
      </c>
      <c r="DL15" s="1002">
        <v>9.0999999999999998E-2</v>
      </c>
    </row>
    <row r="16" spans="1:118" ht="27" customHeight="1">
      <c r="A16" s="990"/>
      <c r="B16" s="1023" t="s">
        <v>1175</v>
      </c>
      <c r="C16" s="1024">
        <v>1000</v>
      </c>
      <c r="D16" s="1025" t="s">
        <v>1176</v>
      </c>
      <c r="T16" s="957" t="s">
        <v>1177</v>
      </c>
      <c r="V16" s="957" t="s">
        <v>1178</v>
      </c>
      <c r="X16" s="957" t="s">
        <v>1179</v>
      </c>
      <c r="Z16" s="957" t="s">
        <v>1179</v>
      </c>
      <c r="AB16" s="957" t="s">
        <v>1179</v>
      </c>
      <c r="AD16" s="1009" t="s">
        <v>1084</v>
      </c>
      <c r="AF16" s="1009" t="s">
        <v>1084</v>
      </c>
      <c r="AH16" s="1009" t="s">
        <v>1123</v>
      </c>
      <c r="AJ16" s="957" t="s">
        <v>1180</v>
      </c>
      <c r="AL16" s="2"/>
      <c r="AN16" s="957" t="s">
        <v>1181</v>
      </c>
      <c r="AP16" s="957" t="s">
        <v>1182</v>
      </c>
      <c r="AR16" s="2145"/>
      <c r="AS16" s="1008" t="s">
        <v>1183</v>
      </c>
      <c r="AU16" s="2156"/>
      <c r="AV16" s="1008" t="s">
        <v>986</v>
      </c>
      <c r="AX16" s="147"/>
      <c r="AZ16" s="147"/>
      <c r="BC16" s="147"/>
      <c r="BD16" s="147"/>
      <c r="BE16" s="147"/>
      <c r="BF16" s="147"/>
      <c r="BG16" s="147"/>
      <c r="BH16" s="147"/>
      <c r="BI16" s="147"/>
      <c r="BJ16" s="147"/>
      <c r="BK16" s="147"/>
      <c r="BM16" s="954" t="s">
        <v>1184</v>
      </c>
      <c r="BO16" s="1010" t="s">
        <v>1185</v>
      </c>
      <c r="BQ16" s="1010" t="s">
        <v>1165</v>
      </c>
      <c r="BS16" s="1010" t="s">
        <v>1165</v>
      </c>
      <c r="BU16" s="1010" t="s">
        <v>1186</v>
      </c>
      <c r="BW16" s="1010" t="s">
        <v>1186</v>
      </c>
      <c r="BY16" s="1010" t="s">
        <v>1165</v>
      </c>
      <c r="CA16" s="1010" t="s">
        <v>1168</v>
      </c>
      <c r="CC16" s="1010" t="s">
        <v>1150</v>
      </c>
      <c r="CE16" s="2153"/>
      <c r="CF16" s="957" t="s">
        <v>1187</v>
      </c>
      <c r="CM16" s="147"/>
      <c r="CV16" s="1012" t="s">
        <v>950</v>
      </c>
      <c r="CW16" s="971" t="s">
        <v>966</v>
      </c>
      <c r="CX16" s="836" t="str">
        <f t="shared" si="1"/>
        <v>[022]</v>
      </c>
      <c r="CY16" s="972">
        <v>24</v>
      </c>
      <c r="DF16" s="1017" t="s">
        <v>1173</v>
      </c>
      <c r="DG16" s="1002" t="s">
        <v>1188</v>
      </c>
      <c r="DH16" s="1003" t="str">
        <f t="shared" si="0"/>
        <v>[132]</v>
      </c>
      <c r="DI16" s="1003">
        <v>7</v>
      </c>
      <c r="DK16" s="1002">
        <v>12</v>
      </c>
      <c r="DL16" s="1002">
        <v>8.4000000000000005E-2</v>
      </c>
    </row>
    <row r="17" spans="2:116" ht="27" customHeight="1">
      <c r="T17" s="957" t="s">
        <v>1189</v>
      </c>
      <c r="V17" s="957" t="s">
        <v>1190</v>
      </c>
      <c r="X17" s="957" t="s">
        <v>1191</v>
      </c>
      <c r="Z17" s="957" t="s">
        <v>1191</v>
      </c>
      <c r="AB17" s="957" t="s">
        <v>1191</v>
      </c>
      <c r="AD17" s="1009" t="s">
        <v>1105</v>
      </c>
      <c r="AF17" s="1009" t="s">
        <v>1105</v>
      </c>
      <c r="AH17" s="967" t="s">
        <v>1144</v>
      </c>
      <c r="AJ17" s="1009" t="s">
        <v>1060</v>
      </c>
      <c r="AL17" s="2"/>
      <c r="AN17" s="1009" t="s">
        <v>1060</v>
      </c>
      <c r="AP17" s="958" t="s">
        <v>1192</v>
      </c>
      <c r="AR17" s="2145"/>
      <c r="AS17" s="1008" t="s">
        <v>1193</v>
      </c>
      <c r="AU17" s="2156"/>
      <c r="AV17" s="1008" t="s">
        <v>1013</v>
      </c>
      <c r="AZ17" s="147"/>
      <c r="BC17" s="147"/>
      <c r="BD17" s="147"/>
      <c r="BE17" s="147"/>
      <c r="BF17" s="147"/>
      <c r="BG17" s="147"/>
      <c r="BH17" s="147"/>
      <c r="BI17" s="147"/>
      <c r="BJ17" s="147"/>
      <c r="BK17" s="147"/>
      <c r="BM17" s="954" t="s">
        <v>1194</v>
      </c>
      <c r="BO17" s="1010" t="s">
        <v>1150</v>
      </c>
      <c r="BQ17" s="1010" t="s">
        <v>1185</v>
      </c>
      <c r="BS17" s="1010" t="s">
        <v>1185</v>
      </c>
      <c r="BU17" s="1011" t="s">
        <v>1195</v>
      </c>
      <c r="BW17" s="1011" t="s">
        <v>1195</v>
      </c>
      <c r="BY17" s="1010" t="s">
        <v>1185</v>
      </c>
      <c r="CA17" s="1010" t="s">
        <v>1186</v>
      </c>
      <c r="CC17" s="1010" t="s">
        <v>1168</v>
      </c>
      <c r="CE17" s="2153"/>
      <c r="CF17" s="1008" t="s">
        <v>1196</v>
      </c>
      <c r="CM17" s="147"/>
      <c r="CV17" s="1012" t="s">
        <v>950</v>
      </c>
      <c r="CW17" s="1026" t="s">
        <v>994</v>
      </c>
      <c r="CX17" s="836" t="str">
        <f t="shared" si="1"/>
        <v>[023]</v>
      </c>
      <c r="CY17" s="972">
        <v>50</v>
      </c>
      <c r="DF17" s="1018" t="s">
        <v>1173</v>
      </c>
      <c r="DG17" s="1002" t="s">
        <v>1197</v>
      </c>
      <c r="DH17" s="1003" t="str">
        <f t="shared" si="0"/>
        <v>[133]</v>
      </c>
      <c r="DI17" s="1003">
        <v>7</v>
      </c>
      <c r="DK17" s="1002">
        <v>13</v>
      </c>
      <c r="DL17" s="1002">
        <v>7.6999999999999999E-2</v>
      </c>
    </row>
    <row r="18" spans="2:116" ht="27" customHeight="1">
      <c r="B18" s="990"/>
      <c r="C18" s="981" t="s">
        <v>10</v>
      </c>
      <c r="T18" s="957" t="s">
        <v>1198</v>
      </c>
      <c r="V18" s="957" t="s">
        <v>1199</v>
      </c>
      <c r="X18" s="957" t="s">
        <v>1200</v>
      </c>
      <c r="Z18" s="957" t="s">
        <v>1200</v>
      </c>
      <c r="AB18" s="957" t="s">
        <v>1200</v>
      </c>
      <c r="AD18" s="1009" t="s">
        <v>1123</v>
      </c>
      <c r="AF18" s="1009" t="s">
        <v>1123</v>
      </c>
      <c r="AH18" s="2"/>
      <c r="AJ18" s="1009" t="s">
        <v>1084</v>
      </c>
      <c r="AL18" s="2"/>
      <c r="AN18" s="1009" t="s">
        <v>1084</v>
      </c>
      <c r="AP18" s="1009" t="s">
        <v>1060</v>
      </c>
      <c r="AR18" s="2145"/>
      <c r="AS18" s="1008" t="s">
        <v>1201</v>
      </c>
      <c r="AU18" s="2156"/>
      <c r="AV18" s="957" t="s">
        <v>1064</v>
      </c>
      <c r="AZ18" s="147"/>
      <c r="BC18" s="147"/>
      <c r="BD18" s="147"/>
      <c r="BE18" s="147"/>
      <c r="BF18" s="147"/>
      <c r="BG18" s="147"/>
      <c r="BH18" s="147"/>
      <c r="BI18" s="147"/>
      <c r="BJ18" s="147"/>
      <c r="BK18" s="147"/>
      <c r="BM18" s="954" t="s">
        <v>1202</v>
      </c>
      <c r="BN18" s="147"/>
      <c r="BO18" s="1010" t="s">
        <v>1168</v>
      </c>
      <c r="BQ18" s="1010" t="s">
        <v>1150</v>
      </c>
      <c r="BS18" s="1010" t="s">
        <v>1150</v>
      </c>
      <c r="BU18" s="2"/>
      <c r="BW18" s="2"/>
      <c r="BY18" s="1010" t="s">
        <v>1150</v>
      </c>
      <c r="CA18" s="1011" t="s">
        <v>1195</v>
      </c>
      <c r="CC18" s="1010" t="s">
        <v>1186</v>
      </c>
      <c r="CE18" s="2153"/>
      <c r="CF18" s="1008" t="s">
        <v>1203</v>
      </c>
      <c r="CM18" s="147"/>
      <c r="CV18" s="1012" t="s">
        <v>950</v>
      </c>
      <c r="CW18" s="1026" t="s">
        <v>1013</v>
      </c>
      <c r="CX18" s="836" t="str">
        <f t="shared" si="1"/>
        <v>[024]</v>
      </c>
      <c r="CY18" s="952">
        <v>41</v>
      </c>
      <c r="DF18" s="1001" t="s">
        <v>1333</v>
      </c>
      <c r="DG18" s="1002" t="s">
        <v>928</v>
      </c>
      <c r="DH18" s="1003" t="str">
        <f t="shared" si="0"/>
        <v>[146]</v>
      </c>
      <c r="DI18" s="1003">
        <v>7</v>
      </c>
      <c r="DK18" s="1002">
        <v>14</v>
      </c>
      <c r="DL18" s="1002">
        <v>7.1999999999999995E-2</v>
      </c>
    </row>
    <row r="19" spans="2:116" ht="27" customHeight="1">
      <c r="B19" s="990"/>
      <c r="C19" s="1027" t="str">
        <f>指標部入力!B12</f>
        <v>[82]大豆</v>
      </c>
      <c r="T19" s="957" t="s">
        <v>1204</v>
      </c>
      <c r="V19" s="957" t="s">
        <v>1205</v>
      </c>
      <c r="X19" s="959" t="s">
        <v>1206</v>
      </c>
      <c r="Z19" s="959" t="s">
        <v>1206</v>
      </c>
      <c r="AB19" s="959" t="s">
        <v>1206</v>
      </c>
      <c r="AD19" s="967" t="s">
        <v>1144</v>
      </c>
      <c r="AF19" s="967" t="s">
        <v>1144</v>
      </c>
      <c r="AH19" s="2"/>
      <c r="AJ19" s="1009" t="s">
        <v>1105</v>
      </c>
      <c r="AL19" s="2"/>
      <c r="AN19" s="1009" t="s">
        <v>1105</v>
      </c>
      <c r="AP19" s="1009" t="s">
        <v>1084</v>
      </c>
      <c r="AR19" s="2145"/>
      <c r="AS19" s="1008" t="s">
        <v>1207</v>
      </c>
      <c r="AU19" s="2156"/>
      <c r="AV19" s="957" t="s">
        <v>1088</v>
      </c>
      <c r="BF19" s="147"/>
      <c r="BG19" s="147"/>
      <c r="BH19" s="147"/>
      <c r="BI19" s="147"/>
      <c r="BJ19" s="147"/>
      <c r="BK19" s="147"/>
      <c r="BM19" s="954" t="s">
        <v>1209</v>
      </c>
      <c r="BN19" s="147"/>
      <c r="BO19" s="1010" t="s">
        <v>1186</v>
      </c>
      <c r="BQ19" s="1010" t="s">
        <v>1168</v>
      </c>
      <c r="BS19" s="1010" t="s">
        <v>1168</v>
      </c>
      <c r="BU19" s="2"/>
      <c r="BW19" s="2"/>
      <c r="BY19" s="1010" t="s">
        <v>1168</v>
      </c>
      <c r="CA19" s="2"/>
      <c r="CC19" s="1011" t="s">
        <v>1195</v>
      </c>
      <c r="CE19" s="2154"/>
      <c r="CF19" s="1007" t="s">
        <v>1210</v>
      </c>
      <c r="CM19" s="147"/>
      <c r="CV19" s="1012" t="s">
        <v>950</v>
      </c>
      <c r="CW19" s="971" t="s">
        <v>1046</v>
      </c>
      <c r="CX19" s="836" t="str">
        <f t="shared" si="1"/>
        <v>[025]</v>
      </c>
      <c r="CY19" s="952">
        <v>22</v>
      </c>
      <c r="DF19" s="1001" t="s">
        <v>1211</v>
      </c>
      <c r="DG19" s="1002" t="s">
        <v>928</v>
      </c>
      <c r="DH19" s="1003" t="str">
        <f t="shared" si="0"/>
        <v>[156]</v>
      </c>
      <c r="DI19" s="1003">
        <v>7</v>
      </c>
      <c r="DK19" s="1002">
        <v>15</v>
      </c>
      <c r="DL19" s="1002">
        <v>6.7000000000000004E-2</v>
      </c>
    </row>
    <row r="20" spans="2:116" ht="27" customHeight="1" thickBot="1">
      <c r="B20" s="990"/>
      <c r="C20" s="990"/>
      <c r="T20" s="957" t="s">
        <v>1212</v>
      </c>
      <c r="V20" s="957" t="s">
        <v>1213</v>
      </c>
      <c r="X20" s="661"/>
      <c r="Z20" s="661"/>
      <c r="AB20" s="661"/>
      <c r="AD20" s="961"/>
      <c r="AF20" s="2"/>
      <c r="AG20" s="2"/>
      <c r="AH20" s="2"/>
      <c r="AI20" s="2"/>
      <c r="AJ20" s="1009" t="s">
        <v>1123</v>
      </c>
      <c r="AK20" s="2"/>
      <c r="AL20" s="2"/>
      <c r="AM20" s="2"/>
      <c r="AN20" s="1009" t="s">
        <v>1123</v>
      </c>
      <c r="AO20" s="2"/>
      <c r="AP20" s="1009" t="s">
        <v>1105</v>
      </c>
      <c r="AR20" s="2145"/>
      <c r="AS20" s="1007" t="s">
        <v>1214</v>
      </c>
      <c r="AU20" s="2156"/>
      <c r="AV20" s="1008" t="s">
        <v>1324</v>
      </c>
      <c r="BF20" s="147"/>
      <c r="BG20" s="147"/>
      <c r="BH20" s="147"/>
      <c r="BI20" s="147"/>
      <c r="BJ20" s="147"/>
      <c r="BK20" s="147"/>
      <c r="BM20" s="954" t="s">
        <v>1215</v>
      </c>
      <c r="BN20" s="147"/>
      <c r="BO20" s="1011" t="s">
        <v>1195</v>
      </c>
      <c r="BQ20" s="1010" t="s">
        <v>1186</v>
      </c>
      <c r="BS20" s="1010" t="s">
        <v>1186</v>
      </c>
      <c r="BU20" s="147"/>
      <c r="BW20" s="147"/>
      <c r="BY20" s="1010" t="s">
        <v>1186</v>
      </c>
      <c r="CA20" s="2"/>
      <c r="CC20" s="2"/>
      <c r="CE20" s="1028" t="s">
        <v>914</v>
      </c>
      <c r="CF20" s="1007" t="s">
        <v>928</v>
      </c>
      <c r="CM20" s="147"/>
      <c r="CV20" s="1012" t="s">
        <v>950</v>
      </c>
      <c r="CW20" s="1026" t="s">
        <v>1070</v>
      </c>
      <c r="CX20" s="836" t="str">
        <f t="shared" si="1"/>
        <v>[026]</v>
      </c>
      <c r="CY20" s="952">
        <v>22</v>
      </c>
      <c r="DF20" s="1001" t="s">
        <v>1334</v>
      </c>
      <c r="DG20" s="1002" t="s">
        <v>928</v>
      </c>
      <c r="DH20" s="1003" t="str">
        <f t="shared" si="0"/>
        <v>[166]</v>
      </c>
      <c r="DI20" s="1003">
        <v>7</v>
      </c>
      <c r="DK20" s="1002">
        <v>16</v>
      </c>
      <c r="DL20" s="1002">
        <v>6.3E-2</v>
      </c>
    </row>
    <row r="21" spans="2:116" ht="27" customHeight="1" thickBot="1">
      <c r="B21" s="1029" t="s">
        <v>1216</v>
      </c>
      <c r="C21" s="1030" t="str">
        <f>DGET(B4:D16,"名称",C18:C19)</f>
        <v>大豆</v>
      </c>
      <c r="T21" s="957" t="s">
        <v>1217</v>
      </c>
      <c r="V21" s="957" t="s">
        <v>1218</v>
      </c>
      <c r="X21" s="661"/>
      <c r="Z21" s="661"/>
      <c r="AB21" s="661"/>
      <c r="AD21" s="661"/>
      <c r="AF21" s="2"/>
      <c r="AG21" s="2"/>
      <c r="AH21" s="2"/>
      <c r="AI21" s="2"/>
      <c r="AJ21" s="967" t="s">
        <v>1144</v>
      </c>
      <c r="AK21" s="2"/>
      <c r="AL21" s="2"/>
      <c r="AM21" s="2"/>
      <c r="AN21" s="967" t="s">
        <v>1144</v>
      </c>
      <c r="AO21" s="2"/>
      <c r="AP21" s="1009" t="s">
        <v>1123</v>
      </c>
      <c r="AU21" s="2156"/>
      <c r="AV21" s="957" t="s">
        <v>1325</v>
      </c>
      <c r="BM21" s="954" t="s">
        <v>1219</v>
      </c>
      <c r="BO21" s="2"/>
      <c r="BQ21" s="1011" t="s">
        <v>1195</v>
      </c>
      <c r="BS21" s="1011" t="s">
        <v>1195</v>
      </c>
      <c r="BU21" s="147"/>
      <c r="BW21" s="147"/>
      <c r="BY21" s="1011" t="s">
        <v>1195</v>
      </c>
      <c r="CA21" s="147"/>
      <c r="CC21" s="2"/>
      <c r="CE21" s="1031" t="s">
        <v>958</v>
      </c>
      <c r="CF21" s="1007" t="s">
        <v>928</v>
      </c>
      <c r="CV21" s="1012" t="s">
        <v>950</v>
      </c>
      <c r="CW21" s="1015" t="s">
        <v>1094</v>
      </c>
      <c r="CX21" s="836" t="str">
        <f t="shared" si="1"/>
        <v>[028]</v>
      </c>
      <c r="CY21" s="952">
        <v>38</v>
      </c>
      <c r="DF21" s="1001" t="s">
        <v>1220</v>
      </c>
      <c r="DG21" s="1002" t="s">
        <v>928</v>
      </c>
      <c r="DH21" s="1003" t="str">
        <f t="shared" si="0"/>
        <v>[176]</v>
      </c>
      <c r="DI21" s="1003">
        <v>7</v>
      </c>
      <c r="DK21" s="1002">
        <v>17</v>
      </c>
      <c r="DL21" s="1002">
        <v>5.9000000000000004E-2</v>
      </c>
    </row>
    <row r="22" spans="2:116" ht="27" customHeight="1" thickBot="1">
      <c r="T22" s="957" t="s">
        <v>1221</v>
      </c>
      <c r="V22" s="957" t="s">
        <v>1222</v>
      </c>
      <c r="X22" s="661"/>
      <c r="Z22" s="661"/>
      <c r="AB22" s="661"/>
      <c r="AD22" s="661"/>
      <c r="AF22" s="2"/>
      <c r="AG22" s="2"/>
      <c r="AH22" s="2"/>
      <c r="AI22" s="2"/>
      <c r="AJ22" s="2"/>
      <c r="AK22" s="2"/>
      <c r="AL22" s="2"/>
      <c r="AM22" s="2"/>
      <c r="AN22" s="2"/>
      <c r="AO22" s="2"/>
      <c r="AP22" s="967" t="s">
        <v>1144</v>
      </c>
      <c r="AU22" s="2157"/>
      <c r="AV22" s="959" t="s">
        <v>1326</v>
      </c>
      <c r="BM22" s="956" t="s">
        <v>1223</v>
      </c>
      <c r="BO22" s="2"/>
      <c r="BQ22" s="2"/>
      <c r="BS22" s="2"/>
      <c r="BU22" s="147"/>
      <c r="BW22" s="147"/>
      <c r="BY22" s="2"/>
      <c r="CA22" s="147"/>
      <c r="CC22" s="147"/>
      <c r="CE22" s="1031" t="s">
        <v>989</v>
      </c>
      <c r="CF22" s="1007" t="s">
        <v>928</v>
      </c>
      <c r="CV22" s="1012" t="s">
        <v>950</v>
      </c>
      <c r="CW22" s="1019" t="s">
        <v>1327</v>
      </c>
      <c r="CX22" s="1020" t="str">
        <f t="shared" si="1"/>
        <v>[029]</v>
      </c>
      <c r="CY22" s="1021">
        <v>22</v>
      </c>
      <c r="DF22" s="1001" t="s">
        <v>1224</v>
      </c>
      <c r="DG22" s="1002" t="s">
        <v>928</v>
      </c>
      <c r="DH22" s="1003" t="str">
        <f t="shared" si="0"/>
        <v>[186]</v>
      </c>
      <c r="DI22" s="1003">
        <v>7</v>
      </c>
      <c r="DK22" s="1002">
        <v>18</v>
      </c>
      <c r="DL22" s="1002">
        <v>5.6000000000000001E-2</v>
      </c>
    </row>
    <row r="23" spans="2:116" ht="27" customHeight="1" thickBot="1">
      <c r="B23" s="1029" t="s">
        <v>1225</v>
      </c>
      <c r="C23" s="1032">
        <f>DGET(リスト!B4:C16,"単位数量",リスト!C18:C19)</f>
        <v>60</v>
      </c>
      <c r="T23" s="957" t="s">
        <v>1226</v>
      </c>
      <c r="V23" s="957" t="s">
        <v>1227</v>
      </c>
      <c r="X23" s="661"/>
      <c r="Z23" s="661"/>
      <c r="AB23" s="661"/>
      <c r="AD23" s="661"/>
      <c r="AF23" s="2"/>
      <c r="AG23" s="2"/>
      <c r="AH23" s="2"/>
      <c r="AI23" s="2"/>
      <c r="AJ23" s="2"/>
      <c r="AK23" s="2"/>
      <c r="AL23" s="2"/>
      <c r="AM23" s="2"/>
      <c r="AN23" s="2"/>
      <c r="AO23" s="2"/>
      <c r="AP23" s="2"/>
      <c r="AU23" s="2155" t="s">
        <v>1208</v>
      </c>
      <c r="AV23" s="994" t="s">
        <v>905</v>
      </c>
      <c r="BM23" s="147"/>
      <c r="BO23" s="147"/>
      <c r="BQ23" s="2"/>
      <c r="BS23" s="2"/>
      <c r="BU23" s="147"/>
      <c r="BW23" s="147"/>
      <c r="BY23" s="2"/>
      <c r="CA23" s="147"/>
      <c r="CC23" s="147"/>
      <c r="CE23" s="966" t="s">
        <v>1228</v>
      </c>
      <c r="CF23" s="967" t="s">
        <v>928</v>
      </c>
      <c r="CV23" s="1012" t="s">
        <v>950</v>
      </c>
      <c r="CW23" s="1019" t="s">
        <v>1328</v>
      </c>
      <c r="CX23" s="1020" t="str">
        <f>LEFT(CV23,3)&amp;MID(CW23,2,3)</f>
        <v>[0210]</v>
      </c>
      <c r="CY23" s="1021">
        <v>30</v>
      </c>
      <c r="DF23" s="1001" t="s">
        <v>1229</v>
      </c>
      <c r="DG23" s="1002" t="s">
        <v>928</v>
      </c>
      <c r="DH23" s="1003" t="str">
        <f t="shared" si="0"/>
        <v>[196]</v>
      </c>
      <c r="DI23" s="1003">
        <v>7</v>
      </c>
      <c r="DK23" s="1002">
        <v>19</v>
      </c>
      <c r="DL23" s="1002">
        <v>5.2999999999999999E-2</v>
      </c>
    </row>
    <row r="24" spans="2:116" ht="27" customHeight="1">
      <c r="T24" s="957" t="s">
        <v>1230</v>
      </c>
      <c r="V24" s="957" t="s">
        <v>1231</v>
      </c>
      <c r="X24" s="661"/>
      <c r="Z24" s="661"/>
      <c r="AB24" s="661"/>
      <c r="AD24" s="661"/>
      <c r="AF24" s="2"/>
      <c r="AG24" s="2"/>
      <c r="AH24" s="2"/>
      <c r="AI24" s="2"/>
      <c r="AJ24" s="2"/>
      <c r="AK24" s="2"/>
      <c r="AL24" s="2"/>
      <c r="AM24" s="2"/>
      <c r="AN24" s="2"/>
      <c r="AO24" s="2"/>
      <c r="AP24" s="2"/>
      <c r="AU24" s="2156"/>
      <c r="AV24" s="1008" t="s">
        <v>951</v>
      </c>
      <c r="BM24" s="147"/>
      <c r="BO24" s="147"/>
      <c r="BQ24" s="147"/>
      <c r="BS24" s="147"/>
      <c r="BU24" s="147"/>
      <c r="BW24" s="147"/>
      <c r="BY24" s="147"/>
      <c r="CA24" s="147"/>
      <c r="CC24" s="147"/>
      <c r="CE24" s="966" t="s">
        <v>1232</v>
      </c>
      <c r="CF24" s="967" t="s">
        <v>928</v>
      </c>
      <c r="CV24" s="1022" t="s">
        <v>950</v>
      </c>
      <c r="CW24" s="1019" t="s">
        <v>1329</v>
      </c>
      <c r="CX24" s="1020" t="str">
        <f>LEFT(CV24,3)&amp;MID(CW24,2,3)</f>
        <v>[0211]</v>
      </c>
      <c r="CY24" s="1021">
        <v>38</v>
      </c>
      <c r="DF24" s="1016" t="s">
        <v>1233</v>
      </c>
      <c r="DG24" s="1002" t="s">
        <v>1234</v>
      </c>
      <c r="DH24" s="1003" t="str">
        <f t="shared" si="0"/>
        <v>[201]</v>
      </c>
      <c r="DI24" s="1003">
        <v>7</v>
      </c>
      <c r="DK24" s="1002">
        <v>20</v>
      </c>
      <c r="DL24" s="1002">
        <v>0.05</v>
      </c>
    </row>
    <row r="25" spans="2:116" ht="27" customHeight="1">
      <c r="T25" s="1008" t="s">
        <v>1235</v>
      </c>
      <c r="V25" s="1008" t="s">
        <v>1236</v>
      </c>
      <c r="X25" s="973"/>
      <c r="Z25" s="973"/>
      <c r="AB25" s="973"/>
      <c r="AD25" s="973"/>
      <c r="AF25" s="2"/>
      <c r="AG25" s="2"/>
      <c r="AH25" s="2"/>
      <c r="AI25" s="2"/>
      <c r="AJ25" s="2"/>
      <c r="AK25" s="2"/>
      <c r="AL25" s="2"/>
      <c r="AM25" s="2"/>
      <c r="AN25" s="2"/>
      <c r="AO25" s="2"/>
      <c r="AP25" s="2"/>
      <c r="AU25" s="2156"/>
      <c r="AV25" s="1008" t="s">
        <v>986</v>
      </c>
      <c r="BM25" s="147"/>
      <c r="BO25" s="147"/>
      <c r="BQ25" s="147"/>
      <c r="BS25" s="147"/>
      <c r="BU25" s="147"/>
      <c r="BW25" s="147"/>
      <c r="BY25" s="147"/>
      <c r="CA25" s="147"/>
      <c r="CC25" s="147"/>
      <c r="CE25" s="966" t="s">
        <v>1237</v>
      </c>
      <c r="CF25" s="967" t="s">
        <v>928</v>
      </c>
      <c r="CV25" s="1000" t="s">
        <v>985</v>
      </c>
      <c r="CW25" s="971" t="s">
        <v>924</v>
      </c>
      <c r="CX25" s="972" t="str">
        <f t="shared" si="1"/>
        <v>[031]</v>
      </c>
      <c r="CY25" s="972">
        <v>15</v>
      </c>
      <c r="DF25" s="1018" t="s">
        <v>1233</v>
      </c>
      <c r="DG25" s="1002" t="s">
        <v>1238</v>
      </c>
      <c r="DH25" s="1003" t="str">
        <f t="shared" si="0"/>
        <v>[202]</v>
      </c>
      <c r="DI25" s="1003">
        <v>7</v>
      </c>
      <c r="DK25" s="1002">
        <v>21</v>
      </c>
      <c r="DL25" s="1002">
        <v>4.8000000000000001E-2</v>
      </c>
    </row>
    <row r="26" spans="2:116" ht="27" customHeight="1">
      <c r="T26" s="1008" t="s">
        <v>1239</v>
      </c>
      <c r="V26" s="1008" t="s">
        <v>1240</v>
      </c>
      <c r="X26" s="973"/>
      <c r="Z26" s="973"/>
      <c r="AB26" s="973"/>
      <c r="AD26" s="973"/>
      <c r="AF26" s="2"/>
      <c r="AG26" s="2"/>
      <c r="AH26" s="2"/>
      <c r="AI26" s="2"/>
      <c r="AJ26" s="2"/>
      <c r="AK26" s="2"/>
      <c r="AL26" s="2"/>
      <c r="AM26" s="2"/>
      <c r="AN26" s="2"/>
      <c r="AO26" s="2"/>
      <c r="AP26" s="2"/>
      <c r="AU26" s="2156"/>
      <c r="AV26" s="1008" t="s">
        <v>1013</v>
      </c>
      <c r="BA26" s="147"/>
      <c r="BM26" s="147"/>
      <c r="BO26" s="147"/>
      <c r="BP26" s="147"/>
      <c r="BQ26" s="147"/>
      <c r="BR26" s="147"/>
      <c r="BS26" s="147"/>
      <c r="BT26" s="147"/>
      <c r="BU26" s="147"/>
      <c r="BV26" s="147"/>
      <c r="BW26" s="147"/>
      <c r="BX26" s="147"/>
      <c r="BY26" s="147"/>
      <c r="BZ26" s="147"/>
      <c r="CA26" s="147"/>
      <c r="CB26" s="147"/>
      <c r="CC26" s="147"/>
      <c r="CE26" s="1031" t="s">
        <v>1041</v>
      </c>
      <c r="CF26" s="1007" t="s">
        <v>928</v>
      </c>
      <c r="CG26" s="147"/>
      <c r="CH26" s="147"/>
      <c r="CJ26" s="147"/>
      <c r="CK26" s="147"/>
      <c r="CL26" s="147"/>
      <c r="CN26" s="147"/>
      <c r="CO26" s="147"/>
      <c r="CP26" s="147"/>
      <c r="CQ26" s="147"/>
      <c r="CR26" s="147"/>
      <c r="CS26" s="147"/>
      <c r="CV26" s="1012" t="s">
        <v>985</v>
      </c>
      <c r="CW26" s="971" t="s">
        <v>966</v>
      </c>
      <c r="CX26" s="972" t="str">
        <f t="shared" si="1"/>
        <v>[032]</v>
      </c>
      <c r="CY26" s="972">
        <v>15</v>
      </c>
      <c r="DB26" s="147"/>
      <c r="DC26" s="147"/>
      <c r="DD26" s="147"/>
      <c r="DE26" s="147"/>
      <c r="DF26" s="1001" t="s">
        <v>1242</v>
      </c>
      <c r="DG26" s="1002" t="s">
        <v>928</v>
      </c>
      <c r="DH26" s="1003" t="str">
        <f t="shared" si="0"/>
        <v>[216]</v>
      </c>
      <c r="DI26" s="1003">
        <v>7</v>
      </c>
      <c r="DK26" s="1002">
        <v>22</v>
      </c>
      <c r="DL26" s="1002">
        <v>4.5999999999999999E-2</v>
      </c>
    </row>
    <row r="27" spans="2:116" ht="27" customHeight="1">
      <c r="T27" s="1008" t="s">
        <v>1243</v>
      </c>
      <c r="V27" s="1008" t="s">
        <v>1159</v>
      </c>
      <c r="X27" s="973"/>
      <c r="Z27" s="973"/>
      <c r="AB27" s="973"/>
      <c r="AD27" s="973"/>
      <c r="AF27" s="2"/>
      <c r="AG27" s="2"/>
      <c r="AH27" s="2"/>
      <c r="AI27" s="2"/>
      <c r="AJ27" s="2"/>
      <c r="AK27" s="2"/>
      <c r="AL27" s="2"/>
      <c r="AM27" s="2"/>
      <c r="AN27" s="2"/>
      <c r="AO27" s="2"/>
      <c r="AP27" s="2"/>
      <c r="AU27" s="2156"/>
      <c r="AV27" s="957" t="s">
        <v>1064</v>
      </c>
      <c r="BA27" s="147"/>
      <c r="BM27" s="147"/>
      <c r="BO27" s="147"/>
      <c r="BP27" s="147"/>
      <c r="BQ27" s="147"/>
      <c r="BR27" s="147"/>
      <c r="BS27" s="147"/>
      <c r="BT27" s="147"/>
      <c r="BU27" s="147"/>
      <c r="BV27" s="147"/>
      <c r="BW27" s="147"/>
      <c r="BX27" s="147"/>
      <c r="BY27" s="147"/>
      <c r="BZ27" s="147"/>
      <c r="CA27" s="147"/>
      <c r="CB27" s="147"/>
      <c r="CC27" s="147"/>
      <c r="CE27" s="1033" t="s">
        <v>1043</v>
      </c>
      <c r="CF27" s="967" t="s">
        <v>928</v>
      </c>
      <c r="CG27" s="147"/>
      <c r="CH27" s="147"/>
      <c r="CJ27" s="147"/>
      <c r="CK27" s="147"/>
      <c r="CL27" s="147"/>
      <c r="CN27" s="147"/>
      <c r="CO27" s="147"/>
      <c r="CP27" s="147"/>
      <c r="CQ27" s="147"/>
      <c r="CR27" s="147"/>
      <c r="CS27" s="147"/>
      <c r="CV27" s="1012" t="s">
        <v>985</v>
      </c>
      <c r="CW27" s="1026" t="s">
        <v>994</v>
      </c>
      <c r="CX27" s="972" t="str">
        <f t="shared" si="1"/>
        <v>[033]</v>
      </c>
      <c r="CY27" s="972">
        <v>38</v>
      </c>
      <c r="DB27" s="147"/>
      <c r="DC27" s="147"/>
      <c r="DD27" s="147"/>
      <c r="DE27" s="147"/>
      <c r="DF27" s="1001" t="s">
        <v>1335</v>
      </c>
      <c r="DG27" s="1002" t="s">
        <v>928</v>
      </c>
      <c r="DH27" s="1003" t="str">
        <f t="shared" si="0"/>
        <v>[226]</v>
      </c>
      <c r="DI27" s="1003">
        <v>7</v>
      </c>
      <c r="DK27" s="1002">
        <v>23</v>
      </c>
      <c r="DL27" s="1002">
        <v>4.3999999999999997E-2</v>
      </c>
    </row>
    <row r="28" spans="2:116" ht="27" customHeight="1">
      <c r="T28" s="1008" t="s">
        <v>1244</v>
      </c>
      <c r="V28" s="1008" t="s">
        <v>1179</v>
      </c>
      <c r="X28" s="973"/>
      <c r="Z28" s="973"/>
      <c r="AB28" s="973"/>
      <c r="AD28" s="973"/>
      <c r="AF28" s="2"/>
      <c r="AG28" s="2"/>
      <c r="AH28" s="2"/>
      <c r="AI28" s="2"/>
      <c r="AJ28" s="2"/>
      <c r="AK28" s="2"/>
      <c r="AL28" s="2"/>
      <c r="AM28" s="2"/>
      <c r="AN28" s="2"/>
      <c r="AO28" s="2"/>
      <c r="AP28" s="2"/>
      <c r="AU28" s="2156"/>
      <c r="AV28" s="957" t="s">
        <v>1088</v>
      </c>
      <c r="BA28" s="147"/>
      <c r="BM28" s="147"/>
      <c r="BO28" s="147"/>
      <c r="BP28" s="147"/>
      <c r="BQ28" s="147"/>
      <c r="BR28" s="147"/>
      <c r="BS28" s="147"/>
      <c r="BT28" s="147"/>
      <c r="BU28" s="147"/>
      <c r="BV28" s="147"/>
      <c r="BW28" s="147"/>
      <c r="BX28" s="147"/>
      <c r="BY28" s="147"/>
      <c r="BZ28" s="147"/>
      <c r="CA28" s="147"/>
      <c r="CB28" s="147"/>
      <c r="CC28" s="147"/>
      <c r="CE28" s="1031" t="s">
        <v>1089</v>
      </c>
      <c r="CF28" s="1007" t="s">
        <v>928</v>
      </c>
      <c r="CG28" s="147"/>
      <c r="CH28" s="147"/>
      <c r="CJ28" s="147"/>
      <c r="CK28" s="147"/>
      <c r="CL28" s="147"/>
      <c r="CN28" s="147"/>
      <c r="CO28" s="147"/>
      <c r="CP28" s="147"/>
      <c r="CQ28" s="147"/>
      <c r="CR28" s="147"/>
      <c r="CS28" s="147"/>
      <c r="CV28" s="1012" t="s">
        <v>985</v>
      </c>
      <c r="CW28" s="1026" t="s">
        <v>1013</v>
      </c>
      <c r="CX28" s="972" t="str">
        <f t="shared" si="1"/>
        <v>[034]</v>
      </c>
      <c r="CY28" s="952">
        <v>34</v>
      </c>
      <c r="DB28" s="147"/>
      <c r="DC28" s="147"/>
      <c r="DD28" s="147"/>
      <c r="DE28" s="147"/>
      <c r="DF28" s="1001" t="s">
        <v>1245</v>
      </c>
      <c r="DG28" s="1002" t="s">
        <v>928</v>
      </c>
      <c r="DH28" s="1003" t="str">
        <f t="shared" si="0"/>
        <v>[236]</v>
      </c>
      <c r="DI28" s="1003">
        <v>7</v>
      </c>
      <c r="DK28" s="1002">
        <v>24</v>
      </c>
      <c r="DL28" s="1002">
        <v>4.2000000000000003E-2</v>
      </c>
    </row>
    <row r="29" spans="2:116" ht="27" customHeight="1">
      <c r="T29" s="1008" t="s">
        <v>1246</v>
      </c>
      <c r="V29" s="1008" t="s">
        <v>1191</v>
      </c>
      <c r="X29" s="973"/>
      <c r="Z29" s="973"/>
      <c r="AB29" s="973"/>
      <c r="AD29" s="973"/>
      <c r="AF29" s="2"/>
      <c r="AG29" s="2"/>
      <c r="AH29" s="2"/>
      <c r="AI29" s="2"/>
      <c r="AJ29" s="2"/>
      <c r="AK29" s="2"/>
      <c r="AL29" s="2"/>
      <c r="AM29" s="2"/>
      <c r="AN29" s="2"/>
      <c r="AO29" s="2"/>
      <c r="AP29" s="2"/>
      <c r="AU29" s="2156"/>
      <c r="AV29" s="1008" t="s">
        <v>1324</v>
      </c>
      <c r="BA29" s="147"/>
      <c r="BM29" s="147"/>
      <c r="BO29" s="147"/>
      <c r="BP29" s="147"/>
      <c r="BQ29" s="147"/>
      <c r="BR29" s="147"/>
      <c r="BS29" s="147"/>
      <c r="BT29" s="147"/>
      <c r="BU29" s="147"/>
      <c r="BV29" s="147"/>
      <c r="BW29" s="147"/>
      <c r="BX29" s="147"/>
      <c r="BY29" s="147"/>
      <c r="BZ29" s="147"/>
      <c r="CA29" s="147"/>
      <c r="CB29" s="147"/>
      <c r="CC29" s="147"/>
      <c r="CE29" s="966" t="s">
        <v>1247</v>
      </c>
      <c r="CF29" s="967" t="s">
        <v>928</v>
      </c>
      <c r="CG29" s="147"/>
      <c r="CH29" s="147"/>
      <c r="CJ29" s="147"/>
      <c r="CK29" s="147"/>
      <c r="CL29" s="147"/>
      <c r="CN29" s="147"/>
      <c r="CO29" s="147"/>
      <c r="CP29" s="147"/>
      <c r="CQ29" s="147"/>
      <c r="CR29" s="147"/>
      <c r="CS29" s="147"/>
      <c r="CV29" s="1012" t="s">
        <v>985</v>
      </c>
      <c r="CW29" s="971" t="s">
        <v>1046</v>
      </c>
      <c r="CX29" s="972" t="str">
        <f t="shared" si="1"/>
        <v>[035]</v>
      </c>
      <c r="CY29" s="952">
        <v>17</v>
      </c>
      <c r="DB29" s="147"/>
      <c r="DC29" s="147"/>
      <c r="DD29" s="147"/>
      <c r="DE29" s="147"/>
      <c r="DF29" s="1001" t="s">
        <v>1336</v>
      </c>
      <c r="DG29" s="1002" t="s">
        <v>928</v>
      </c>
      <c r="DH29" s="1003" t="str">
        <f t="shared" si="0"/>
        <v>[246]</v>
      </c>
      <c r="DI29" s="1003">
        <v>7</v>
      </c>
      <c r="DK29" s="1002">
        <v>25</v>
      </c>
      <c r="DL29" s="1002">
        <v>0.04</v>
      </c>
    </row>
    <row r="30" spans="2:116" ht="27" customHeight="1">
      <c r="T30" s="1008" t="s">
        <v>1248</v>
      </c>
      <c r="V30" s="1008" t="s">
        <v>1200</v>
      </c>
      <c r="X30" s="973"/>
      <c r="Z30" s="973"/>
      <c r="AB30" s="973"/>
      <c r="AD30" s="973"/>
      <c r="AF30" s="2"/>
      <c r="AG30" s="2"/>
      <c r="AH30" s="2"/>
      <c r="AI30" s="2"/>
      <c r="AJ30" s="2"/>
      <c r="AK30" s="2"/>
      <c r="AL30" s="2"/>
      <c r="AM30" s="2"/>
      <c r="AN30" s="2"/>
      <c r="AO30" s="2"/>
      <c r="AP30" s="2"/>
      <c r="AU30" s="2156"/>
      <c r="AV30" s="957" t="s">
        <v>1325</v>
      </c>
      <c r="BA30" s="147"/>
      <c r="BM30" s="147"/>
      <c r="BO30" s="147"/>
      <c r="BP30" s="147"/>
      <c r="BQ30" s="147"/>
      <c r="BR30" s="147"/>
      <c r="BS30" s="147"/>
      <c r="BT30" s="147"/>
      <c r="BU30" s="147"/>
      <c r="BV30" s="147"/>
      <c r="BW30" s="147"/>
      <c r="BX30" s="147"/>
      <c r="BY30" s="147"/>
      <c r="BZ30" s="147"/>
      <c r="CA30" s="147"/>
      <c r="CB30" s="147"/>
      <c r="CC30" s="147"/>
      <c r="CE30" s="1031" t="s">
        <v>1110</v>
      </c>
      <c r="CF30" s="1007" t="s">
        <v>928</v>
      </c>
      <c r="CG30" s="147"/>
      <c r="CH30" s="147"/>
      <c r="CJ30" s="147"/>
      <c r="CK30" s="147"/>
      <c r="CL30" s="147"/>
      <c r="CN30" s="147"/>
      <c r="CO30" s="147"/>
      <c r="CP30" s="147"/>
      <c r="CQ30" s="147"/>
      <c r="CR30" s="147"/>
      <c r="CS30" s="147"/>
      <c r="CV30" s="1012" t="s">
        <v>985</v>
      </c>
      <c r="CW30" s="1026" t="s">
        <v>1070</v>
      </c>
      <c r="CX30" s="972" t="str">
        <f t="shared" si="1"/>
        <v>[036]</v>
      </c>
      <c r="CY30" s="952">
        <v>14</v>
      </c>
      <c r="DB30" s="147"/>
      <c r="DC30" s="147"/>
      <c r="DD30" s="147"/>
      <c r="DE30" s="147"/>
      <c r="DF30" s="962" t="s">
        <v>1337</v>
      </c>
      <c r="DG30" s="1002" t="s">
        <v>928</v>
      </c>
      <c r="DH30" s="1003" t="str">
        <f t="shared" si="0"/>
        <v>[256]</v>
      </c>
      <c r="DI30" s="1003">
        <v>7</v>
      </c>
      <c r="DK30" s="1002">
        <v>26</v>
      </c>
      <c r="DL30" s="1002">
        <v>3.9E-2</v>
      </c>
    </row>
    <row r="31" spans="2:116" ht="27" customHeight="1">
      <c r="T31" s="1008" t="s">
        <v>1249</v>
      </c>
      <c r="V31" s="1007" t="s">
        <v>1206</v>
      </c>
      <c r="X31" s="973"/>
      <c r="Z31" s="973"/>
      <c r="AB31" s="973"/>
      <c r="AD31" s="973"/>
      <c r="AF31" s="2"/>
      <c r="AG31" s="2"/>
      <c r="AH31" s="2"/>
      <c r="AI31" s="2"/>
      <c r="AJ31" s="2"/>
      <c r="AK31" s="2"/>
      <c r="AL31" s="2"/>
      <c r="AM31" s="2"/>
      <c r="AN31" s="2"/>
      <c r="AO31" s="2"/>
      <c r="AP31" s="2"/>
      <c r="AU31" s="2157"/>
      <c r="AV31" s="959" t="s">
        <v>1326</v>
      </c>
      <c r="BA31" s="147"/>
      <c r="BM31" s="147"/>
      <c r="BO31" s="147"/>
      <c r="BP31" s="147"/>
      <c r="BQ31" s="147"/>
      <c r="BR31" s="147"/>
      <c r="BS31" s="147"/>
      <c r="BT31" s="147"/>
      <c r="BU31" s="147"/>
      <c r="BV31" s="147"/>
      <c r="BW31" s="147"/>
      <c r="BX31" s="147"/>
      <c r="BY31" s="147"/>
      <c r="BZ31" s="147"/>
      <c r="CA31" s="147"/>
      <c r="CB31" s="147"/>
      <c r="CC31" s="147"/>
      <c r="CE31" s="1031" t="s">
        <v>1128</v>
      </c>
      <c r="CF31" s="1007" t="s">
        <v>928</v>
      </c>
      <c r="CG31" s="147"/>
      <c r="CH31" s="147"/>
      <c r="CJ31" s="147"/>
      <c r="CK31" s="147"/>
      <c r="CL31" s="147"/>
      <c r="CN31" s="147"/>
      <c r="CO31" s="147"/>
      <c r="CP31" s="147"/>
      <c r="CQ31" s="147"/>
      <c r="CR31" s="147"/>
      <c r="CS31" s="147"/>
      <c r="CV31" s="1012" t="s">
        <v>985</v>
      </c>
      <c r="CW31" s="1015" t="s">
        <v>1094</v>
      </c>
      <c r="CX31" s="836" t="str">
        <f t="shared" si="1"/>
        <v>[038]</v>
      </c>
      <c r="CY31" s="952">
        <v>31</v>
      </c>
      <c r="DB31" s="147"/>
      <c r="DC31" s="147"/>
      <c r="DD31" s="147"/>
      <c r="DE31" s="147"/>
      <c r="DF31" s="962" t="s">
        <v>1338</v>
      </c>
      <c r="DG31" s="1002" t="s">
        <v>928</v>
      </c>
      <c r="DH31" s="1003" t="str">
        <f t="shared" si="0"/>
        <v>[266]</v>
      </c>
      <c r="DI31" s="1003">
        <v>7</v>
      </c>
      <c r="DK31" s="1002">
        <v>27</v>
      </c>
      <c r="DL31" s="1002">
        <v>3.7999999999999999E-2</v>
      </c>
    </row>
    <row r="32" spans="2:116" ht="27" customHeight="1">
      <c r="T32" s="1008" t="s">
        <v>1250</v>
      </c>
      <c r="V32" s="973"/>
      <c r="X32" s="973"/>
      <c r="Z32" s="973"/>
      <c r="AB32" s="973"/>
      <c r="AD32" s="973"/>
      <c r="AF32" s="2"/>
      <c r="AG32" s="2"/>
      <c r="AH32" s="2"/>
      <c r="AI32" s="2"/>
      <c r="AJ32" s="2"/>
      <c r="AK32" s="2"/>
      <c r="AL32" s="2"/>
      <c r="AM32" s="2"/>
      <c r="AN32" s="2"/>
      <c r="AO32" s="2"/>
      <c r="AP32" s="2"/>
      <c r="AU32" s="2155" t="s">
        <v>1241</v>
      </c>
      <c r="AV32" s="994" t="s">
        <v>905</v>
      </c>
      <c r="BA32" s="147"/>
      <c r="BM32" s="147"/>
      <c r="BO32" s="147"/>
      <c r="BP32" s="147"/>
      <c r="BQ32" s="147"/>
      <c r="BR32" s="147"/>
      <c r="BS32" s="147"/>
      <c r="BT32" s="147"/>
      <c r="BU32" s="147"/>
      <c r="BV32" s="147"/>
      <c r="BW32" s="147"/>
      <c r="BX32" s="147"/>
      <c r="BY32" s="147"/>
      <c r="BZ32" s="147"/>
      <c r="CA32" s="147"/>
      <c r="CB32" s="147"/>
      <c r="CC32" s="147"/>
      <c r="CE32" s="1031" t="s">
        <v>1251</v>
      </c>
      <c r="CF32" s="1007" t="s">
        <v>928</v>
      </c>
      <c r="CG32" s="147"/>
      <c r="CH32" s="147"/>
      <c r="CJ32" s="147"/>
      <c r="CK32" s="147"/>
      <c r="CL32" s="147"/>
      <c r="CN32" s="147"/>
      <c r="CO32" s="147"/>
      <c r="CP32" s="147"/>
      <c r="CQ32" s="147"/>
      <c r="CR32" s="147"/>
      <c r="CS32" s="147"/>
      <c r="CV32" s="1012" t="s">
        <v>985</v>
      </c>
      <c r="CW32" s="1019" t="s">
        <v>1327</v>
      </c>
      <c r="CX32" s="1020" t="str">
        <f t="shared" si="1"/>
        <v>[039]</v>
      </c>
      <c r="CY32" s="1021">
        <v>17</v>
      </c>
      <c r="DB32" s="147"/>
      <c r="DC32" s="147"/>
      <c r="DD32" s="147"/>
      <c r="DE32" s="147"/>
      <c r="DF32" s="962" t="s">
        <v>1339</v>
      </c>
      <c r="DG32" s="1002" t="s">
        <v>928</v>
      </c>
      <c r="DH32" s="1003" t="str">
        <f t="shared" si="0"/>
        <v>[276]</v>
      </c>
      <c r="DI32" s="1003">
        <v>7</v>
      </c>
      <c r="DK32" s="1002">
        <v>28</v>
      </c>
      <c r="DL32" s="1002">
        <v>3.6000000000000004E-2</v>
      </c>
    </row>
    <row r="33" spans="20:116" ht="27" customHeight="1">
      <c r="T33" s="1008" t="s">
        <v>1252</v>
      </c>
      <c r="V33" s="973"/>
      <c r="X33" s="973"/>
      <c r="Z33" s="973"/>
      <c r="AB33" s="973"/>
      <c r="AD33" s="973"/>
      <c r="AF33" s="2"/>
      <c r="AG33" s="2"/>
      <c r="AH33" s="2"/>
      <c r="AI33" s="2"/>
      <c r="AJ33" s="2"/>
      <c r="AK33" s="2"/>
      <c r="AL33" s="2"/>
      <c r="AM33" s="2"/>
      <c r="AN33" s="2"/>
      <c r="AO33" s="2"/>
      <c r="AP33" s="2"/>
      <c r="AU33" s="2156"/>
      <c r="AV33" s="1008" t="s">
        <v>951</v>
      </c>
      <c r="BA33" s="147"/>
      <c r="BM33" s="147"/>
      <c r="BO33" s="147"/>
      <c r="BP33" s="147"/>
      <c r="BQ33" s="147"/>
      <c r="BR33" s="147"/>
      <c r="BS33" s="147"/>
      <c r="BT33" s="147"/>
      <c r="BU33" s="147"/>
      <c r="BV33" s="147"/>
      <c r="BW33" s="147"/>
      <c r="BX33" s="147"/>
      <c r="BY33" s="147"/>
      <c r="BZ33" s="147"/>
      <c r="CA33" s="147"/>
      <c r="CB33" s="147"/>
      <c r="CC33" s="147"/>
      <c r="CE33" s="1031" t="s">
        <v>1184</v>
      </c>
      <c r="CF33" s="1007" t="s">
        <v>928</v>
      </c>
      <c r="CG33" s="147"/>
      <c r="CH33" s="147"/>
      <c r="CJ33" s="147"/>
      <c r="CK33" s="147"/>
      <c r="CL33" s="147"/>
      <c r="CN33" s="147"/>
      <c r="CO33" s="147"/>
      <c r="CP33" s="147"/>
      <c r="CQ33" s="147"/>
      <c r="CR33" s="147"/>
      <c r="CS33" s="147"/>
      <c r="CV33" s="1012" t="s">
        <v>985</v>
      </c>
      <c r="CW33" s="1019" t="s">
        <v>1328</v>
      </c>
      <c r="CX33" s="1020" t="str">
        <f>LEFT(CV33,3)&amp;MID(CW33,2,3)</f>
        <v>[0310]</v>
      </c>
      <c r="CY33" s="1021">
        <v>24</v>
      </c>
      <c r="DB33" s="147"/>
      <c r="DC33" s="147"/>
      <c r="DD33" s="147"/>
      <c r="DE33" s="147"/>
      <c r="DF33" s="962" t="s">
        <v>1340</v>
      </c>
      <c r="DG33" s="1002" t="s">
        <v>928</v>
      </c>
      <c r="DH33" s="1003" t="str">
        <f t="shared" si="0"/>
        <v>[286]</v>
      </c>
      <c r="DI33" s="1003">
        <v>7</v>
      </c>
      <c r="DK33" s="1002">
        <v>29</v>
      </c>
      <c r="DL33" s="1002">
        <v>3.5000000000000003E-2</v>
      </c>
    </row>
    <row r="34" spans="20:116" ht="27" customHeight="1">
      <c r="T34" s="1008" t="s">
        <v>1255</v>
      </c>
      <c r="V34" s="973"/>
      <c r="X34" s="973"/>
      <c r="Z34" s="973"/>
      <c r="AB34" s="973"/>
      <c r="AD34" s="973"/>
      <c r="AF34" s="2"/>
      <c r="AG34" s="2"/>
      <c r="AH34" s="2"/>
      <c r="AI34" s="2"/>
      <c r="AJ34" s="2"/>
      <c r="AK34" s="2"/>
      <c r="AL34" s="2"/>
      <c r="AM34" s="2"/>
      <c r="AN34" s="2"/>
      <c r="AO34" s="2"/>
      <c r="AP34" s="2"/>
      <c r="AU34" s="2156"/>
      <c r="AV34" s="1008" t="s">
        <v>986</v>
      </c>
      <c r="BA34" s="147"/>
      <c r="BM34" s="147"/>
      <c r="BO34" s="147"/>
      <c r="BP34" s="147"/>
      <c r="BQ34" s="147"/>
      <c r="BR34" s="147"/>
      <c r="BS34" s="147"/>
      <c r="BT34" s="147"/>
      <c r="BU34" s="147"/>
      <c r="BV34" s="147"/>
      <c r="BW34" s="147"/>
      <c r="BX34" s="147"/>
      <c r="BY34" s="147"/>
      <c r="BZ34" s="147"/>
      <c r="CA34" s="147"/>
      <c r="CB34" s="147"/>
      <c r="CC34" s="147"/>
      <c r="CE34" s="1033" t="s">
        <v>1166</v>
      </c>
      <c r="CF34" s="967" t="s">
        <v>928</v>
      </c>
      <c r="CG34" s="147"/>
      <c r="CH34" s="147"/>
      <c r="CJ34" s="147"/>
      <c r="CK34" s="147"/>
      <c r="CL34" s="147"/>
      <c r="CN34" s="147"/>
      <c r="CO34" s="147"/>
      <c r="CP34" s="147"/>
      <c r="CQ34" s="147"/>
      <c r="CR34" s="147"/>
      <c r="CS34" s="147"/>
      <c r="CV34" s="1022" t="s">
        <v>985</v>
      </c>
      <c r="CW34" s="1019" t="s">
        <v>1329</v>
      </c>
      <c r="CX34" s="1020" t="str">
        <f>LEFT(CV34,3)&amp;MID(CW34,2,3)</f>
        <v>[0311]</v>
      </c>
      <c r="CY34" s="1021">
        <v>31</v>
      </c>
      <c r="DB34" s="147"/>
      <c r="DC34" s="147"/>
      <c r="DD34" s="147"/>
      <c r="DE34" s="147"/>
      <c r="DF34" s="962" t="s">
        <v>1256</v>
      </c>
      <c r="DG34" s="1002" t="s">
        <v>928</v>
      </c>
      <c r="DH34" s="1003" t="str">
        <f t="shared" si="0"/>
        <v>[296]</v>
      </c>
      <c r="DI34" s="1003">
        <v>7</v>
      </c>
      <c r="DK34" s="1002">
        <v>30</v>
      </c>
      <c r="DL34" s="1002">
        <v>3.4000000000000002E-2</v>
      </c>
    </row>
    <row r="35" spans="20:116" ht="27" customHeight="1">
      <c r="T35" s="1008" t="s">
        <v>1257</v>
      </c>
      <c r="V35" s="973"/>
      <c r="X35" s="973"/>
      <c r="Z35" s="973"/>
      <c r="AB35" s="973"/>
      <c r="AD35" s="973"/>
      <c r="AF35" s="2"/>
      <c r="AG35" s="2"/>
      <c r="AH35" s="2"/>
      <c r="AI35" s="2"/>
      <c r="AJ35" s="2"/>
      <c r="AK35" s="2"/>
      <c r="AL35" s="2"/>
      <c r="AM35" s="2"/>
      <c r="AN35" s="2"/>
      <c r="AO35" s="2"/>
      <c r="AP35" s="2"/>
      <c r="AU35" s="2156"/>
      <c r="AV35" s="1008" t="s">
        <v>1013</v>
      </c>
      <c r="BM35" s="147"/>
      <c r="BO35" s="147"/>
      <c r="BQ35" s="147"/>
      <c r="BS35" s="147"/>
      <c r="BU35" s="147"/>
      <c r="BW35" s="147"/>
      <c r="BY35" s="147"/>
      <c r="CA35" s="147"/>
      <c r="CC35" s="147"/>
      <c r="CE35" s="1033" t="s">
        <v>1167</v>
      </c>
      <c r="CF35" s="967" t="s">
        <v>928</v>
      </c>
      <c r="CV35" s="1000" t="s">
        <v>1012</v>
      </c>
      <c r="CW35" s="971" t="s">
        <v>924</v>
      </c>
      <c r="CX35" s="972" t="str">
        <f t="shared" si="1"/>
        <v>[041]</v>
      </c>
      <c r="CY35" s="972">
        <v>15</v>
      </c>
      <c r="DF35" s="962" t="s">
        <v>1341</v>
      </c>
      <c r="DG35" s="1002" t="s">
        <v>928</v>
      </c>
      <c r="DH35" s="1003" t="str">
        <f t="shared" si="0"/>
        <v>[306]</v>
      </c>
      <c r="DI35" s="1003">
        <v>7</v>
      </c>
      <c r="DK35" s="1002">
        <v>31</v>
      </c>
      <c r="DL35" s="1002">
        <v>3.3000000000000002E-2</v>
      </c>
    </row>
    <row r="36" spans="20:116" ht="27" customHeight="1">
      <c r="T36" s="1008" t="s">
        <v>1258</v>
      </c>
      <c r="V36" s="973"/>
      <c r="X36" s="973"/>
      <c r="Z36" s="973"/>
      <c r="AB36" s="973"/>
      <c r="AD36" s="973"/>
      <c r="AF36" s="2"/>
      <c r="AG36" s="2"/>
      <c r="AH36" s="2"/>
      <c r="AI36" s="2"/>
      <c r="AJ36" s="2"/>
      <c r="AK36" s="2"/>
      <c r="AL36" s="2"/>
      <c r="AM36" s="2"/>
      <c r="AN36" s="2"/>
      <c r="AO36" s="2"/>
      <c r="AP36" s="2"/>
      <c r="AU36" s="2156"/>
      <c r="AV36" s="957" t="s">
        <v>1064</v>
      </c>
      <c r="BM36" s="147"/>
      <c r="BO36" s="147"/>
      <c r="BQ36" s="147"/>
      <c r="BS36" s="147"/>
      <c r="BU36" s="147"/>
      <c r="BW36" s="147"/>
      <c r="BY36" s="147"/>
      <c r="CA36" s="147"/>
      <c r="CC36" s="147"/>
      <c r="CE36" s="1033" t="s">
        <v>1130</v>
      </c>
      <c r="CF36" s="967" t="s">
        <v>928</v>
      </c>
      <c r="CV36" s="1012" t="s">
        <v>1012</v>
      </c>
      <c r="CW36" s="971" t="s">
        <v>966</v>
      </c>
      <c r="CX36" s="972" t="str">
        <f t="shared" si="1"/>
        <v>[042]</v>
      </c>
      <c r="CY36" s="972">
        <v>15</v>
      </c>
      <c r="DF36" s="963" t="s">
        <v>1259</v>
      </c>
      <c r="DG36" s="1034" t="s">
        <v>1260</v>
      </c>
      <c r="DH36" s="1003" t="str">
        <f t="shared" si="0"/>
        <v>[311]</v>
      </c>
      <c r="DI36" s="1003">
        <v>7</v>
      </c>
      <c r="DK36" s="1002">
        <v>32</v>
      </c>
      <c r="DL36" s="1002">
        <v>3.2000000000000001E-2</v>
      </c>
    </row>
    <row r="37" spans="20:116" ht="27" customHeight="1">
      <c r="T37" s="1008" t="s">
        <v>1261</v>
      </c>
      <c r="V37" s="973"/>
      <c r="X37" s="973"/>
      <c r="Z37" s="973"/>
      <c r="AB37" s="973"/>
      <c r="AD37" s="973"/>
      <c r="AF37" s="2"/>
      <c r="AG37" s="2"/>
      <c r="AH37" s="2"/>
      <c r="AI37" s="2"/>
      <c r="AJ37" s="2"/>
      <c r="AK37" s="2"/>
      <c r="AL37" s="2"/>
      <c r="AM37" s="2"/>
      <c r="AN37" s="2"/>
      <c r="AO37" s="2"/>
      <c r="AP37" s="2"/>
      <c r="AU37" s="2156"/>
      <c r="AV37" s="957" t="s">
        <v>1088</v>
      </c>
      <c r="BM37" s="147"/>
      <c r="BO37" s="147"/>
      <c r="BQ37" s="147"/>
      <c r="BS37" s="147"/>
      <c r="BY37" s="147"/>
      <c r="CA37" s="147"/>
      <c r="CC37" s="147"/>
      <c r="CE37" s="1033" t="s">
        <v>1131</v>
      </c>
      <c r="CF37" s="967" t="s">
        <v>928</v>
      </c>
      <c r="CV37" s="1012" t="s">
        <v>1012</v>
      </c>
      <c r="CW37" s="1026" t="s">
        <v>994</v>
      </c>
      <c r="CX37" s="972" t="str">
        <f t="shared" si="1"/>
        <v>[043]</v>
      </c>
      <c r="CY37" s="972">
        <v>38</v>
      </c>
      <c r="DF37" s="964" t="s">
        <v>1259</v>
      </c>
      <c r="DG37" s="1034" t="s">
        <v>1262</v>
      </c>
      <c r="DH37" s="1003" t="str">
        <f t="shared" si="0"/>
        <v>[312]</v>
      </c>
      <c r="DI37" s="1003">
        <v>7</v>
      </c>
      <c r="DK37" s="1002">
        <v>33</v>
      </c>
      <c r="DL37" s="1002">
        <v>3.1E-2</v>
      </c>
    </row>
    <row r="38" spans="20:116" ht="27" customHeight="1">
      <c r="T38" s="1008" t="s">
        <v>1263</v>
      </c>
      <c r="V38" s="973"/>
      <c r="X38" s="973"/>
      <c r="Z38" s="973"/>
      <c r="AB38" s="973"/>
      <c r="AD38" s="973"/>
      <c r="AF38" s="2"/>
      <c r="AG38" s="2"/>
      <c r="AH38" s="2"/>
      <c r="AI38" s="2"/>
      <c r="AJ38" s="2"/>
      <c r="AK38" s="2"/>
      <c r="AL38" s="2"/>
      <c r="AM38" s="2"/>
      <c r="AN38" s="2"/>
      <c r="AO38" s="2"/>
      <c r="AP38" s="2"/>
      <c r="AU38" s="2156"/>
      <c r="AV38" s="1008" t="s">
        <v>1324</v>
      </c>
      <c r="BM38" s="147"/>
      <c r="BO38" s="147"/>
      <c r="BQ38" s="147"/>
      <c r="BS38" s="147"/>
      <c r="BY38" s="147"/>
      <c r="CC38" s="147"/>
      <c r="CE38" s="1033" t="s">
        <v>1169</v>
      </c>
      <c r="CF38" s="967" t="s">
        <v>928</v>
      </c>
      <c r="CV38" s="1012" t="s">
        <v>1012</v>
      </c>
      <c r="CW38" s="1026" t="s">
        <v>1013</v>
      </c>
      <c r="CX38" s="972" t="str">
        <f t="shared" si="1"/>
        <v>[044]</v>
      </c>
      <c r="CY38" s="952">
        <v>34</v>
      </c>
      <c r="DF38" s="965" t="s">
        <v>1259</v>
      </c>
      <c r="DG38" s="1034" t="s">
        <v>928</v>
      </c>
      <c r="DH38" s="1003" t="str">
        <f t="shared" si="0"/>
        <v>[316]</v>
      </c>
      <c r="DI38" s="1003">
        <v>7</v>
      </c>
      <c r="DK38" s="1002">
        <v>34</v>
      </c>
      <c r="DL38" s="1002">
        <v>3.0000000000000002E-2</v>
      </c>
    </row>
    <row r="39" spans="20:116" ht="27" customHeight="1">
      <c r="T39" s="1008" t="s">
        <v>1264</v>
      </c>
      <c r="V39" s="973"/>
      <c r="X39" s="973"/>
      <c r="Z39" s="973"/>
      <c r="AB39" s="973"/>
      <c r="AD39" s="973"/>
      <c r="AF39" s="2"/>
      <c r="AG39" s="2"/>
      <c r="AH39" s="2"/>
      <c r="AI39" s="2"/>
      <c r="AJ39" s="2"/>
      <c r="AK39" s="2"/>
      <c r="AL39" s="2"/>
      <c r="AM39" s="2"/>
      <c r="AN39" s="2"/>
      <c r="AO39" s="2"/>
      <c r="AP39" s="2"/>
      <c r="AU39" s="2156"/>
      <c r="AV39" s="957" t="s">
        <v>1325</v>
      </c>
      <c r="BM39" s="147"/>
      <c r="BO39" s="147"/>
      <c r="BQ39" s="147"/>
      <c r="BS39" s="147"/>
      <c r="BY39" s="147"/>
      <c r="CE39" s="1033" t="s">
        <v>1151</v>
      </c>
      <c r="CF39" s="967" t="s">
        <v>928</v>
      </c>
      <c r="CV39" s="1012" t="s">
        <v>1012</v>
      </c>
      <c r="CW39" s="971" t="s">
        <v>1046</v>
      </c>
      <c r="CX39" s="972" t="str">
        <f t="shared" si="1"/>
        <v>[045]</v>
      </c>
      <c r="CY39" s="952">
        <v>17</v>
      </c>
      <c r="DF39" s="962" t="s">
        <v>1265</v>
      </c>
      <c r="DG39" s="1002" t="s">
        <v>928</v>
      </c>
      <c r="DH39" s="1003" t="str">
        <f t="shared" si="0"/>
        <v>[326]</v>
      </c>
      <c r="DI39" s="1003">
        <v>7</v>
      </c>
      <c r="DK39" s="1002">
        <v>35</v>
      </c>
      <c r="DL39" s="1002">
        <v>2.9000000000000001E-2</v>
      </c>
    </row>
    <row r="40" spans="20:116" ht="27" customHeight="1">
      <c r="T40" s="1008" t="s">
        <v>1266</v>
      </c>
      <c r="V40" s="973"/>
      <c r="X40" s="973"/>
      <c r="Z40" s="973"/>
      <c r="AB40" s="973"/>
      <c r="AD40" s="973"/>
      <c r="AF40" s="2"/>
      <c r="AG40" s="2"/>
      <c r="AH40" s="2"/>
      <c r="AI40" s="2"/>
      <c r="AJ40" s="2"/>
      <c r="AK40" s="2"/>
      <c r="AL40" s="2"/>
      <c r="AM40" s="2"/>
      <c r="AN40" s="2"/>
      <c r="AO40" s="2"/>
      <c r="AP40" s="2"/>
      <c r="AU40" s="2157"/>
      <c r="AV40" s="959" t="s">
        <v>1326</v>
      </c>
      <c r="BQ40" s="147"/>
      <c r="BS40" s="147"/>
      <c r="BU40" s="147"/>
      <c r="BW40" s="147"/>
      <c r="BY40" s="147"/>
      <c r="CE40" s="1033" t="s">
        <v>1152</v>
      </c>
      <c r="CF40" s="967" t="s">
        <v>928</v>
      </c>
      <c r="CV40" s="1012" t="s">
        <v>1012</v>
      </c>
      <c r="CW40" s="1026" t="s">
        <v>1070</v>
      </c>
      <c r="CX40" s="972" t="str">
        <f t="shared" si="1"/>
        <v>[046]</v>
      </c>
      <c r="CY40" s="952">
        <v>14</v>
      </c>
      <c r="DF40" s="962" t="s">
        <v>1150</v>
      </c>
      <c r="DG40" s="1002" t="s">
        <v>928</v>
      </c>
      <c r="DH40" s="1003" t="str">
        <f t="shared" si="0"/>
        <v>[546]</v>
      </c>
      <c r="DI40" s="1003">
        <v>4</v>
      </c>
      <c r="DK40" s="1002">
        <v>36</v>
      </c>
      <c r="DL40" s="1002">
        <v>2.8000000000000001E-2</v>
      </c>
    </row>
    <row r="41" spans="20:116" ht="27" customHeight="1">
      <c r="T41" s="1008" t="s">
        <v>1269</v>
      </c>
      <c r="V41" s="973"/>
      <c r="X41" s="973"/>
      <c r="Z41" s="973"/>
      <c r="AB41" s="973"/>
      <c r="AD41" s="973"/>
      <c r="AF41" s="2"/>
      <c r="AG41" s="2"/>
      <c r="AH41" s="2"/>
      <c r="AI41" s="2"/>
      <c r="AJ41" s="2"/>
      <c r="AK41" s="2"/>
      <c r="AL41" s="2"/>
      <c r="AM41" s="2"/>
      <c r="AN41" s="2"/>
      <c r="AO41" s="2"/>
      <c r="AP41" s="2"/>
      <c r="AU41" s="2155" t="s">
        <v>1253</v>
      </c>
      <c r="AV41" s="994" t="s">
        <v>905</v>
      </c>
      <c r="BU41" s="147"/>
      <c r="BW41" s="147"/>
      <c r="CA41" s="147"/>
      <c r="CE41" s="1031" t="s">
        <v>1194</v>
      </c>
      <c r="CF41" s="1007" t="s">
        <v>928</v>
      </c>
      <c r="CV41" s="1012" t="s">
        <v>1012</v>
      </c>
      <c r="CW41" s="1015" t="s">
        <v>1094</v>
      </c>
      <c r="CX41" s="836" t="str">
        <f t="shared" si="1"/>
        <v>[048]</v>
      </c>
      <c r="CY41" s="952">
        <v>31</v>
      </c>
      <c r="DF41" s="1017" t="s">
        <v>1168</v>
      </c>
      <c r="DG41" s="1001" t="s">
        <v>1270</v>
      </c>
      <c r="DH41" s="1003" t="str">
        <f t="shared" si="0"/>
        <v>[561]</v>
      </c>
      <c r="DI41" s="1003">
        <v>3</v>
      </c>
      <c r="DK41" s="1002">
        <v>37</v>
      </c>
      <c r="DL41" s="1002">
        <v>2.8000000000000001E-2</v>
      </c>
    </row>
    <row r="42" spans="20:116" ht="27" customHeight="1">
      <c r="T42" s="1008" t="s">
        <v>1271</v>
      </c>
      <c r="V42" s="973"/>
      <c r="X42" s="973"/>
      <c r="Z42" s="973"/>
      <c r="AB42" s="973"/>
      <c r="AD42" s="973"/>
      <c r="AF42" s="2"/>
      <c r="AG42" s="2"/>
      <c r="AH42" s="2"/>
      <c r="AI42" s="2"/>
      <c r="AJ42" s="2"/>
      <c r="AK42" s="2"/>
      <c r="AL42" s="2"/>
      <c r="AM42" s="2"/>
      <c r="AN42" s="2"/>
      <c r="AO42" s="2"/>
      <c r="AP42" s="2"/>
      <c r="AU42" s="2156"/>
      <c r="AV42" s="1008" t="s">
        <v>951</v>
      </c>
      <c r="BU42" s="147"/>
      <c r="BW42" s="147"/>
      <c r="CA42" s="147"/>
      <c r="CC42" s="147"/>
      <c r="CE42" s="1033" t="s">
        <v>1170</v>
      </c>
      <c r="CF42" s="967" t="s">
        <v>928</v>
      </c>
      <c r="CV42" s="1012" t="s">
        <v>1012</v>
      </c>
      <c r="CW42" s="1019" t="s">
        <v>1327</v>
      </c>
      <c r="CX42" s="1020" t="str">
        <f t="shared" si="1"/>
        <v>[049]</v>
      </c>
      <c r="CY42" s="1021">
        <v>17</v>
      </c>
      <c r="DF42" s="1017" t="s">
        <v>1168</v>
      </c>
      <c r="DG42" s="1001" t="s">
        <v>1272</v>
      </c>
      <c r="DH42" s="1003" t="str">
        <f t="shared" si="0"/>
        <v>[562]</v>
      </c>
      <c r="DI42" s="1003">
        <v>4</v>
      </c>
      <c r="DK42" s="1002">
        <v>38</v>
      </c>
      <c r="DL42" s="1002">
        <v>2.7E-2</v>
      </c>
    </row>
    <row r="43" spans="20:116" ht="27" customHeight="1">
      <c r="T43" s="1008" t="s">
        <v>1273</v>
      </c>
      <c r="V43" s="973"/>
      <c r="X43" s="973"/>
      <c r="Z43" s="973"/>
      <c r="AB43" s="973"/>
      <c r="AD43" s="973"/>
      <c r="AF43" s="2"/>
      <c r="AG43" s="2"/>
      <c r="AH43" s="2"/>
      <c r="AI43" s="2"/>
      <c r="AJ43" s="2"/>
      <c r="AK43" s="2"/>
      <c r="AL43" s="2"/>
      <c r="AM43" s="2"/>
      <c r="AN43" s="2"/>
      <c r="AO43" s="2"/>
      <c r="AP43" s="2"/>
      <c r="AU43" s="2156"/>
      <c r="AV43" s="1008" t="s">
        <v>986</v>
      </c>
      <c r="BA43" s="147"/>
      <c r="BM43" s="147"/>
      <c r="BO43" s="147"/>
      <c r="BP43" s="147"/>
      <c r="BR43" s="147"/>
      <c r="BT43" s="147"/>
      <c r="BU43" s="147"/>
      <c r="BV43" s="147"/>
      <c r="BW43" s="147"/>
      <c r="BX43" s="147"/>
      <c r="BZ43" s="147"/>
      <c r="CA43" s="147"/>
      <c r="CB43" s="147"/>
      <c r="CC43" s="147"/>
      <c r="CE43" s="966" t="s">
        <v>1274</v>
      </c>
      <c r="CF43" s="967" t="s">
        <v>928</v>
      </c>
      <c r="CG43" s="147"/>
      <c r="CH43" s="147"/>
      <c r="CJ43" s="147"/>
      <c r="CK43" s="147"/>
      <c r="CL43" s="147"/>
      <c r="CN43" s="147"/>
      <c r="CO43" s="147"/>
      <c r="CP43" s="147"/>
      <c r="CQ43" s="147"/>
      <c r="CR43" s="147"/>
      <c r="CV43" s="1012" t="s">
        <v>1012</v>
      </c>
      <c r="CW43" s="1019" t="s">
        <v>1328</v>
      </c>
      <c r="CX43" s="1020" t="str">
        <f>LEFT(CV43,3)&amp;MID(CW43,2,3)</f>
        <v>[0410]</v>
      </c>
      <c r="CY43" s="1021">
        <v>24</v>
      </c>
      <c r="DF43" s="1017" t="s">
        <v>1168</v>
      </c>
      <c r="DG43" s="1001" t="s">
        <v>1276</v>
      </c>
      <c r="DH43" s="1003" t="str">
        <f t="shared" si="0"/>
        <v>[563]</v>
      </c>
      <c r="DI43" s="1003">
        <v>5</v>
      </c>
      <c r="DK43" s="1002">
        <v>39</v>
      </c>
      <c r="DL43" s="1002">
        <v>2.6000000000000002E-2</v>
      </c>
    </row>
    <row r="44" spans="20:116" ht="27" customHeight="1">
      <c r="T44" s="1008" t="s">
        <v>1277</v>
      </c>
      <c r="V44" s="973"/>
      <c r="X44" s="973"/>
      <c r="Z44" s="973"/>
      <c r="AB44" s="973"/>
      <c r="AD44" s="973"/>
      <c r="AF44" s="2"/>
      <c r="AG44" s="2"/>
      <c r="AH44" s="2"/>
      <c r="AI44" s="2"/>
      <c r="AJ44" s="2"/>
      <c r="AK44" s="2"/>
      <c r="AL44" s="2"/>
      <c r="AM44" s="2"/>
      <c r="AN44" s="2"/>
      <c r="AO44" s="2"/>
      <c r="AP44" s="2"/>
      <c r="AU44" s="2156"/>
      <c r="AV44" s="1008" t="s">
        <v>1013</v>
      </c>
      <c r="BA44" s="147"/>
      <c r="BM44" s="147"/>
      <c r="BO44" s="147"/>
      <c r="BP44" s="147"/>
      <c r="BQ44" s="147"/>
      <c r="BR44" s="147"/>
      <c r="BS44" s="147"/>
      <c r="BT44" s="147"/>
      <c r="BU44" s="147"/>
      <c r="BV44" s="147"/>
      <c r="BW44" s="147"/>
      <c r="BX44" s="147"/>
      <c r="BY44" s="147"/>
      <c r="BZ44" s="147"/>
      <c r="CA44" s="147"/>
      <c r="CB44" s="147"/>
      <c r="CC44" s="147"/>
      <c r="CE44" s="1031" t="s">
        <v>1209</v>
      </c>
      <c r="CF44" s="1007" t="s">
        <v>928</v>
      </c>
      <c r="CG44" s="147"/>
      <c r="CH44" s="147"/>
      <c r="CJ44" s="147"/>
      <c r="CK44" s="147"/>
      <c r="CL44" s="147"/>
      <c r="CN44" s="147"/>
      <c r="CO44" s="147"/>
      <c r="CP44" s="147"/>
      <c r="CQ44" s="147"/>
      <c r="CR44" s="147"/>
      <c r="CV44" s="1022" t="s">
        <v>1012</v>
      </c>
      <c r="CW44" s="1019" t="s">
        <v>1329</v>
      </c>
      <c r="CX44" s="1020" t="str">
        <f>LEFT(CV44,3)&amp;MID(CW44,2,3)</f>
        <v>[0411]</v>
      </c>
      <c r="CY44" s="1021">
        <v>31</v>
      </c>
      <c r="DF44" s="1017" t="s">
        <v>1168</v>
      </c>
      <c r="DG44" s="1001" t="s">
        <v>1278</v>
      </c>
      <c r="DH44" s="1003" t="str">
        <f t="shared" si="0"/>
        <v>[564]</v>
      </c>
      <c r="DI44" s="1003">
        <v>6</v>
      </c>
      <c r="DK44" s="1002">
        <v>40</v>
      </c>
      <c r="DL44" s="1002">
        <v>2.5000000000000001E-2</v>
      </c>
    </row>
    <row r="45" spans="20:116" ht="27" customHeight="1">
      <c r="T45" s="1008" t="s">
        <v>1279</v>
      </c>
      <c r="V45" s="973"/>
      <c r="X45" s="973"/>
      <c r="Z45" s="973"/>
      <c r="AB45" s="973"/>
      <c r="AD45" s="973"/>
      <c r="AF45" s="2"/>
      <c r="AG45" s="2"/>
      <c r="AH45" s="2"/>
      <c r="AI45" s="2"/>
      <c r="AJ45" s="2"/>
      <c r="AK45" s="2"/>
      <c r="AL45" s="2"/>
      <c r="AM45" s="2"/>
      <c r="AN45" s="2"/>
      <c r="AO45" s="2"/>
      <c r="AP45" s="2"/>
      <c r="AU45" s="2156"/>
      <c r="AV45" s="957" t="s">
        <v>1064</v>
      </c>
      <c r="BA45" s="147"/>
      <c r="BM45" s="147"/>
      <c r="BO45" s="147"/>
      <c r="BP45" s="147"/>
      <c r="BQ45" s="147"/>
      <c r="BR45" s="147"/>
      <c r="BS45" s="147"/>
      <c r="BT45" s="147"/>
      <c r="BU45" s="147"/>
      <c r="BV45" s="147"/>
      <c r="BW45" s="147"/>
      <c r="BX45" s="147"/>
      <c r="BY45" s="147"/>
      <c r="BZ45" s="147"/>
      <c r="CA45" s="147"/>
      <c r="CB45" s="147"/>
      <c r="CC45" s="147"/>
      <c r="CE45" s="1033" t="s">
        <v>1150</v>
      </c>
      <c r="CF45" s="967" t="s">
        <v>928</v>
      </c>
      <c r="CG45" s="147"/>
      <c r="CH45" s="147"/>
      <c r="CJ45" s="147"/>
      <c r="CK45" s="147"/>
      <c r="CL45" s="147"/>
      <c r="CN45" s="147"/>
      <c r="CO45" s="147"/>
      <c r="CP45" s="147"/>
      <c r="CQ45" s="147"/>
      <c r="CR45" s="147"/>
      <c r="CV45" s="1000" t="s">
        <v>1254</v>
      </c>
      <c r="CW45" s="971" t="s">
        <v>924</v>
      </c>
      <c r="CX45" s="972" t="str">
        <f t="shared" si="1"/>
        <v>[081]</v>
      </c>
      <c r="CY45" s="972">
        <v>17</v>
      </c>
      <c r="DF45" s="1018" t="s">
        <v>1168</v>
      </c>
      <c r="DG45" s="1001" t="s">
        <v>1280</v>
      </c>
      <c r="DH45" s="1003" t="str">
        <f t="shared" si="0"/>
        <v>[565]</v>
      </c>
      <c r="DI45" s="1003">
        <v>7</v>
      </c>
      <c r="DK45" s="1002">
        <v>41</v>
      </c>
      <c r="DL45" s="1002">
        <v>2.5000000000000001E-2</v>
      </c>
    </row>
    <row r="46" spans="20:116" ht="27" customHeight="1">
      <c r="T46" s="1008" t="s">
        <v>1281</v>
      </c>
      <c r="V46" s="973"/>
      <c r="X46" s="973"/>
      <c r="Z46" s="973"/>
      <c r="AB46" s="973"/>
      <c r="AD46" s="973"/>
      <c r="AF46" s="2"/>
      <c r="AG46" s="2"/>
      <c r="AH46" s="2"/>
      <c r="AI46" s="2"/>
      <c r="AJ46" s="2"/>
      <c r="AK46" s="2"/>
      <c r="AL46" s="2"/>
      <c r="AM46" s="2"/>
      <c r="AN46" s="2"/>
      <c r="AO46" s="2"/>
      <c r="AP46" s="2"/>
      <c r="AU46" s="2156"/>
      <c r="AV46" s="957" t="s">
        <v>1088</v>
      </c>
      <c r="BA46" s="147"/>
      <c r="BM46" s="147"/>
      <c r="BO46" s="147"/>
      <c r="BP46" s="147"/>
      <c r="BQ46" s="147"/>
      <c r="BR46" s="147"/>
      <c r="BS46" s="147"/>
      <c r="BT46" s="147"/>
      <c r="BU46" s="147"/>
      <c r="BV46" s="147"/>
      <c r="BW46" s="147"/>
      <c r="BX46" s="147"/>
      <c r="BY46" s="147"/>
      <c r="BZ46" s="147"/>
      <c r="CA46" s="147"/>
      <c r="CB46" s="147"/>
      <c r="CC46" s="147"/>
      <c r="CE46" s="968" t="s">
        <v>1282</v>
      </c>
      <c r="CF46" s="1007" t="s">
        <v>928</v>
      </c>
      <c r="CG46" s="147"/>
      <c r="CH46" s="147"/>
      <c r="CJ46" s="147"/>
      <c r="CK46" s="147"/>
      <c r="CL46" s="147"/>
      <c r="CN46" s="147"/>
      <c r="CO46" s="147"/>
      <c r="CP46" s="147"/>
      <c r="CQ46" s="147"/>
      <c r="CR46" s="147"/>
      <c r="CV46" s="1012" t="s">
        <v>1254</v>
      </c>
      <c r="CW46" s="971" t="s">
        <v>966</v>
      </c>
      <c r="CX46" s="972" t="str">
        <f t="shared" si="1"/>
        <v>[082]</v>
      </c>
      <c r="CY46" s="972">
        <v>17</v>
      </c>
      <c r="DF46" s="1001" t="s">
        <v>1186</v>
      </c>
      <c r="DG46" s="1002" t="s">
        <v>928</v>
      </c>
      <c r="DH46" s="1003" t="str">
        <f t="shared" si="0"/>
        <v>[576]</v>
      </c>
      <c r="DI46" s="1003">
        <v>4</v>
      </c>
      <c r="DK46" s="1002">
        <v>42</v>
      </c>
      <c r="DL46" s="1002">
        <v>2.4E-2</v>
      </c>
    </row>
    <row r="47" spans="20:116" ht="27" customHeight="1">
      <c r="T47" s="1035" t="s">
        <v>1283</v>
      </c>
      <c r="V47" s="1036"/>
      <c r="X47" s="1036"/>
      <c r="Z47" s="1036"/>
      <c r="AB47" s="1036"/>
      <c r="AD47" s="1036"/>
      <c r="AF47" s="2"/>
      <c r="AG47" s="2"/>
      <c r="AH47" s="2"/>
      <c r="AI47" s="2"/>
      <c r="AJ47" s="2"/>
      <c r="AK47" s="2"/>
      <c r="AL47" s="2"/>
      <c r="AM47" s="2"/>
      <c r="AN47" s="2"/>
      <c r="AO47" s="2"/>
      <c r="AP47" s="2"/>
      <c r="AU47" s="2156"/>
      <c r="AV47" s="1008" t="s">
        <v>1324</v>
      </c>
      <c r="BA47" s="147"/>
      <c r="BM47" s="147"/>
      <c r="BO47" s="147"/>
      <c r="BP47" s="147"/>
      <c r="BQ47" s="147"/>
      <c r="BR47" s="147"/>
      <c r="BS47" s="147"/>
      <c r="BT47" s="147"/>
      <c r="BU47" s="147"/>
      <c r="BV47" s="147"/>
      <c r="BW47" s="147"/>
      <c r="BX47" s="147"/>
      <c r="BY47" s="147"/>
      <c r="BZ47" s="147"/>
      <c r="CA47" s="147"/>
      <c r="CB47" s="147"/>
      <c r="CC47" s="147"/>
      <c r="CE47" s="968" t="s">
        <v>1223</v>
      </c>
      <c r="CF47" s="1007" t="s">
        <v>928</v>
      </c>
      <c r="CG47" s="147"/>
      <c r="CH47" s="147"/>
      <c r="CJ47" s="147"/>
      <c r="CK47" s="147"/>
      <c r="CL47" s="147"/>
      <c r="CN47" s="147"/>
      <c r="CO47" s="147"/>
      <c r="CP47" s="147"/>
      <c r="CQ47" s="147"/>
      <c r="CR47" s="147"/>
      <c r="CV47" s="1012" t="s">
        <v>1254</v>
      </c>
      <c r="CW47" s="1026" t="s">
        <v>994</v>
      </c>
      <c r="CX47" s="972" t="str">
        <f t="shared" si="1"/>
        <v>[083]</v>
      </c>
      <c r="CY47" s="972">
        <v>38</v>
      </c>
      <c r="DF47" s="1001" t="s">
        <v>1195</v>
      </c>
      <c r="DG47" s="1002" t="s">
        <v>928</v>
      </c>
      <c r="DH47" s="1003" t="str">
        <f t="shared" si="0"/>
        <v>[586]</v>
      </c>
      <c r="DI47" s="1003">
        <v>5</v>
      </c>
      <c r="DK47" s="1002">
        <v>43</v>
      </c>
      <c r="DL47" s="1002">
        <v>2.4E-2</v>
      </c>
    </row>
    <row r="48" spans="20:116" ht="27" customHeight="1">
      <c r="T48" s="1008" t="s">
        <v>1285</v>
      </c>
      <c r="V48" s="973"/>
      <c r="X48" s="973"/>
      <c r="Z48" s="973"/>
      <c r="AB48" s="973"/>
      <c r="AD48" s="973"/>
      <c r="AF48" s="2"/>
      <c r="AG48" s="2"/>
      <c r="AH48" s="2"/>
      <c r="AI48" s="2"/>
      <c r="AJ48" s="2"/>
      <c r="AK48" s="2"/>
      <c r="AL48" s="2"/>
      <c r="AM48" s="2"/>
      <c r="AN48" s="2"/>
      <c r="AO48" s="2"/>
      <c r="AP48" s="2"/>
      <c r="AU48" s="2156"/>
      <c r="AV48" s="957" t="s">
        <v>1325</v>
      </c>
      <c r="BA48" s="147"/>
      <c r="BM48" s="147"/>
      <c r="BO48" s="147"/>
      <c r="BP48" s="147"/>
      <c r="BQ48" s="147"/>
      <c r="BR48" s="147"/>
      <c r="BS48" s="147"/>
      <c r="BT48" s="147"/>
      <c r="BU48" s="147"/>
      <c r="BV48" s="147"/>
      <c r="BW48" s="147"/>
      <c r="BX48" s="147"/>
      <c r="BY48" s="147"/>
      <c r="BZ48" s="147"/>
      <c r="CA48" s="147"/>
      <c r="CB48" s="147"/>
      <c r="CC48" s="147"/>
      <c r="CE48" s="147"/>
      <c r="CF48" s="147"/>
      <c r="CG48" s="147"/>
      <c r="CH48" s="147"/>
      <c r="CJ48" s="147"/>
      <c r="CK48" s="147"/>
      <c r="CL48" s="147"/>
      <c r="CN48" s="147"/>
      <c r="CO48" s="147"/>
      <c r="CP48" s="147"/>
      <c r="CQ48" s="147"/>
      <c r="CR48" s="147"/>
      <c r="CV48" s="1012" t="s">
        <v>1254</v>
      </c>
      <c r="CW48" s="1026" t="s">
        <v>1013</v>
      </c>
      <c r="CX48" s="972" t="str">
        <f t="shared" si="1"/>
        <v>[084]</v>
      </c>
      <c r="CY48" s="952">
        <v>34</v>
      </c>
      <c r="DF48" s="2151" t="s">
        <v>1286</v>
      </c>
      <c r="DG48" s="2151"/>
      <c r="DH48" s="2151"/>
      <c r="DI48" s="2151"/>
      <c r="DK48" s="1002">
        <v>44</v>
      </c>
      <c r="DL48" s="1002">
        <v>2.3E-2</v>
      </c>
    </row>
    <row r="49" spans="20:116" ht="27" customHeight="1">
      <c r="T49" s="1008" t="s">
        <v>1287</v>
      </c>
      <c r="V49" s="973"/>
      <c r="X49" s="973"/>
      <c r="Z49" s="973"/>
      <c r="AB49" s="973"/>
      <c r="AD49" s="973"/>
      <c r="AF49" s="2"/>
      <c r="AG49" s="2"/>
      <c r="AH49" s="2"/>
      <c r="AI49" s="2"/>
      <c r="AJ49" s="2"/>
      <c r="AK49" s="2"/>
      <c r="AL49" s="2"/>
      <c r="AM49" s="2"/>
      <c r="AN49" s="2"/>
      <c r="AO49" s="2"/>
      <c r="AP49" s="2"/>
      <c r="AU49" s="2157"/>
      <c r="AV49" s="959" t="s">
        <v>1326</v>
      </c>
      <c r="BA49" s="147"/>
      <c r="BM49" s="147"/>
      <c r="BO49" s="147"/>
      <c r="BP49" s="147"/>
      <c r="BQ49" s="147"/>
      <c r="BR49" s="147"/>
      <c r="BS49" s="147"/>
      <c r="BT49" s="147"/>
      <c r="BU49" s="147"/>
      <c r="BV49" s="147"/>
      <c r="BW49" s="147"/>
      <c r="BX49" s="147"/>
      <c r="BY49" s="147"/>
      <c r="BZ49" s="147"/>
      <c r="CA49" s="147"/>
      <c r="CB49" s="147"/>
      <c r="CC49" s="147"/>
      <c r="CE49" s="147"/>
      <c r="CF49" s="147"/>
      <c r="CG49" s="147"/>
      <c r="CH49" s="147"/>
      <c r="CJ49" s="147"/>
      <c r="CK49" s="147"/>
      <c r="CL49" s="147"/>
      <c r="CN49" s="147"/>
      <c r="CO49" s="147"/>
      <c r="CP49" s="147"/>
      <c r="CQ49" s="147"/>
      <c r="CR49" s="147"/>
      <c r="CV49" s="1012" t="s">
        <v>1254</v>
      </c>
      <c r="CW49" s="971" t="s">
        <v>1046</v>
      </c>
      <c r="CX49" s="972" t="str">
        <f t="shared" si="1"/>
        <v>[085]</v>
      </c>
      <c r="CY49" s="952">
        <v>19</v>
      </c>
      <c r="DF49" s="2152"/>
      <c r="DG49" s="2152"/>
      <c r="DH49" s="2152"/>
      <c r="DI49" s="2152"/>
      <c r="DK49" s="1002">
        <v>45</v>
      </c>
      <c r="DL49" s="1002">
        <v>2.3E-2</v>
      </c>
    </row>
    <row r="50" spans="20:116" ht="27" customHeight="1">
      <c r="T50" s="1008" t="s">
        <v>1060</v>
      </c>
      <c r="V50" s="973"/>
      <c r="X50" s="973"/>
      <c r="Z50" s="973"/>
      <c r="AB50" s="973"/>
      <c r="AD50" s="973"/>
      <c r="AF50" s="2"/>
      <c r="AG50" s="2"/>
      <c r="AH50" s="2"/>
      <c r="AI50" s="2"/>
      <c r="AJ50" s="2"/>
      <c r="AK50" s="2"/>
      <c r="AL50" s="2"/>
      <c r="AM50" s="2"/>
      <c r="AN50" s="2"/>
      <c r="AO50" s="2"/>
      <c r="AP50" s="2"/>
      <c r="AU50" s="2158" t="s">
        <v>1267</v>
      </c>
      <c r="AV50" s="994" t="s">
        <v>905</v>
      </c>
      <c r="BA50" s="147"/>
      <c r="BM50" s="147"/>
      <c r="BO50" s="147"/>
      <c r="BP50" s="147"/>
      <c r="BQ50" s="147"/>
      <c r="BR50" s="147"/>
      <c r="BS50" s="147"/>
      <c r="BT50" s="147"/>
      <c r="BU50" s="147"/>
      <c r="BV50" s="147"/>
      <c r="BW50" s="147"/>
      <c r="BX50" s="147"/>
      <c r="BY50" s="147"/>
      <c r="BZ50" s="147"/>
      <c r="CA50" s="147"/>
      <c r="CB50" s="147"/>
      <c r="CC50" s="147"/>
      <c r="CG50" s="147"/>
      <c r="CH50" s="147"/>
      <c r="CJ50" s="147"/>
      <c r="CK50" s="147"/>
      <c r="CL50" s="147"/>
      <c r="CN50" s="147"/>
      <c r="CO50" s="147"/>
      <c r="CP50" s="147"/>
      <c r="CQ50" s="147"/>
      <c r="CR50" s="147"/>
      <c r="CV50" s="1012" t="s">
        <v>1254</v>
      </c>
      <c r="CW50" s="1026" t="s">
        <v>1070</v>
      </c>
      <c r="CX50" s="972" t="str">
        <f t="shared" si="1"/>
        <v>[086]</v>
      </c>
      <c r="CY50" s="952">
        <v>15</v>
      </c>
      <c r="DK50" s="1002">
        <v>46</v>
      </c>
      <c r="DL50" s="1002">
        <v>2.2000000000000002E-2</v>
      </c>
    </row>
    <row r="51" spans="20:116" ht="27" customHeight="1">
      <c r="T51" s="1008" t="s">
        <v>1084</v>
      </c>
      <c r="V51" s="973"/>
      <c r="X51" s="973"/>
      <c r="Z51" s="973"/>
      <c r="AB51" s="973"/>
      <c r="AD51" s="973"/>
      <c r="AF51" s="2"/>
      <c r="AG51" s="2"/>
      <c r="AH51" s="2"/>
      <c r="AI51" s="2"/>
      <c r="AJ51" s="2"/>
      <c r="AK51" s="2"/>
      <c r="AL51" s="2"/>
      <c r="AM51" s="2"/>
      <c r="AN51" s="2"/>
      <c r="AO51" s="2"/>
      <c r="AP51" s="2"/>
      <c r="AU51" s="2159"/>
      <c r="AV51" s="1008" t="s">
        <v>951</v>
      </c>
      <c r="BA51" s="147"/>
      <c r="BM51" s="147"/>
      <c r="BO51" s="147"/>
      <c r="BP51" s="147"/>
      <c r="BQ51" s="147"/>
      <c r="BR51" s="147"/>
      <c r="BS51" s="147"/>
      <c r="BT51" s="147"/>
      <c r="BU51" s="147"/>
      <c r="BV51" s="147"/>
      <c r="BW51" s="147"/>
      <c r="BX51" s="147"/>
      <c r="BY51" s="147"/>
      <c r="BZ51" s="147"/>
      <c r="CA51" s="147"/>
      <c r="CB51" s="147"/>
      <c r="CC51" s="147"/>
      <c r="CG51" s="147"/>
      <c r="CH51" s="147"/>
      <c r="CJ51" s="147"/>
      <c r="CK51" s="147"/>
      <c r="CL51" s="147"/>
      <c r="CN51" s="147"/>
      <c r="CO51" s="147"/>
      <c r="CP51" s="147"/>
      <c r="CQ51" s="147"/>
      <c r="CR51" s="147"/>
      <c r="CV51" s="1012" t="s">
        <v>1254</v>
      </c>
      <c r="CW51" s="1015" t="s">
        <v>1094</v>
      </c>
      <c r="CX51" s="836" t="str">
        <f t="shared" si="1"/>
        <v>[088]</v>
      </c>
      <c r="CY51" s="952">
        <v>31</v>
      </c>
      <c r="DK51" s="1002">
        <v>47</v>
      </c>
      <c r="DL51" s="1002">
        <v>2.2000000000000002E-2</v>
      </c>
    </row>
    <row r="52" spans="20:116" ht="27" customHeight="1">
      <c r="T52" s="1008" t="s">
        <v>1105</v>
      </c>
      <c r="V52" s="973"/>
      <c r="X52" s="973"/>
      <c r="Z52" s="973"/>
      <c r="AB52" s="973"/>
      <c r="AD52" s="973"/>
      <c r="AF52" s="2"/>
      <c r="AG52" s="2"/>
      <c r="AH52" s="2"/>
      <c r="AI52" s="2"/>
      <c r="AJ52" s="2"/>
      <c r="AK52" s="2"/>
      <c r="AL52" s="2"/>
      <c r="AM52" s="2"/>
      <c r="AN52" s="2"/>
      <c r="AO52" s="2"/>
      <c r="AP52" s="2"/>
      <c r="AU52" s="2159"/>
      <c r="AV52" s="1008" t="s">
        <v>986</v>
      </c>
      <c r="BA52" s="147"/>
      <c r="BM52" s="147"/>
      <c r="BO52" s="147"/>
      <c r="BP52" s="147"/>
      <c r="BQ52" s="147"/>
      <c r="BR52" s="147"/>
      <c r="BS52" s="147"/>
      <c r="BT52" s="147"/>
      <c r="BU52" s="147"/>
      <c r="BV52" s="147"/>
      <c r="BW52" s="147"/>
      <c r="BX52" s="147"/>
      <c r="BY52" s="147"/>
      <c r="BZ52" s="147"/>
      <c r="CA52" s="147"/>
      <c r="CB52" s="147"/>
      <c r="CC52" s="147"/>
      <c r="CG52" s="147"/>
      <c r="CH52" s="147"/>
      <c r="CJ52" s="147"/>
      <c r="CK52" s="147"/>
      <c r="CL52" s="147"/>
      <c r="CN52" s="147"/>
      <c r="CO52" s="147"/>
      <c r="CP52" s="147"/>
      <c r="CQ52" s="147"/>
      <c r="CR52" s="147"/>
      <c r="CV52" s="1012" t="s">
        <v>1254</v>
      </c>
      <c r="CW52" s="1019" t="s">
        <v>1327</v>
      </c>
      <c r="CX52" s="1020" t="str">
        <f t="shared" si="1"/>
        <v>[089]</v>
      </c>
      <c r="CY52" s="1021">
        <v>19</v>
      </c>
      <c r="DK52" s="1002">
        <v>48</v>
      </c>
      <c r="DL52" s="1002">
        <v>2.1000000000000001E-2</v>
      </c>
    </row>
    <row r="53" spans="20:116" ht="27" customHeight="1">
      <c r="T53" s="1008" t="s">
        <v>1123</v>
      </c>
      <c r="V53" s="973"/>
      <c r="X53" s="973"/>
      <c r="Z53" s="973"/>
      <c r="AB53" s="973"/>
      <c r="AD53" s="973"/>
      <c r="AF53" s="2"/>
      <c r="AG53" s="2"/>
      <c r="AH53" s="2"/>
      <c r="AI53" s="2"/>
      <c r="AJ53" s="2"/>
      <c r="AK53" s="2"/>
      <c r="AL53" s="2"/>
      <c r="AM53" s="2"/>
      <c r="AN53" s="2"/>
      <c r="AO53" s="2"/>
      <c r="AP53" s="2"/>
      <c r="AU53" s="2159"/>
      <c r="AV53" s="1008" t="s">
        <v>1013</v>
      </c>
      <c r="BA53" s="147"/>
      <c r="BM53" s="147"/>
      <c r="BO53" s="147"/>
      <c r="BP53" s="147"/>
      <c r="BQ53" s="147"/>
      <c r="BR53" s="147"/>
      <c r="BS53" s="147"/>
      <c r="BT53" s="147"/>
      <c r="BU53" s="147"/>
      <c r="BV53" s="147"/>
      <c r="BW53" s="147"/>
      <c r="BX53" s="147"/>
      <c r="BY53" s="147"/>
      <c r="BZ53" s="147"/>
      <c r="CA53" s="147"/>
      <c r="CB53" s="147"/>
      <c r="CC53" s="147"/>
      <c r="CG53" s="147"/>
      <c r="CH53" s="147"/>
      <c r="CJ53" s="147"/>
      <c r="CK53" s="147"/>
      <c r="CL53" s="147"/>
      <c r="CN53" s="147"/>
      <c r="CO53" s="147"/>
      <c r="CP53" s="147"/>
      <c r="CQ53" s="147"/>
      <c r="CR53" s="147"/>
      <c r="CV53" s="1012" t="s">
        <v>1254</v>
      </c>
      <c r="CW53" s="1019" t="s">
        <v>1328</v>
      </c>
      <c r="CX53" s="1020" t="str">
        <f>LEFT(CV53,3)&amp;MID(CW53,2,3)</f>
        <v>[0810]</v>
      </c>
      <c r="CY53" s="1021">
        <v>25</v>
      </c>
      <c r="DK53" s="1002">
        <v>49</v>
      </c>
      <c r="DL53" s="1002">
        <v>2.1000000000000001E-2</v>
      </c>
    </row>
    <row r="54" spans="20:116" ht="27" customHeight="1">
      <c r="T54" s="1008" t="s">
        <v>1144</v>
      </c>
      <c r="V54" s="973"/>
      <c r="X54" s="973"/>
      <c r="Z54" s="973"/>
      <c r="AB54" s="973"/>
      <c r="AD54" s="973"/>
      <c r="AF54" s="2"/>
      <c r="AG54" s="2"/>
      <c r="AH54" s="2"/>
      <c r="AI54" s="2"/>
      <c r="AJ54" s="2"/>
      <c r="AK54" s="2"/>
      <c r="AL54" s="2"/>
      <c r="AM54" s="2"/>
      <c r="AN54" s="2"/>
      <c r="AO54" s="2"/>
      <c r="AP54" s="2"/>
      <c r="AU54" s="2159"/>
      <c r="AV54" s="957" t="s">
        <v>1064</v>
      </c>
      <c r="BA54" s="147"/>
      <c r="BM54" s="147"/>
      <c r="BO54" s="147"/>
      <c r="BP54" s="147"/>
      <c r="BQ54" s="147"/>
      <c r="BR54" s="147"/>
      <c r="BS54" s="147"/>
      <c r="BT54" s="147"/>
      <c r="BU54" s="147"/>
      <c r="BV54" s="147"/>
      <c r="BW54" s="147"/>
      <c r="BX54" s="147"/>
      <c r="BY54" s="147"/>
      <c r="BZ54" s="147"/>
      <c r="CA54" s="147"/>
      <c r="CB54" s="147"/>
      <c r="CC54" s="147"/>
      <c r="CG54" s="147"/>
      <c r="CH54" s="147"/>
      <c r="CJ54" s="147"/>
      <c r="CK54" s="147"/>
      <c r="CL54" s="147"/>
      <c r="CN54" s="147"/>
      <c r="CO54" s="147"/>
      <c r="CP54" s="147"/>
      <c r="CQ54" s="147"/>
      <c r="CR54" s="147"/>
      <c r="CV54" s="1012" t="s">
        <v>1254</v>
      </c>
      <c r="CW54" s="1019" t="s">
        <v>1329</v>
      </c>
      <c r="CX54" s="1020" t="str">
        <f>LEFT(CV54,3)&amp;MID(CW54,2,3)</f>
        <v>[0811]</v>
      </c>
      <c r="CY54" s="1021">
        <v>31</v>
      </c>
      <c r="DK54" s="1002">
        <v>50</v>
      </c>
      <c r="DL54" s="1002">
        <v>0.02</v>
      </c>
    </row>
    <row r="55" spans="20:116" ht="27" customHeight="1">
      <c r="T55" s="1008" t="s">
        <v>1291</v>
      </c>
      <c r="V55" s="973"/>
      <c r="X55" s="973"/>
      <c r="Z55" s="973"/>
      <c r="AB55" s="973"/>
      <c r="AD55" s="973"/>
      <c r="AF55" s="2"/>
      <c r="AG55" s="2"/>
      <c r="AH55" s="2"/>
      <c r="AI55" s="2"/>
      <c r="AJ55" s="2"/>
      <c r="AK55" s="2"/>
      <c r="AL55" s="2"/>
      <c r="AM55" s="2"/>
      <c r="AN55" s="2"/>
      <c r="AO55" s="2"/>
      <c r="AP55" s="2"/>
      <c r="AU55" s="2159"/>
      <c r="AV55" s="957" t="s">
        <v>1088</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1000" t="s">
        <v>1268</v>
      </c>
      <c r="CW55" s="971" t="s">
        <v>924</v>
      </c>
      <c r="CX55" s="972" t="str">
        <f t="shared" si="1"/>
        <v>[111]</v>
      </c>
      <c r="CY55" s="972">
        <v>15</v>
      </c>
    </row>
    <row r="56" spans="20:116" ht="27" customHeight="1">
      <c r="T56" s="1008" t="s">
        <v>1292</v>
      </c>
      <c r="V56" s="973"/>
      <c r="X56" s="973"/>
      <c r="Z56" s="973"/>
      <c r="AB56" s="973"/>
      <c r="AD56" s="973"/>
      <c r="AF56" s="2"/>
      <c r="AG56" s="2"/>
      <c r="AH56" s="2"/>
      <c r="AI56" s="2"/>
      <c r="AJ56" s="2"/>
      <c r="AK56" s="2"/>
      <c r="AL56" s="2"/>
      <c r="AM56" s="2"/>
      <c r="AN56" s="2"/>
      <c r="AO56" s="2"/>
      <c r="AP56" s="2"/>
      <c r="AU56" s="2159"/>
      <c r="AV56" s="1008" t="s">
        <v>1324</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1012" t="s">
        <v>1268</v>
      </c>
      <c r="CW56" s="971" t="s">
        <v>966</v>
      </c>
      <c r="CX56" s="972" t="str">
        <f t="shared" si="1"/>
        <v>[112]</v>
      </c>
      <c r="CY56" s="972">
        <v>15</v>
      </c>
    </row>
    <row r="57" spans="20:116" ht="27" customHeight="1">
      <c r="T57" s="1008" t="s">
        <v>1293</v>
      </c>
      <c r="V57" s="973"/>
      <c r="X57" s="973"/>
      <c r="Z57" s="973"/>
      <c r="AB57" s="973"/>
      <c r="AD57" s="973"/>
      <c r="AF57" s="2"/>
      <c r="AG57" s="2"/>
      <c r="AH57" s="2"/>
      <c r="AI57" s="2"/>
      <c r="AJ57" s="2"/>
      <c r="AK57" s="2"/>
      <c r="AL57" s="2"/>
      <c r="AM57" s="2"/>
      <c r="AN57" s="2"/>
      <c r="AO57" s="2"/>
      <c r="AP57" s="2"/>
      <c r="AU57" s="2159"/>
      <c r="AV57" s="957" t="s">
        <v>1325</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1012" t="s">
        <v>1268</v>
      </c>
      <c r="CW57" s="1026" t="s">
        <v>994</v>
      </c>
      <c r="CX57" s="972" t="str">
        <f t="shared" si="1"/>
        <v>[113]</v>
      </c>
      <c r="CY57" s="972">
        <v>38</v>
      </c>
    </row>
    <row r="58" spans="20:116" ht="27" customHeight="1">
      <c r="T58" s="1008" t="s">
        <v>1298</v>
      </c>
      <c r="V58" s="973"/>
      <c r="X58" s="973"/>
      <c r="Z58" s="973"/>
      <c r="AB58" s="973"/>
      <c r="AD58" s="973"/>
      <c r="AF58" s="2"/>
      <c r="AG58" s="2"/>
      <c r="AH58" s="2"/>
      <c r="AI58" s="2"/>
      <c r="AJ58" s="2"/>
      <c r="AK58" s="2"/>
      <c r="AL58" s="2"/>
      <c r="AM58" s="2"/>
      <c r="AN58" s="2"/>
      <c r="AO58" s="2"/>
      <c r="AP58" s="2"/>
      <c r="AU58" s="2160"/>
      <c r="AV58" s="959" t="s">
        <v>1326</v>
      </c>
      <c r="BA58" s="147"/>
      <c r="BM58" s="147"/>
      <c r="BO58" s="147"/>
      <c r="BP58" s="147"/>
      <c r="BQ58" s="147"/>
      <c r="BR58" s="147"/>
      <c r="BS58" s="147"/>
      <c r="BT58" s="147"/>
      <c r="BV58" s="147"/>
      <c r="BX58" s="147"/>
      <c r="BY58" s="147"/>
      <c r="BZ58" s="147"/>
      <c r="CB58" s="147"/>
      <c r="CC58" s="147"/>
      <c r="CE58" s="147"/>
      <c r="CF58" s="147"/>
      <c r="CG58" s="147"/>
      <c r="CH58" s="147"/>
      <c r="CJ58" s="147"/>
      <c r="CK58" s="147"/>
      <c r="CL58" s="147"/>
      <c r="CN58" s="147"/>
      <c r="CO58" s="147"/>
      <c r="CP58" s="147"/>
      <c r="CQ58" s="147"/>
      <c r="CR58" s="147"/>
      <c r="CV58" s="1012" t="s">
        <v>1268</v>
      </c>
      <c r="CW58" s="1026" t="s">
        <v>1275</v>
      </c>
      <c r="CX58" s="972" t="str">
        <f t="shared" si="1"/>
        <v>[114]</v>
      </c>
      <c r="CY58" s="952">
        <v>34</v>
      </c>
    </row>
    <row r="59" spans="20:116" ht="27" customHeight="1">
      <c r="T59" s="1007" t="s">
        <v>1301</v>
      </c>
      <c r="V59" s="973"/>
      <c r="X59" s="973"/>
      <c r="Z59" s="973"/>
      <c r="AB59" s="973"/>
      <c r="AD59" s="973"/>
      <c r="AF59" s="2"/>
      <c r="AG59" s="2"/>
      <c r="AH59" s="2"/>
      <c r="AI59" s="2"/>
      <c r="AJ59" s="2"/>
      <c r="AK59" s="2"/>
      <c r="AL59" s="2"/>
      <c r="AM59" s="2"/>
      <c r="AN59" s="2"/>
      <c r="AO59" s="2"/>
      <c r="AP59" s="2"/>
      <c r="AU59" s="2155" t="s">
        <v>1087</v>
      </c>
      <c r="AV59" s="994" t="s">
        <v>905</v>
      </c>
      <c r="BA59" s="147"/>
      <c r="BM59" s="147"/>
      <c r="BO59" s="147"/>
      <c r="BP59" s="147"/>
      <c r="BQ59" s="147"/>
      <c r="BR59" s="147"/>
      <c r="BS59" s="147"/>
      <c r="BT59" s="147"/>
      <c r="BV59" s="147"/>
      <c r="BX59" s="147"/>
      <c r="BY59" s="147"/>
      <c r="BZ59" s="147"/>
      <c r="CB59" s="147"/>
      <c r="CE59" s="147"/>
      <c r="CF59" s="147"/>
      <c r="CG59" s="147"/>
      <c r="CH59" s="147"/>
      <c r="CJ59" s="147"/>
      <c r="CK59" s="147"/>
      <c r="CL59" s="147"/>
      <c r="CN59" s="147"/>
      <c r="CO59" s="147"/>
      <c r="CP59" s="147"/>
      <c r="CQ59" s="147"/>
      <c r="CR59" s="147"/>
      <c r="CV59" s="1012" t="s">
        <v>1268</v>
      </c>
      <c r="CW59" s="971" t="s">
        <v>1046</v>
      </c>
      <c r="CX59" s="972" t="str">
        <f t="shared" si="1"/>
        <v>[115]</v>
      </c>
      <c r="CY59" s="952">
        <v>17</v>
      </c>
    </row>
    <row r="60" spans="20:116" ht="27" customHeight="1">
      <c r="AU60" s="2156"/>
      <c r="AV60" s="1008" t="s">
        <v>951</v>
      </c>
      <c r="BQ60" s="147"/>
      <c r="BS60" s="147"/>
      <c r="BY60" s="147"/>
      <c r="CE60" s="147"/>
      <c r="CF60" s="147"/>
      <c r="CV60" s="1012" t="s">
        <v>1268</v>
      </c>
      <c r="CW60" s="1026" t="s">
        <v>1070</v>
      </c>
      <c r="CX60" s="972" t="str">
        <f t="shared" si="1"/>
        <v>[116]</v>
      </c>
      <c r="CY60" s="952">
        <v>14</v>
      </c>
    </row>
    <row r="61" spans="20:116" ht="27" customHeight="1">
      <c r="AU61" s="2157"/>
      <c r="AV61" s="956" t="s">
        <v>1288</v>
      </c>
      <c r="CE61" s="147"/>
      <c r="CF61" s="147"/>
      <c r="CV61" s="1012" t="s">
        <v>1268</v>
      </c>
      <c r="CW61" s="1015" t="s">
        <v>1094</v>
      </c>
      <c r="CX61" s="836" t="str">
        <f t="shared" si="1"/>
        <v>[118]</v>
      </c>
      <c r="CY61" s="952">
        <v>31</v>
      </c>
    </row>
    <row r="62" spans="20:116" ht="27" customHeight="1">
      <c r="AU62" s="2158" t="s">
        <v>1290</v>
      </c>
      <c r="AV62" s="994" t="s">
        <v>905</v>
      </c>
      <c r="CE62" s="147"/>
      <c r="CF62" s="147"/>
      <c r="CV62" s="1012" t="s">
        <v>1268</v>
      </c>
      <c r="CW62" s="1019" t="s">
        <v>1327</v>
      </c>
      <c r="CX62" s="1020" t="str">
        <f t="shared" si="1"/>
        <v>[119]</v>
      </c>
      <c r="CY62" s="1021">
        <v>17</v>
      </c>
    </row>
    <row r="63" spans="20:116" ht="27" customHeight="1">
      <c r="AU63" s="2159"/>
      <c r="AV63" s="1008" t="s">
        <v>951</v>
      </c>
      <c r="CE63" s="147"/>
      <c r="CF63" s="147"/>
      <c r="CV63" s="1012" t="s">
        <v>1268</v>
      </c>
      <c r="CW63" s="1019" t="s">
        <v>1328</v>
      </c>
      <c r="CX63" s="1020" t="str">
        <f>LEFT(CV63,3)&amp;MID(CW63,2,3)</f>
        <v>[1110]</v>
      </c>
      <c r="CY63" s="1021">
        <v>24</v>
      </c>
    </row>
    <row r="64" spans="20:116" ht="27" customHeight="1">
      <c r="AU64" s="2159"/>
      <c r="AV64" s="1008" t="s">
        <v>986</v>
      </c>
      <c r="CE64" s="147"/>
      <c r="CF64" s="147"/>
      <c r="CV64" s="1012" t="s">
        <v>1268</v>
      </c>
      <c r="CW64" s="1019" t="s">
        <v>1329</v>
      </c>
      <c r="CX64" s="1020" t="str">
        <f>LEFT(CV64,3)&amp;MID(CW64,2,3)</f>
        <v>[1111]</v>
      </c>
      <c r="CY64" s="1021">
        <v>31</v>
      </c>
    </row>
    <row r="65" spans="47:103" ht="27" customHeight="1">
      <c r="AU65" s="2159"/>
      <c r="AV65" s="1008" t="s">
        <v>1013</v>
      </c>
      <c r="CE65" s="147"/>
      <c r="CF65" s="147"/>
      <c r="CV65" s="1000" t="s">
        <v>1284</v>
      </c>
      <c r="CW65" s="971" t="s">
        <v>924</v>
      </c>
      <c r="CX65" s="972" t="str">
        <f t="shared" si="1"/>
        <v>[121]</v>
      </c>
      <c r="CY65" s="972">
        <v>5</v>
      </c>
    </row>
    <row r="66" spans="47:103" ht="27" customHeight="1">
      <c r="AU66" s="2159"/>
      <c r="AV66" s="957" t="s">
        <v>1064</v>
      </c>
      <c r="CE66" s="147"/>
      <c r="CF66" s="147"/>
      <c r="CV66" s="1012" t="s">
        <v>1284</v>
      </c>
      <c r="CW66" s="971" t="s">
        <v>966</v>
      </c>
      <c r="CX66" s="972" t="str">
        <f t="shared" si="1"/>
        <v>[122]</v>
      </c>
      <c r="CY66" s="972">
        <v>8</v>
      </c>
    </row>
    <row r="67" spans="47:103" ht="27" customHeight="1">
      <c r="AU67" s="2159"/>
      <c r="AV67" s="957" t="s">
        <v>1088</v>
      </c>
      <c r="CE67" s="147"/>
      <c r="CF67" s="147"/>
      <c r="CV67" s="1012" t="s">
        <v>1284</v>
      </c>
      <c r="CW67" s="971" t="s">
        <v>1289</v>
      </c>
      <c r="CX67" s="972" t="str">
        <f t="shared" si="1"/>
        <v>[127]</v>
      </c>
      <c r="CY67" s="952">
        <v>14</v>
      </c>
    </row>
    <row r="68" spans="47:103" ht="27" customHeight="1">
      <c r="AU68" s="2159"/>
      <c r="AV68" s="1008" t="s">
        <v>1324</v>
      </c>
      <c r="CE68" s="147"/>
      <c r="CF68" s="147"/>
      <c r="CV68" s="960" t="s">
        <v>1108</v>
      </c>
      <c r="CW68" s="971" t="s">
        <v>924</v>
      </c>
      <c r="CX68" s="952" t="str">
        <f t="shared" si="1"/>
        <v>[131]</v>
      </c>
      <c r="CY68" s="952">
        <v>24</v>
      </c>
    </row>
    <row r="69" spans="47:103" ht="27" customHeight="1">
      <c r="AU69" s="2159"/>
      <c r="AV69" s="957" t="s">
        <v>1325</v>
      </c>
      <c r="CE69" s="147"/>
      <c r="CF69" s="147"/>
      <c r="CV69" s="957" t="s">
        <v>1108</v>
      </c>
      <c r="CW69" s="971" t="s">
        <v>966</v>
      </c>
      <c r="CX69" s="952" t="str">
        <f t="shared" si="1"/>
        <v>[132]</v>
      </c>
      <c r="CY69" s="952">
        <v>24</v>
      </c>
    </row>
    <row r="70" spans="47:103" ht="27" customHeight="1">
      <c r="AU70" s="2160"/>
      <c r="AV70" s="959" t="s">
        <v>1326</v>
      </c>
      <c r="CE70" s="147"/>
      <c r="CF70" s="147"/>
      <c r="CV70" s="957" t="s">
        <v>1108</v>
      </c>
      <c r="CW70" s="1026" t="s">
        <v>994</v>
      </c>
      <c r="CX70" s="952" t="str">
        <f t="shared" si="1"/>
        <v>[133]</v>
      </c>
      <c r="CY70" s="952">
        <v>50</v>
      </c>
    </row>
    <row r="71" spans="47:103" ht="27" customHeight="1">
      <c r="AU71" s="2155" t="s">
        <v>1294</v>
      </c>
      <c r="AV71" s="960" t="s">
        <v>1295</v>
      </c>
      <c r="CE71" s="147"/>
      <c r="CF71" s="147"/>
      <c r="CV71" s="957" t="s">
        <v>1108</v>
      </c>
      <c r="CW71" s="1026" t="s">
        <v>1013</v>
      </c>
      <c r="CX71" s="952" t="str">
        <f t="shared" si="1"/>
        <v>[134]</v>
      </c>
      <c r="CY71" s="952">
        <v>41</v>
      </c>
    </row>
    <row r="72" spans="47:103" ht="27" customHeight="1">
      <c r="AU72" s="2156"/>
      <c r="AV72" s="957" t="s">
        <v>1299</v>
      </c>
      <c r="CE72" s="147"/>
      <c r="CF72" s="147"/>
      <c r="CV72" s="957" t="s">
        <v>1108</v>
      </c>
      <c r="CW72" s="971" t="s">
        <v>1046</v>
      </c>
      <c r="CX72" s="952" t="str">
        <f t="shared" si="1"/>
        <v>[135]</v>
      </c>
      <c r="CY72" s="952">
        <v>22</v>
      </c>
    </row>
    <row r="73" spans="47:103" ht="27" customHeight="1">
      <c r="AU73" s="2157"/>
      <c r="AV73" s="1007" t="s">
        <v>1302</v>
      </c>
      <c r="CE73" s="147"/>
      <c r="CF73" s="147"/>
      <c r="CV73" s="957" t="s">
        <v>1108</v>
      </c>
      <c r="CW73" s="1026" t="s">
        <v>1070</v>
      </c>
      <c r="CX73" s="952" t="str">
        <f t="shared" si="1"/>
        <v>[136]</v>
      </c>
      <c r="CY73" s="952">
        <v>22</v>
      </c>
    </row>
    <row r="74" spans="47:103" ht="27" customHeight="1">
      <c r="AU74" s="2161" t="s">
        <v>1304</v>
      </c>
      <c r="AV74" s="960" t="s">
        <v>1305</v>
      </c>
      <c r="CE74" s="147"/>
      <c r="CF74" s="147"/>
      <c r="CV74" s="957" t="s">
        <v>1108</v>
      </c>
      <c r="CW74" s="1015" t="s">
        <v>1094</v>
      </c>
      <c r="CX74" s="836" t="str">
        <f t="shared" si="1"/>
        <v>[138]</v>
      </c>
      <c r="CY74" s="952">
        <v>38</v>
      </c>
    </row>
    <row r="75" spans="47:103" ht="27" customHeight="1">
      <c r="AU75" s="2162"/>
      <c r="AV75" s="1007" t="s">
        <v>1302</v>
      </c>
      <c r="CV75" s="957" t="s">
        <v>1108</v>
      </c>
      <c r="CW75" s="1019" t="s">
        <v>1327</v>
      </c>
      <c r="CX75" s="952" t="str">
        <f t="shared" si="1"/>
        <v>[139]</v>
      </c>
      <c r="CY75" s="1021">
        <v>22</v>
      </c>
    </row>
    <row r="76" spans="47:103" ht="27" customHeight="1">
      <c r="AU76" s="2158" t="s">
        <v>1163</v>
      </c>
      <c r="AV76" s="994" t="s">
        <v>1308</v>
      </c>
      <c r="CV76" s="957" t="s">
        <v>1108</v>
      </c>
      <c r="CW76" s="1019" t="s">
        <v>1328</v>
      </c>
      <c r="CX76" s="1020" t="str">
        <f>LEFT(CV76,3)&amp;MID(CW76,2,3)</f>
        <v>[1310]</v>
      </c>
      <c r="CY76" s="1021">
        <v>30</v>
      </c>
    </row>
    <row r="77" spans="47:103" ht="27" customHeight="1">
      <c r="AU77" s="2159"/>
      <c r="AV77" s="1008" t="s">
        <v>1311</v>
      </c>
      <c r="CV77" s="959" t="s">
        <v>1108</v>
      </c>
      <c r="CW77" s="1019" t="s">
        <v>1329</v>
      </c>
      <c r="CX77" s="1020" t="str">
        <f>LEFT(CV77,3)&amp;MID(CW77,2,3)</f>
        <v>[1311]</v>
      </c>
      <c r="CY77" s="1021">
        <v>38</v>
      </c>
    </row>
    <row r="78" spans="47:103">
      <c r="AU78" s="2160"/>
      <c r="AV78" s="1007" t="s">
        <v>1302</v>
      </c>
      <c r="CV78" s="957" t="s">
        <v>1296</v>
      </c>
      <c r="CW78" s="1026" t="s">
        <v>1297</v>
      </c>
      <c r="CX78" s="952" t="str">
        <f t="shared" si="1"/>
        <v>[142]</v>
      </c>
      <c r="CY78" s="952">
        <v>14</v>
      </c>
    </row>
    <row r="79" spans="47:103">
      <c r="AU79" s="1003" t="s">
        <v>1183</v>
      </c>
      <c r="AV79" s="1037" t="s">
        <v>1302</v>
      </c>
      <c r="CV79" s="957" t="s">
        <v>1296</v>
      </c>
      <c r="CW79" s="1026" t="s">
        <v>1300</v>
      </c>
      <c r="CX79" s="952" t="str">
        <f t="shared" si="1"/>
        <v>[143]</v>
      </c>
      <c r="CY79" s="952">
        <v>5</v>
      </c>
    </row>
    <row r="80" spans="47:103">
      <c r="AU80" s="1003" t="s">
        <v>1314</v>
      </c>
      <c r="AV80" s="1037" t="s">
        <v>1302</v>
      </c>
      <c r="CV80" s="957" t="s">
        <v>1296</v>
      </c>
      <c r="CW80" s="1026" t="s">
        <v>1303</v>
      </c>
      <c r="CX80" s="952" t="str">
        <f t="shared" si="1"/>
        <v>[147]</v>
      </c>
      <c r="CY80" s="952">
        <v>30</v>
      </c>
    </row>
    <row r="81" spans="47:103" ht="22.5">
      <c r="AU81" s="2161" t="s">
        <v>1201</v>
      </c>
      <c r="AV81" s="960" t="s">
        <v>1305</v>
      </c>
      <c r="CV81" s="960" t="s">
        <v>1306</v>
      </c>
      <c r="CW81" s="1026" t="s">
        <v>1307</v>
      </c>
      <c r="CX81" s="952" t="str">
        <f t="shared" si="1"/>
        <v>[151]</v>
      </c>
      <c r="CY81" s="952">
        <v>17</v>
      </c>
    </row>
    <row r="82" spans="47:103">
      <c r="AU82" s="2162"/>
      <c r="AV82" s="1007" t="s">
        <v>1302</v>
      </c>
      <c r="CV82" s="959" t="s">
        <v>1306</v>
      </c>
      <c r="CW82" s="1026" t="s">
        <v>1303</v>
      </c>
      <c r="CX82" s="952" t="str">
        <f t="shared" si="1"/>
        <v>[157]</v>
      </c>
      <c r="CY82" s="952">
        <v>30</v>
      </c>
    </row>
    <row r="83" spans="47:103">
      <c r="AU83" s="2161" t="s">
        <v>1207</v>
      </c>
      <c r="AV83" s="960" t="s">
        <v>1305</v>
      </c>
      <c r="CV83" s="957" t="s">
        <v>1309</v>
      </c>
      <c r="CW83" s="1026" t="s">
        <v>1310</v>
      </c>
      <c r="CX83" s="952" t="str">
        <f t="shared" si="1"/>
        <v>[164]</v>
      </c>
      <c r="CY83" s="952">
        <v>10</v>
      </c>
    </row>
    <row r="84" spans="47:103">
      <c r="AU84" s="2162"/>
      <c r="AV84" s="1007" t="s">
        <v>1302</v>
      </c>
      <c r="CV84" s="957" t="s">
        <v>1309</v>
      </c>
      <c r="CW84" s="1026" t="s">
        <v>1312</v>
      </c>
      <c r="CX84" s="952" t="str">
        <f t="shared" si="1"/>
        <v>[166]</v>
      </c>
      <c r="CY84" s="952">
        <v>8</v>
      </c>
    </row>
    <row r="85" spans="47:103">
      <c r="AU85" s="1916" t="s">
        <v>1214</v>
      </c>
      <c r="AV85" s="960" t="s">
        <v>1305</v>
      </c>
      <c r="CV85" s="959" t="s">
        <v>1309</v>
      </c>
      <c r="CW85" s="1026" t="s">
        <v>1303</v>
      </c>
      <c r="CX85" s="952" t="str">
        <f t="shared" si="1"/>
        <v>[167]</v>
      </c>
      <c r="CY85" s="952">
        <v>30</v>
      </c>
    </row>
    <row r="86" spans="47:103">
      <c r="AU86" s="1906"/>
      <c r="AV86" s="957" t="s">
        <v>1295</v>
      </c>
      <c r="CV86" s="969" t="s">
        <v>1313</v>
      </c>
      <c r="CW86" s="1026" t="s">
        <v>1303</v>
      </c>
      <c r="CX86" s="952" t="str">
        <f t="shared" si="1"/>
        <v>[177]</v>
      </c>
      <c r="CY86" s="952">
        <v>8</v>
      </c>
    </row>
    <row r="87" spans="47:103">
      <c r="AU87" s="1906"/>
      <c r="AV87" s="957" t="s">
        <v>1299</v>
      </c>
      <c r="CV87" s="957" t="s">
        <v>1315</v>
      </c>
      <c r="CW87" s="1026" t="s">
        <v>1303</v>
      </c>
      <c r="CX87" s="952" t="str">
        <f t="shared" si="1"/>
        <v>[187]</v>
      </c>
      <c r="CY87" s="952">
        <v>8</v>
      </c>
    </row>
    <row r="88" spans="47:103" ht="22.5">
      <c r="AU88" s="1906"/>
      <c r="AV88" s="1008" t="s">
        <v>1308</v>
      </c>
      <c r="CV88" s="960" t="s">
        <v>1316</v>
      </c>
      <c r="CW88" s="1026" t="s">
        <v>1307</v>
      </c>
      <c r="CX88" s="952" t="str">
        <f t="shared" si="1"/>
        <v>[191]</v>
      </c>
      <c r="CY88" s="952">
        <v>17</v>
      </c>
    </row>
    <row r="89" spans="47:103">
      <c r="AU89" s="1906"/>
      <c r="AV89" s="1008" t="s">
        <v>1319</v>
      </c>
      <c r="CV89" s="957" t="s">
        <v>1316</v>
      </c>
      <c r="CW89" s="1026" t="s">
        <v>1303</v>
      </c>
      <c r="CX89" s="952" t="str">
        <f t="shared" si="1"/>
        <v>[197]</v>
      </c>
      <c r="CY89" s="952">
        <v>30</v>
      </c>
    </row>
    <row r="90" spans="47:103" ht="22.5">
      <c r="AU90" s="1906"/>
      <c r="AV90" s="1008" t="s">
        <v>1311</v>
      </c>
      <c r="CV90" s="960" t="s">
        <v>1317</v>
      </c>
      <c r="CW90" s="1026" t="s">
        <v>1307</v>
      </c>
      <c r="CX90" s="952" t="str">
        <f t="shared" si="1"/>
        <v>[251]</v>
      </c>
      <c r="CY90" s="952">
        <v>17</v>
      </c>
    </row>
    <row r="91" spans="47:103">
      <c r="AU91" s="1917"/>
      <c r="AV91" s="1007" t="s">
        <v>1302</v>
      </c>
      <c r="CV91" s="959" t="s">
        <v>1317</v>
      </c>
      <c r="CW91" s="1026" t="s">
        <v>1303</v>
      </c>
      <c r="CX91" s="952" t="str">
        <f t="shared" si="1"/>
        <v>[257]</v>
      </c>
      <c r="CY91" s="952">
        <v>30</v>
      </c>
    </row>
    <row r="92" spans="47:103" ht="22.5">
      <c r="CV92" s="960" t="s">
        <v>1318</v>
      </c>
      <c r="CW92" s="1026" t="s">
        <v>1307</v>
      </c>
      <c r="CX92" s="952" t="str">
        <f t="shared" ref="CX92:CX98" si="2">LEFT(CV92,3)&amp;MID(CW92,2,2)</f>
        <v>[311]</v>
      </c>
      <c r="CY92" s="952">
        <v>17</v>
      </c>
    </row>
    <row r="93" spans="47:103">
      <c r="CV93" s="957" t="s">
        <v>1318</v>
      </c>
      <c r="CW93" s="1026" t="s">
        <v>1297</v>
      </c>
      <c r="CX93" s="952" t="str">
        <f t="shared" si="2"/>
        <v>[312]</v>
      </c>
      <c r="CY93" s="952">
        <v>14</v>
      </c>
    </row>
    <row r="94" spans="47:103">
      <c r="CV94" s="957" t="s">
        <v>1318</v>
      </c>
      <c r="CW94" s="1026" t="s">
        <v>1300</v>
      </c>
      <c r="CX94" s="952" t="str">
        <f t="shared" si="2"/>
        <v>[313]</v>
      </c>
      <c r="CY94" s="952">
        <v>5</v>
      </c>
    </row>
    <row r="95" spans="47:103">
      <c r="CV95" s="957" t="s">
        <v>1318</v>
      </c>
      <c r="CW95" s="1026" t="s">
        <v>1310</v>
      </c>
      <c r="CX95" s="952" t="str">
        <f t="shared" si="2"/>
        <v>[314]</v>
      </c>
      <c r="CY95" s="952">
        <v>10</v>
      </c>
    </row>
    <row r="96" spans="47:103">
      <c r="CV96" s="957" t="s">
        <v>1318</v>
      </c>
      <c r="CW96" s="1026" t="s">
        <v>1320</v>
      </c>
      <c r="CX96" s="952" t="str">
        <f t="shared" si="2"/>
        <v>[315]</v>
      </c>
      <c r="CY96" s="952">
        <v>8</v>
      </c>
    </row>
    <row r="97" spans="100:103">
      <c r="CV97" s="957" t="s">
        <v>1318</v>
      </c>
      <c r="CW97" s="1026" t="s">
        <v>1312</v>
      </c>
      <c r="CX97" s="952" t="str">
        <f t="shared" si="2"/>
        <v>[316]</v>
      </c>
      <c r="CY97" s="952">
        <v>8</v>
      </c>
    </row>
    <row r="98" spans="100:103">
      <c r="CV98" s="957" t="s">
        <v>1318</v>
      </c>
      <c r="CW98" s="1026" t="s">
        <v>1303</v>
      </c>
      <c r="CX98" s="952" t="str">
        <f t="shared" si="2"/>
        <v>[317]</v>
      </c>
      <c r="CY98" s="952">
        <v>8</v>
      </c>
    </row>
    <row r="99" spans="100:103">
      <c r="CV99" s="1038" t="s">
        <v>1321</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17130A9-5147-45FF-BF25-3BE03E260EE6}">
  <ds:schemaRefs>
    <ds:schemaRef ds:uri="http://schemas.microsoft.com/sharepoint/v3/contenttype/forms"/>
  </ds:schemaRefs>
</ds:datastoreItem>
</file>

<file path=customXml/itemProps2.xml><?xml version="1.0" encoding="utf-8"?>
<ds:datastoreItem xmlns:ds="http://schemas.openxmlformats.org/officeDocument/2006/customXml" ds:itemID="{5C9F16BE-F686-4995-BE5B-60BD7C1FA9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059E255-4424-4AE9-8587-9E67593B67D8}">
  <ds:schemaRefs>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1f80570b-921c-4f4d-b36a-d1e87defc2ad"/>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表紙_組織</vt:lpstr>
      <vt:lpstr>約束事項_大豆</vt:lpstr>
      <vt:lpstr>目次_組織_米以外</vt:lpstr>
      <vt:lpstr>【１】経営の概況①_組織_米以外</vt:lpstr>
      <vt:lpstr>【１】経営の概況③_組織_麦・大豆・なたね・そば</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2020-03-06T09:35:47Z</dcterms:created>
  <dcterms:modified xsi:type="dcterms:W3CDTF">2022-12-07T01:11:55Z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