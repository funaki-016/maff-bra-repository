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7867B5EB-EB49-4B6D-8A22-981F80CE4456}" xr6:coauthVersionLast="47" xr6:coauthVersionMax="47" xr10:uidLastSave="{00000000-0000-0000-0000-000000000000}"/>
  <bookViews>
    <workbookView xWindow="-120" yWindow="-120" windowWidth="29040" windowHeight="15840" tabRatio="903" xr2:uid="{00000000-000D-0000-FFFF-FFFF00000000}"/>
  </bookViews>
  <sheets>
    <sheet name="No1" sheetId="200" r:id="rId1"/>
    <sheet name="No2" sheetId="201" r:id="rId2"/>
    <sheet name="No3" sheetId="202" r:id="rId3"/>
    <sheet name="リスト" sheetId="206" state="hidden" r:id="rId4"/>
  </sheets>
  <definedNames>
    <definedName name="_xlnm.Print_Area" localSheetId="0">'No1'!$A$1:$CH$59</definedName>
    <definedName name="_xlnm.Print_Area" localSheetId="1">'No2'!$A$1:$CH$59</definedName>
    <definedName name="_xlnm.Print_Area" localSheetId="2">'No3'!$A$1:$CH$66</definedName>
  </definedNames>
  <calcPr calcId="191029"/>
</workbook>
</file>

<file path=xl/calcChain.xml><?xml version="1.0" encoding="utf-8"?>
<calcChain xmlns="http://schemas.openxmlformats.org/spreadsheetml/2006/main">
  <c r="F2" i="201" l="1"/>
  <c r="F2" i="202"/>
  <c r="I5" i="200" l="1"/>
  <c r="B1" i="200" l="1"/>
  <c r="Q7" i="206" l="1"/>
  <c r="BD5" i="202" l="1"/>
  <c r="AX5" i="202"/>
  <c r="AR5" i="202"/>
  <c r="AL5" i="202"/>
  <c r="AF5" i="202"/>
  <c r="Z5" i="202"/>
  <c r="T5" i="202"/>
  <c r="N5" i="202"/>
  <c r="H5" i="202"/>
  <c r="B5" i="202"/>
  <c r="B1" i="202" s="1"/>
  <c r="BD5" i="201"/>
  <c r="AX5" i="201"/>
  <c r="AR5" i="201"/>
  <c r="AL5" i="201"/>
  <c r="AF5" i="201"/>
  <c r="Z5" i="201"/>
  <c r="T5" i="201"/>
  <c r="N5" i="201"/>
  <c r="H5" i="201"/>
  <c r="B5" i="201"/>
  <c r="B1" i="201" s="1"/>
  <c r="AY5" i="200" l="1"/>
  <c r="U5" i="200"/>
  <c r="U5" i="202" s="1"/>
  <c r="AY5" i="202" l="1"/>
  <c r="AY5" i="201"/>
  <c r="U5" i="201"/>
  <c r="H10" i="206"/>
  <c r="BE5" i="200" s="1"/>
  <c r="BE5" i="202" s="1"/>
  <c r="T7" i="206"/>
  <c r="O5" i="200" s="1"/>
  <c r="N10" i="206"/>
  <c r="AG5" i="200" s="1"/>
  <c r="AG5" i="202" s="1"/>
  <c r="K20" i="206"/>
  <c r="AA5" i="200" s="1"/>
  <c r="AA5" i="202" l="1"/>
  <c r="BE5" i="201"/>
  <c r="AG5" i="201"/>
  <c r="O5" i="202"/>
  <c r="O5" i="201"/>
  <c r="AA5" i="201" l="1"/>
  <c r="E16" i="206"/>
  <c r="B74" i="206"/>
  <c r="I5" i="202" l="1"/>
  <c r="I5" i="20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N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<sst xmlns="http://schemas.openxmlformats.org/spreadsheetml/2006/main" count="601" uniqueCount="441">
  <si>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</si>
  <si>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</si>
  <si>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７５歳以上</t>
    <rPh sb="2" eb="5">
      <t>サイイジョウ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</si>
  <si>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</si>
  <si>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</si>
  <si>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くず米</t>
    <rPh sb="2" eb="3">
      <t>マイ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</si>
  <si>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</si>
  <si>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</si>
  <si>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</si>
  <si>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</si>
  <si>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</si>
  <si>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</si>
  <si>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</si>
  <si>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</si>
  <si>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</si>
  <si>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</si>
  <si>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</si>
  <si>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</si>
  <si>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</si>
  <si>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</si>
  <si>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</si>
  <si>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除草</t>
    <rPh sb="0" eb="2">
      <t>ジョソウ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</si>
  <si>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</si>
  <si>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</si>
  <si>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</si>
  <si>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田植</t>
    <rPh sb="0" eb="2">
      <t>タウ</t>
    </rPh>
    <phoneticPr fontId="13"/>
  </si>
  <si>
    <t>労賃資本</t>
    <rPh sb="0" eb="2">
      <t>ロウチン</t>
    </rPh>
    <rPh sb="2" eb="4">
      <t>シホン</t>
    </rPh>
    <phoneticPr fontId="13"/>
  </si>
  <si>
    <t>直まき</t>
    <rPh sb="0" eb="1">
      <t>チョク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</si>
  <si>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</si>
  <si>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</si>
  <si>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</si>
  <si>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</si>
  <si>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</si>
  <si>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</si>
  <si>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</si>
  <si>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</si>
  <si>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</si>
  <si>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</si>
  <si>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稲作負担分</t>
    <rPh sb="0" eb="2">
      <t>イナサク</t>
    </rPh>
    <rPh sb="2" eb="5">
      <t>フタンブン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</si>
  <si>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</si>
  <si>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</si>
  <si>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</si>
  <si>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</si>
  <si>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</si>
  <si>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</si>
  <si>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</si>
  <si>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</si>
  <si>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</si>
  <si>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</si>
  <si>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</si>
  <si>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</si>
  <si>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</si>
  <si>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</si>
  <si>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</si>
  <si>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</si>
  <si>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</si>
  <si>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</si>
  <si>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</si>
  <si>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</si>
  <si>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</si>
  <si>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</si>
  <si>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</si>
  <si>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</si>
  <si>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</si>
  <si>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</si>
  <si>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</si>
  <si>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</si>
  <si>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</si>
  <si>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自動車費</t>
    <rPh sb="0" eb="3">
      <t>ジドウシャ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</si>
  <si>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</si>
  <si>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</si>
  <si>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</si>
  <si>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</si>
  <si>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</si>
  <si>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</si>
  <si>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</si>
  <si>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</si>
  <si>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</si>
  <si>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</si>
  <si>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</si>
  <si>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</si>
  <si>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</si>
  <si>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</si>
  <si>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</si>
  <si>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</si>
  <si>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</si>
  <si>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</si>
  <si>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</si>
  <si>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１０　　ａ　　当　　た　　り</t>
    <rPh sb="7" eb="8">
      <t>ア</t>
    </rPh>
    <phoneticPr fontId="13"/>
  </si>
  <si>
    <t>いなわら小計</t>
    <rPh sb="4" eb="6">
      <t>ショウケイ</t>
    </rPh>
    <phoneticPr fontId="13"/>
  </si>
  <si>
    <t>その他</t>
    <rPh sb="2" eb="3">
      <t>タ</t>
    </rPh>
    <phoneticPr fontId="13"/>
  </si>
  <si>
    <t>たい肥</t>
    <rPh sb="2" eb="3">
      <t>ヒ</t>
    </rPh>
    <phoneticPr fontId="13"/>
  </si>
  <si>
    <t>乾燥わら</t>
    <rPh sb="0" eb="2">
      <t>カンソウ</t>
    </rPh>
    <phoneticPr fontId="13"/>
  </si>
  <si>
    <t>生わら</t>
    <rPh sb="0" eb="1">
      <t>ナマ</t>
    </rPh>
    <phoneticPr fontId="13"/>
  </si>
  <si>
    <t>労働時間</t>
    <rPh sb="0" eb="2">
      <t>ロウドウ</t>
    </rPh>
    <rPh sb="2" eb="4">
      <t>ジカン</t>
    </rPh>
    <phoneticPr fontId="13"/>
  </si>
  <si>
    <t>加工用</t>
    <rPh sb="0" eb="3">
      <t>カコウヨウ</t>
    </rPh>
    <phoneticPr fontId="13"/>
  </si>
  <si>
    <t>販売</t>
    <rPh sb="0" eb="2">
      <t>ハンバイヨウ</t>
    </rPh>
    <phoneticPr fontId="13"/>
  </si>
  <si>
    <t>いなわら等</t>
    <rPh sb="4" eb="5">
      <t>トウ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</si>
  <si>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</si>
  <si>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</si>
  <si>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</si>
  <si>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飯米用</t>
    <rPh sb="0" eb="2">
      <t>ハンマイ</t>
    </rPh>
    <rPh sb="2" eb="3">
      <t>ヨウ</t>
    </rPh>
    <phoneticPr fontId="13"/>
  </si>
  <si>
    <t>耕うん・整地</t>
    <rPh sb="0" eb="1">
      <t>コウウン</t>
    </rPh>
    <rPh sb="4" eb="6">
      <t>セイチ</t>
    </rPh>
    <phoneticPr fontId="13"/>
  </si>
  <si>
    <t>種子用</t>
    <rPh sb="0" eb="2">
      <t>シュシ</t>
    </rPh>
    <rPh sb="2" eb="3">
      <t>ヨウ</t>
    </rPh>
    <phoneticPr fontId="13"/>
  </si>
  <si>
    <t>区分出荷</t>
    <rPh sb="0" eb="2">
      <t>クブン</t>
    </rPh>
    <rPh sb="2" eb="4">
      <t>シュッカ</t>
    </rPh>
    <phoneticPr fontId="13"/>
  </si>
  <si>
    <t>主食用</t>
    <rPh sb="0" eb="3">
      <t>シュショクヨウ</t>
    </rPh>
    <phoneticPr fontId="13"/>
  </si>
  <si>
    <t>販売用</t>
    <rPh sb="0" eb="3">
      <t>ハンバイヨウ</t>
    </rPh>
    <phoneticPr fontId="13"/>
  </si>
  <si>
    <t>玄米（予定を含む）</t>
    <rPh sb="0" eb="2">
      <t>ゲンマイ</t>
    </rPh>
    <rPh sb="3" eb="5">
      <t>ヨテイ</t>
    </rPh>
    <rPh sb="6" eb="7">
      <t>フク</t>
    </rPh>
    <phoneticPr fontId="13"/>
  </si>
  <si>
    <t>単価</t>
    <rPh sb="0" eb="2">
      <t>タンカ</t>
    </rPh>
    <phoneticPr fontId="13"/>
  </si>
  <si>
    <t>団地への平均距離</t>
    <rPh sb="0" eb="2">
      <t>ダンチ</t>
    </rPh>
    <rPh sb="4" eb="6">
      <t>ヘイキン</t>
    </rPh>
    <rPh sb="6" eb="8">
      <t>キョリ</t>
    </rPh>
    <phoneticPr fontId="13"/>
  </si>
  <si>
    <t>ほ場間の距離</t>
    <rPh sb="1" eb="2">
      <t>ジョウ</t>
    </rPh>
    <rPh sb="2" eb="3">
      <t>カン</t>
    </rPh>
    <rPh sb="4" eb="6">
      <t>キョリ</t>
    </rPh>
    <phoneticPr fontId="13"/>
  </si>
  <si>
    <t>自賠責保険</t>
    <rPh sb="0" eb="3">
      <t>ジバイセキ</t>
    </rPh>
    <rPh sb="3" eb="5">
      <t>ホケン</t>
    </rPh>
    <phoneticPr fontId="13"/>
  </si>
  <si>
    <t>１日当たり</t>
    <rPh sb="1" eb="2">
      <t>ニチ</t>
    </rPh>
    <rPh sb="2" eb="3">
      <t>ア</t>
    </rPh>
    <phoneticPr fontId="13"/>
  </si>
  <si>
    <t>農事実行組合費</t>
    <rPh sb="0" eb="2">
      <t>ノウジ</t>
    </rPh>
    <rPh sb="2" eb="4">
      <t>ジッコウ</t>
    </rPh>
    <rPh sb="4" eb="7">
      <t>クミアイヒ</t>
    </rPh>
    <phoneticPr fontId="13"/>
  </si>
  <si>
    <t>農業協同組合費</t>
    <rPh sb="0" eb="2">
      <t>ノウギョウ</t>
    </rPh>
    <rPh sb="2" eb="4">
      <t>キョウドウ</t>
    </rPh>
    <rPh sb="4" eb="7">
      <t>クミアイヒ</t>
    </rPh>
    <phoneticPr fontId="13"/>
  </si>
  <si>
    <t>飼料用米</t>
    <rPh sb="0" eb="3">
      <t>シリョウヨウ</t>
    </rPh>
    <rPh sb="3" eb="4">
      <t>マイ</t>
    </rPh>
    <phoneticPr fontId="15"/>
  </si>
  <si>
    <t>品種２</t>
    <rPh sb="0" eb="2">
      <t>ヒンシュ</t>
    </rPh>
    <phoneticPr fontId="13"/>
  </si>
  <si>
    <t>所得</t>
    <rPh sb="0" eb="2">
      <t>ショトク</t>
    </rPh>
    <phoneticPr fontId="13"/>
  </si>
  <si>
    <t>集落協議会費</t>
    <rPh sb="0" eb="2">
      <t>シュウラク</t>
    </rPh>
    <rPh sb="2" eb="4">
      <t>キョウギ</t>
    </rPh>
    <rPh sb="4" eb="6">
      <t>カイヒ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</si>
  <si>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</si>
  <si>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</si>
  <si>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</si>
  <si>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</si>
  <si>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</si>
  <si>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共同施設税</t>
    <rPh sb="0" eb="2">
      <t>キョウドウ</t>
    </rPh>
    <rPh sb="2" eb="4">
      <t>シセツ</t>
    </rPh>
    <rPh sb="4" eb="5">
      <t>ゼイ</t>
    </rPh>
    <phoneticPr fontId="13"/>
  </si>
  <si>
    <t>品種３</t>
    <rPh sb="0" eb="2">
      <t>ヒンシュ</t>
    </rPh>
    <phoneticPr fontId="13"/>
  </si>
  <si>
    <t>都市計画税</t>
    <rPh sb="0" eb="2">
      <t>トシ</t>
    </rPh>
    <rPh sb="2" eb="4">
      <t>ケイカク</t>
    </rPh>
    <rPh sb="4" eb="5">
      <t>ゼイ</t>
    </rPh>
    <phoneticPr fontId="13"/>
  </si>
  <si>
    <t>水利地益税</t>
    <rPh sb="0" eb="2">
      <t>スイリ</t>
    </rPh>
    <rPh sb="2" eb="3">
      <t>チ</t>
    </rPh>
    <rPh sb="3" eb="5">
      <t>エキゼイ</t>
    </rPh>
    <phoneticPr fontId="13"/>
  </si>
  <si>
    <t>軽自動車税</t>
    <rPh sb="0" eb="4">
      <t>ケイジドウシャ</t>
    </rPh>
    <rPh sb="4" eb="5">
      <t>ゼイ</t>
    </rPh>
    <phoneticPr fontId="13"/>
  </si>
  <si>
    <t>不動産取得税</t>
    <rPh sb="0" eb="3">
      <t>フドウサン</t>
    </rPh>
    <rPh sb="3" eb="6">
      <t>シュトクゼイ</t>
    </rPh>
    <phoneticPr fontId="13"/>
  </si>
  <si>
    <t>自動車税</t>
    <rPh sb="0" eb="4">
      <t>ジドウシャゼイ</t>
    </rPh>
    <phoneticPr fontId="13"/>
  </si>
  <si>
    <t>自動車重量税</t>
    <rPh sb="0" eb="3">
      <t>ジドウシャ</t>
    </rPh>
    <rPh sb="3" eb="6">
      <t>ジュウリョウゼイ</t>
    </rPh>
    <phoneticPr fontId="13"/>
  </si>
  <si>
    <t>30～50ａ区画</t>
    <rPh sb="6" eb="8">
      <t>クカク</t>
    </rPh>
    <phoneticPr fontId="13"/>
  </si>
  <si>
    <t>20～30ａ区画</t>
    <rPh sb="6" eb="8">
      <t>クカク</t>
    </rPh>
    <phoneticPr fontId="13"/>
  </si>
  <si>
    <t>建物</t>
    <rPh sb="0" eb="2">
      <t>タテモノ</t>
    </rPh>
    <phoneticPr fontId="13"/>
  </si>
  <si>
    <t>10～20ａ区画</t>
    <rPh sb="6" eb="8">
      <t>クカク</t>
    </rPh>
    <phoneticPr fontId="13"/>
  </si>
  <si>
    <t>50％未満</t>
    <rPh sb="3" eb="5">
      <t>ミマン</t>
    </rPh>
    <phoneticPr fontId="13"/>
  </si>
  <si>
    <t>固定資産税</t>
    <rPh sb="0" eb="2">
      <t>コテイ</t>
    </rPh>
    <rPh sb="2" eb="5">
      <t>シサンゼイ</t>
    </rPh>
    <phoneticPr fontId="13"/>
  </si>
  <si>
    <t>物件税</t>
    <rPh sb="0" eb="2">
      <t>ブッケン</t>
    </rPh>
    <rPh sb="2" eb="3">
      <t>ゼイ</t>
    </rPh>
    <phoneticPr fontId="13"/>
  </si>
  <si>
    <t>未整理又は10a未満</t>
    <rPh sb="0" eb="3">
      <t>ミセイリ</t>
    </rPh>
    <rPh sb="3" eb="4">
      <t>マタ</t>
    </rPh>
    <rPh sb="8" eb="10">
      <t>ミマン</t>
    </rPh>
    <phoneticPr fontId="13"/>
  </si>
  <si>
    <t>田の団地数</t>
    <rPh sb="0" eb="1">
      <t>タ</t>
    </rPh>
    <rPh sb="2" eb="4">
      <t>ダンチ</t>
    </rPh>
    <rPh sb="4" eb="5">
      <t>スウ</t>
    </rPh>
    <phoneticPr fontId="13"/>
  </si>
  <si>
    <t>枚数</t>
    <rPh sb="0" eb="2">
      <t>マイスウ</t>
    </rPh>
    <phoneticPr fontId="13"/>
  </si>
  <si>
    <t>該当の有無等</t>
    <rPh sb="0" eb="2">
      <t>ガイトウ</t>
    </rPh>
    <rPh sb="3" eb="5">
      <t>ウム</t>
    </rPh>
    <rPh sb="5" eb="6">
      <t>トウ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</si>
  <si>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</si>
  <si>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揚水ポンプ組合費</t>
    <rPh sb="0" eb="1">
      <t>ア</t>
    </rPh>
    <rPh sb="1" eb="2">
      <t>スイ</t>
    </rPh>
    <rPh sb="5" eb="8">
      <t>クミアイヒ</t>
    </rPh>
    <phoneticPr fontId="13"/>
  </si>
  <si>
    <t>水利組合費</t>
    <rPh sb="0" eb="2">
      <t>スイリ</t>
    </rPh>
    <rPh sb="2" eb="5">
      <t>クミアイヒ</t>
    </rPh>
    <phoneticPr fontId="13"/>
  </si>
  <si>
    <t>償還金</t>
    <rPh sb="0" eb="3">
      <t>ショウカンキン</t>
    </rPh>
    <phoneticPr fontId="13"/>
  </si>
  <si>
    <t>循環式</t>
    <rPh sb="0" eb="2">
      <t>ジュンカン</t>
    </rPh>
    <rPh sb="2" eb="3">
      <t>シキ</t>
    </rPh>
    <phoneticPr fontId="13"/>
  </si>
  <si>
    <t>維持負担金</t>
    <rPh sb="0" eb="2">
      <t>イジ</t>
    </rPh>
    <rPh sb="2" eb="5">
      <t>フタンキン</t>
    </rPh>
    <phoneticPr fontId="13"/>
  </si>
  <si>
    <t>土地改良区費</t>
    <rPh sb="0" eb="2">
      <t>トチ</t>
    </rPh>
    <rPh sb="2" eb="4">
      <t>カイリョウ</t>
    </rPh>
    <rPh sb="4" eb="5">
      <t>ク</t>
    </rPh>
    <rPh sb="5" eb="6">
      <t>ヒ</t>
    </rPh>
    <phoneticPr fontId="13"/>
  </si>
  <si>
    <t>及び水利費
土地改良</t>
    <rPh sb="6" eb="8">
      <t>トチ</t>
    </rPh>
    <rPh sb="8" eb="10">
      <t>カイリョウ</t>
    </rPh>
    <phoneticPr fontId="13"/>
  </si>
  <si>
    <t>静置式</t>
    <rPh sb="0" eb="1">
      <t>セイ</t>
    </rPh>
    <rPh sb="1" eb="2">
      <t>チ</t>
    </rPh>
    <rPh sb="2" eb="3">
      <t>シキ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</si>
  <si>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</si>
  <si>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</si>
  <si>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</si>
  <si>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</si>
  <si>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</si>
  <si>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</si>
  <si>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２条植</t>
    <rPh sb="1" eb="2">
      <t>ジョウ</t>
    </rPh>
    <rPh sb="2" eb="3">
      <t>ウエ</t>
    </rPh>
    <phoneticPr fontId="13"/>
  </si>
  <si>
    <t>田植機</t>
    <rPh sb="0" eb="3">
      <t>タウエキ</t>
    </rPh>
    <phoneticPr fontId="13"/>
  </si>
  <si>
    <t>電熱育苗機</t>
    <rPh sb="0" eb="2">
      <t>デンネツ</t>
    </rPh>
    <rPh sb="2" eb="4">
      <t>イクビョウ</t>
    </rPh>
    <rPh sb="4" eb="5">
      <t>キ</t>
    </rPh>
    <phoneticPr fontId="13"/>
  </si>
  <si>
    <t>電力料</t>
    <rPh sb="0" eb="3">
      <t>デンリョクリョウ</t>
    </rPh>
    <phoneticPr fontId="13"/>
  </si>
  <si>
    <t>混合油</t>
    <rPh sb="0" eb="3">
      <t>コンゴウユ</t>
    </rPh>
    <phoneticPr fontId="13"/>
  </si>
  <si>
    <t>歩行用トラクター</t>
    <rPh sb="0" eb="2">
      <t>ホコウ</t>
    </rPh>
    <rPh sb="2" eb="3">
      <t>ヨウ</t>
    </rPh>
    <phoneticPr fontId="13"/>
  </si>
  <si>
    <t>潤滑油</t>
    <rPh sb="0" eb="3">
      <t>ジュンカツユ</t>
    </rPh>
    <phoneticPr fontId="13"/>
  </si>
  <si>
    <t>20～50馬力未満</t>
    <rPh sb="5" eb="7">
      <t>バリキ</t>
    </rPh>
    <rPh sb="7" eb="9">
      <t>ミマン</t>
    </rPh>
    <phoneticPr fontId="13"/>
  </si>
  <si>
    <t>灯油</t>
    <rPh sb="0" eb="2">
      <t>トウユ</t>
    </rPh>
    <phoneticPr fontId="13"/>
  </si>
  <si>
    <t>20馬力未満</t>
    <rPh sb="2" eb="4">
      <t>バリキ</t>
    </rPh>
    <rPh sb="4" eb="6">
      <t>ミマン</t>
    </rPh>
    <phoneticPr fontId="13"/>
  </si>
  <si>
    <t>軽油</t>
    <rPh sb="0" eb="2">
      <t>ケイユ</t>
    </rPh>
    <phoneticPr fontId="13"/>
  </si>
  <si>
    <t>揚水ポンプ</t>
    <rPh sb="0" eb="1">
      <t>ア</t>
    </rPh>
    <rPh sb="1" eb="2">
      <t>ミズ</t>
    </rPh>
    <phoneticPr fontId="13"/>
  </si>
  <si>
    <t>重油</t>
    <rPh sb="0" eb="2">
      <t>ジュウユ</t>
    </rPh>
    <phoneticPr fontId="13"/>
  </si>
  <si>
    <t>動力
燃料</t>
    <rPh sb="0" eb="2">
      <t>ドウリョク</t>
    </rPh>
    <rPh sb="3" eb="5">
      <t>ネンリョウ</t>
    </rPh>
    <phoneticPr fontId="13"/>
  </si>
  <si>
    <t>光熱動力費</t>
    <rPh sb="0" eb="2">
      <t>コウネツ</t>
    </rPh>
    <rPh sb="2" eb="5">
      <t>ドウリョクヒ</t>
    </rPh>
    <phoneticPr fontId="13"/>
  </si>
  <si>
    <t>発動機</t>
    <rPh sb="0" eb="3">
      <t>ハツドウキ</t>
    </rPh>
    <phoneticPr fontId="13"/>
  </si>
  <si>
    <t>電動機</t>
    <rPh sb="0" eb="3">
      <t>デンドウキ</t>
    </rPh>
    <phoneticPr fontId="13"/>
  </si>
  <si>
    <t>除草剤</t>
    <rPh sb="0" eb="3">
      <t>ジョソウザイ</t>
    </rPh>
    <phoneticPr fontId="13"/>
  </si>
  <si>
    <t>殺虫殺菌剤</t>
    <rPh sb="0" eb="2">
      <t>サッチュウ</t>
    </rPh>
    <rPh sb="2" eb="5">
      <t>サッキンザイ</t>
    </rPh>
    <phoneticPr fontId="13"/>
  </si>
  <si>
    <t>殺菌剤</t>
    <rPh sb="0" eb="3">
      <t>サッキンザイ</t>
    </rPh>
    <phoneticPr fontId="13"/>
  </si>
  <si>
    <t>殺虫剤</t>
    <rPh sb="0" eb="3">
      <t>サッチュウザイ</t>
    </rPh>
    <phoneticPr fontId="13"/>
  </si>
  <si>
    <t>農業薬剤費</t>
    <rPh sb="0" eb="2">
      <t>ノウギョウ</t>
    </rPh>
    <rPh sb="2" eb="4">
      <t>ヤクザイ</t>
    </rPh>
    <rPh sb="4" eb="5">
      <t>ヒ</t>
    </rPh>
    <phoneticPr fontId="13"/>
  </si>
  <si>
    <t>稲・麦わら</t>
    <rPh sb="0" eb="1">
      <t>イネ</t>
    </rPh>
    <rPh sb="2" eb="3">
      <t>ムギ</t>
    </rPh>
    <phoneticPr fontId="13"/>
  </si>
  <si>
    <t>きゅう肥</t>
    <rPh sb="3" eb="4">
      <t>ヒ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</si>
  <si>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</si>
  <si>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</si>
  <si>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たい肥・きゅう肥</t>
    <rPh sb="2" eb="3">
      <t>ヒ</t>
    </rPh>
    <rPh sb="7" eb="8">
      <t>ヒ</t>
    </rPh>
    <phoneticPr fontId="13"/>
  </si>
  <si>
    <t>コンクリートけい畔</t>
    <rPh sb="8" eb="9">
      <t>ハン</t>
    </rPh>
    <phoneticPr fontId="13"/>
  </si>
  <si>
    <t>土壌改良資材</t>
    <rPh sb="0" eb="2">
      <t>ドジョウ</t>
    </rPh>
    <rPh sb="2" eb="6">
      <t>カイリョウザイ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</si>
  <si>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</si>
  <si>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</si>
  <si>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</si>
  <si>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</si>
  <si>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炭酸カルシウム（石灰含む）</t>
    <rPh sb="0" eb="2">
      <t>タンサン</t>
    </rPh>
    <rPh sb="8" eb="10">
      <t>セッカイ</t>
    </rPh>
    <rPh sb="10" eb="11">
      <t>フク</t>
    </rPh>
    <phoneticPr fontId="13"/>
  </si>
  <si>
    <t>カントリーエレベーター費</t>
    <rPh sb="11" eb="12">
      <t>ヒ</t>
    </rPh>
    <phoneticPr fontId="13"/>
  </si>
  <si>
    <t>ライスセンター費</t>
    <rPh sb="7" eb="8">
      <t>ヒ</t>
    </rPh>
    <phoneticPr fontId="13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</si>
  <si>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13"/>
  </si>
  <si>
    <t>は種・田植賃</t>
    <rPh sb="1" eb="2">
      <t>シュ</t>
    </rPh>
    <rPh sb="3" eb="5">
      <t>タウ</t>
    </rPh>
    <rPh sb="5" eb="6">
      <t>チン</t>
    </rPh>
    <phoneticPr fontId="13"/>
  </si>
  <si>
    <t>賃耕料</t>
    <rPh sb="0" eb="2">
      <t>チンコウ</t>
    </rPh>
    <rPh sb="2" eb="3">
      <t>リョウ</t>
    </rPh>
    <phoneticPr fontId="13"/>
  </si>
  <si>
    <t>航空防除賃</t>
    <rPh sb="0" eb="2">
      <t>コウクウ</t>
    </rPh>
    <rPh sb="2" eb="4">
      <t>ボウジョ</t>
    </rPh>
    <rPh sb="4" eb="5">
      <t>チン</t>
    </rPh>
    <phoneticPr fontId="13"/>
  </si>
  <si>
    <t>農機具借料</t>
    <rPh sb="0" eb="3">
      <t>ノウキグ</t>
    </rPh>
    <rPh sb="3" eb="5">
      <t>シャクリョウ</t>
    </rPh>
    <phoneticPr fontId="13"/>
  </si>
  <si>
    <t>共同苗代</t>
    <rPh sb="0" eb="2">
      <t>キョウドウ</t>
    </rPh>
    <rPh sb="2" eb="3">
      <t>ナエ</t>
    </rPh>
    <rPh sb="3" eb="4">
      <t>シロ</t>
    </rPh>
    <phoneticPr fontId="13"/>
  </si>
  <si>
    <t>苗</t>
    <rPh sb="0" eb="1">
      <t>ナエ</t>
    </rPh>
    <phoneticPr fontId="13"/>
  </si>
  <si>
    <t>共同施設</t>
    <rPh sb="0" eb="2">
      <t>キョウドウ</t>
    </rPh>
    <rPh sb="2" eb="4">
      <t>シセツ</t>
    </rPh>
    <phoneticPr fontId="13"/>
  </si>
  <si>
    <t>薬剤散布</t>
    <rPh sb="0" eb="2">
      <t>ヤクザイ</t>
    </rPh>
    <rPh sb="2" eb="4">
      <t>サンプ</t>
    </rPh>
    <phoneticPr fontId="13"/>
  </si>
  <si>
    <t>共　同
負担金</t>
    <rPh sb="0" eb="3">
      <t>キョウドウ</t>
    </rPh>
    <rPh sb="4" eb="7">
      <t>フタンキン</t>
    </rPh>
    <phoneticPr fontId="13"/>
  </si>
  <si>
    <t>種子もみ</t>
    <rPh sb="0" eb="2">
      <t>シュシ</t>
    </rPh>
    <phoneticPr fontId="13"/>
  </si>
  <si>
    <t>移植</t>
    <rPh sb="0" eb="2">
      <t>イショク</t>
    </rPh>
    <phoneticPr fontId="13"/>
  </si>
  <si>
    <t>50～80％</t>
    <phoneticPr fontId="13"/>
  </si>
  <si>
    <t>80％以上</t>
    <phoneticPr fontId="13"/>
  </si>
  <si>
    <t>直まき</t>
    <rPh sb="0" eb="1">
      <t>ジカ</t>
    </rPh>
    <phoneticPr fontId="13"/>
  </si>
  <si>
    <t>窒素質肥料</t>
    <rPh sb="0" eb="2">
      <t>チッソ</t>
    </rPh>
    <rPh sb="2" eb="3">
      <t>シツ</t>
    </rPh>
    <rPh sb="3" eb="5">
      <t>ヒリョウ</t>
    </rPh>
    <phoneticPr fontId="13"/>
  </si>
  <si>
    <t>りん酸質肥料</t>
    <rPh sb="2" eb="3">
      <t>サン</t>
    </rPh>
    <rPh sb="3" eb="4">
      <t>シツ</t>
    </rPh>
    <rPh sb="4" eb="6">
      <t>ヒリョウ</t>
    </rPh>
    <phoneticPr fontId="13"/>
  </si>
  <si>
    <t>カリ質肥料</t>
    <rPh sb="2" eb="3">
      <t>シツ</t>
    </rPh>
    <rPh sb="3" eb="5">
      <t>ヒリョウ</t>
    </rPh>
    <phoneticPr fontId="13"/>
  </si>
  <si>
    <t>けい酸質肥料</t>
    <rPh sb="2" eb="3">
      <t>サン</t>
    </rPh>
    <rPh sb="3" eb="4">
      <t>シツ</t>
    </rPh>
    <rPh sb="4" eb="6">
      <t>ヒリョウ</t>
    </rPh>
    <phoneticPr fontId="13"/>
  </si>
  <si>
    <t>複合肥料</t>
    <rPh sb="0" eb="2">
      <t>フクゴウ</t>
    </rPh>
    <rPh sb="2" eb="4">
      <t>ヒリョウ</t>
    </rPh>
    <phoneticPr fontId="13"/>
  </si>
  <si>
    <t>育苗用土（購入）（素土を含む）</t>
    <rPh sb="0" eb="1">
      <t>イク</t>
    </rPh>
    <rPh sb="1" eb="2">
      <t>ナエ</t>
    </rPh>
    <rPh sb="2" eb="4">
      <t>ヨウド</t>
    </rPh>
    <rPh sb="5" eb="7">
      <t>コウニュウ</t>
    </rPh>
    <rPh sb="9" eb="10">
      <t>モト</t>
    </rPh>
    <rPh sb="10" eb="11">
      <t>ツチ</t>
    </rPh>
    <rPh sb="12" eb="13">
      <t>フクム</t>
    </rPh>
    <phoneticPr fontId="13"/>
  </si>
  <si>
    <t>50ａ～１ha区画</t>
    <rPh sb="7" eb="9">
      <t>クカク</t>
    </rPh>
    <phoneticPr fontId="13"/>
  </si>
  <si>
    <t>１ha以上区画</t>
    <rPh sb="3" eb="5">
      <t>イジョウ</t>
    </rPh>
    <rPh sb="5" eb="7">
      <t>クカク</t>
    </rPh>
    <phoneticPr fontId="13"/>
  </si>
  <si>
    <t>期間</t>
    <rPh sb="0" eb="2">
      <t>キカン</t>
    </rPh>
    <phoneticPr fontId="13"/>
  </si>
  <si>
    <t>田植</t>
    <rPh sb="0" eb="2">
      <t>タウエ</t>
    </rPh>
    <phoneticPr fontId="13"/>
  </si>
  <si>
    <t>収穫</t>
    <rPh sb="0" eb="2">
      <t>シュウカク</t>
    </rPh>
    <phoneticPr fontId="13"/>
  </si>
  <si>
    <t>品種５</t>
    <rPh sb="0" eb="2">
      <t>ヒンシュ</t>
    </rPh>
    <phoneticPr fontId="13"/>
  </si>
  <si>
    <t>品種６</t>
    <rPh sb="0" eb="2">
      <t>ヒンシュ</t>
    </rPh>
    <phoneticPr fontId="13"/>
  </si>
  <si>
    <t>品種７</t>
    <rPh sb="0" eb="2">
      <t>ヒンシュ</t>
    </rPh>
    <phoneticPr fontId="13"/>
  </si>
  <si>
    <t>品種８</t>
    <rPh sb="0" eb="2">
      <t>ヒンシュ</t>
    </rPh>
    <phoneticPr fontId="13"/>
  </si>
  <si>
    <t>品種９</t>
    <rPh sb="0" eb="2">
      <t>ヒンシュ</t>
    </rPh>
    <phoneticPr fontId="13"/>
  </si>
  <si>
    <t>品種10</t>
    <rPh sb="0" eb="2">
      <t>ヒンシュ</t>
    </rPh>
    <phoneticPr fontId="13"/>
  </si>
  <si>
    <t>借入金</t>
    <rPh sb="0" eb="3">
      <t>カリイレキン</t>
    </rPh>
    <phoneticPr fontId="13"/>
  </si>
  <si>
    <t>乗用トラクター</t>
    <rPh sb="0" eb="2">
      <t>ジョウヨウ</t>
    </rPh>
    <phoneticPr fontId="13"/>
  </si>
  <si>
    <t>住宅</t>
    <rPh sb="0" eb="1">
      <t>ジュウ</t>
    </rPh>
    <rPh sb="1" eb="2">
      <t>タク</t>
    </rPh>
    <phoneticPr fontId="13"/>
  </si>
  <si>
    <t>貨物自動車</t>
    <rPh sb="0" eb="2">
      <t>カモツ</t>
    </rPh>
    <rPh sb="2" eb="5">
      <t>ジドウシャ</t>
    </rPh>
    <phoneticPr fontId="13"/>
  </si>
  <si>
    <t>構成員</t>
    <rPh sb="0" eb="3">
      <t>コウセイイン</t>
    </rPh>
    <phoneticPr fontId="13"/>
  </si>
  <si>
    <t>雇用</t>
    <rPh sb="0" eb="2">
      <t>コヨウ</t>
    </rPh>
    <phoneticPr fontId="6"/>
  </si>
  <si>
    <t>組織用</t>
    <rPh sb="0" eb="3">
      <t>ソシキヨウ</t>
    </rPh>
    <phoneticPr fontId="13"/>
  </si>
  <si>
    <t>構成員（人）</t>
    <rPh sb="0" eb="3">
      <t>コウセイイン</t>
    </rPh>
    <rPh sb="4" eb="5">
      <t>ヒト</t>
    </rPh>
    <phoneticPr fontId="6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</si>
  <si>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6"/>
  </si>
  <si>
    <t>構成農家世帯（戸）</t>
    <rPh sb="0" eb="2">
      <t>コウセイ</t>
    </rPh>
    <rPh sb="2" eb="4">
      <t>ノウカ</t>
    </rPh>
    <rPh sb="4" eb="6">
      <t>セタイ</t>
    </rPh>
    <rPh sb="7" eb="8">
      <t>コ</t>
    </rPh>
    <phoneticPr fontId="6"/>
  </si>
  <si>
    <t>構成員</t>
    <rPh sb="0" eb="3">
      <t>コウセイイン</t>
    </rPh>
    <phoneticPr fontId="6"/>
  </si>
  <si>
    <t>直接労働</t>
    <rPh sb="0" eb="2">
      <t>チョクセツ</t>
    </rPh>
    <rPh sb="2" eb="4">
      <t>ロウドウ</t>
    </rPh>
    <phoneticPr fontId="13"/>
  </si>
  <si>
    <t>間接労働</t>
    <rPh sb="0" eb="2">
      <t>カンセツ</t>
    </rPh>
    <rPh sb="2" eb="4">
      <t>ロウドウ</t>
    </rPh>
    <phoneticPr fontId="13"/>
  </si>
  <si>
    <t>稲 作 負 担 構 成 員 労 働 時 間</t>
    <rPh sb="0" eb="3">
      <t>イナサク</t>
    </rPh>
    <rPh sb="4" eb="7">
      <t>フタンブン</t>
    </rPh>
    <rPh sb="8" eb="9">
      <t>カマエ</t>
    </rPh>
    <rPh sb="10" eb="11">
      <t>シゲル</t>
    </rPh>
    <rPh sb="12" eb="13">
      <t>イン</t>
    </rPh>
    <rPh sb="14" eb="17">
      <t>ロウドウ</t>
    </rPh>
    <rPh sb="18" eb="21">
      <t>ジカン</t>
    </rPh>
    <phoneticPr fontId="13"/>
  </si>
  <si>
    <t>全作業</t>
    <rPh sb="0" eb="1">
      <t>ゼン</t>
    </rPh>
    <rPh sb="1" eb="3">
      <t>サギョウ</t>
    </rPh>
    <phoneticPr fontId="13"/>
  </si>
  <si>
    <t>刈取・脱穀</t>
    <rPh sb="0" eb="2">
      <t>カリト</t>
    </rPh>
    <rPh sb="3" eb="5">
      <t>ダッコク</t>
    </rPh>
    <phoneticPr fontId="13"/>
  </si>
  <si>
    <t>組織用</t>
    <rPh sb="0" eb="2">
      <t>ソシキ</t>
    </rPh>
    <rPh sb="2" eb="3">
      <t>ヨウ</t>
    </rPh>
    <phoneticPr fontId="13"/>
  </si>
  <si>
    <t>都道府県等</t>
    <rPh sb="0" eb="4">
      <t>トドウフケン</t>
    </rPh>
    <rPh sb="4" eb="5">
      <t>トウ</t>
    </rPh>
    <phoneticPr fontId="13"/>
  </si>
  <si>
    <t>集計倍率</t>
    <rPh sb="2" eb="4">
      <t>バイリツ</t>
    </rPh>
    <phoneticPr fontId="13"/>
  </si>
  <si>
    <t>60㎏当たり</t>
    <rPh sb="3" eb="4">
      <t>ア</t>
    </rPh>
    <phoneticPr fontId="13"/>
  </si>
  <si>
    <t>１経営体当たり</t>
    <rPh sb="1" eb="4">
      <t>ケイエイタイ</t>
    </rPh>
    <rPh sb="4" eb="5">
      <t>ア</t>
    </rPh>
    <phoneticPr fontId="13"/>
  </si>
  <si>
    <t>○　指標部</t>
    <rPh sb="2" eb="4">
      <t>シヒョウ</t>
    </rPh>
    <rPh sb="4" eb="5">
      <t>ブ</t>
    </rPh>
    <phoneticPr fontId="6"/>
  </si>
  <si>
    <t>短期</t>
    <phoneticPr fontId="13"/>
  </si>
  <si>
    <t>長期</t>
    <phoneticPr fontId="13"/>
  </si>
  <si>
    <t>済面積
区画整理
田のうち</t>
    <rPh sb="9" eb="10">
      <t>デン</t>
    </rPh>
    <phoneticPr fontId="13"/>
  </si>
  <si>
    <t>もみがら</t>
    <phoneticPr fontId="13"/>
  </si>
  <si>
    <t>６５～７０</t>
    <phoneticPr fontId="13"/>
  </si>
  <si>
    <t>７０～７５</t>
    <phoneticPr fontId="13"/>
  </si>
  <si>
    <t>処分差損失</t>
    <phoneticPr fontId="13"/>
  </si>
  <si>
    <t>ガソリン</t>
    <phoneticPr fontId="13"/>
  </si>
  <si>
    <t>諸材料費
その他の</t>
    <phoneticPr fontId="13"/>
  </si>
  <si>
    <t>バインダー</t>
    <phoneticPr fontId="13"/>
  </si>
  <si>
    <t>６０ｋｇ当たり</t>
    <rPh sb="4" eb="5">
      <t>ア</t>
    </rPh>
    <phoneticPr fontId="13"/>
  </si>
  <si>
    <t>普通畑</t>
    <rPh sb="0" eb="2">
      <t>フツウ</t>
    </rPh>
    <rPh sb="2" eb="3">
      <t>ハタ</t>
    </rPh>
    <phoneticPr fontId="13"/>
  </si>
  <si>
    <t>樹園地</t>
    <rPh sb="0" eb="1">
      <t>ジュ</t>
    </rPh>
    <rPh sb="1" eb="3">
      <t>エンチ</t>
    </rPh>
    <phoneticPr fontId="13"/>
  </si>
  <si>
    <t>資本額計</t>
    <rPh sb="3" eb="4">
      <t>ケイ</t>
    </rPh>
    <phoneticPr fontId="13"/>
  </si>
  <si>
    <t>１０　　　ａ　　　当　　　た　　　り</t>
    <rPh sb="9" eb="10">
      <t>ア</t>
    </rPh>
    <phoneticPr fontId="13"/>
  </si>
  <si>
    <t>６０　　ｋｇ　　当　　た　　り</t>
    <rPh sb="8" eb="9">
      <t>ア</t>
    </rPh>
    <phoneticPr fontId="13"/>
  </si>
  <si>
    <t>１　　経　　営　　体　　当　　た　　り</t>
    <rPh sb="3" eb="4">
      <t>キョウ</t>
    </rPh>
    <rPh sb="6" eb="7">
      <t>エイ</t>
    </rPh>
    <rPh sb="9" eb="10">
      <t>カラダ</t>
    </rPh>
    <rPh sb="12" eb="13">
      <t>トウ</t>
    </rPh>
    <phoneticPr fontId="13"/>
  </si>
  <si>
    <t>数量</t>
    <phoneticPr fontId="13"/>
  </si>
  <si>
    <t>ａ</t>
    <phoneticPr fontId="13"/>
  </si>
  <si>
    <t>kg</t>
    <phoneticPr fontId="13"/>
  </si>
  <si>
    <t>ライスセンター</t>
    <phoneticPr fontId="13"/>
  </si>
  <si>
    <t>品種コード</t>
    <rPh sb="0" eb="2">
      <t>ヒンシュ</t>
    </rPh>
    <phoneticPr fontId="13"/>
  </si>
  <si>
    <t>構成員労働報酬</t>
    <rPh sb="0" eb="3">
      <t>コウセイイン</t>
    </rPh>
    <rPh sb="3" eb="5">
      <t>ロウドウ</t>
    </rPh>
    <rPh sb="5" eb="7">
      <t>ホウシュウ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</si>
  <si>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</si>
  <si>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</si>
  <si>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６０ｋｇ当たり</t>
    <phoneticPr fontId="13"/>
  </si>
  <si>
    <t>委託作業</t>
    <rPh sb="0" eb="2">
      <t>イタク</t>
    </rPh>
    <rPh sb="2" eb="4">
      <t>サギョウ</t>
    </rPh>
    <phoneticPr fontId="6"/>
  </si>
  <si>
    <t>受託作業</t>
    <rPh sb="0" eb="2">
      <t>ジュタク</t>
    </rPh>
    <rPh sb="2" eb="4">
      <t>サギョウ</t>
    </rPh>
    <phoneticPr fontId="6"/>
  </si>
  <si>
    <t>稲作構成員
労働評価額</t>
    <rPh sb="0" eb="2">
      <t>イナサク</t>
    </rPh>
    <rPh sb="2" eb="5">
      <t>コウセイイン</t>
    </rPh>
    <rPh sb="6" eb="8">
      <t>ロウドウ</t>
    </rPh>
    <rPh sb="8" eb="11">
      <t>ヒョウカガク</t>
    </rPh>
    <phoneticPr fontId="6"/>
  </si>
  <si>
    <t>その他</t>
    <phoneticPr fontId="6"/>
  </si>
  <si>
    <t>自給</t>
    <phoneticPr fontId="13"/>
  </si>
  <si>
    <t>平均値種類</t>
    <rPh sb="0" eb="3">
      <t>ヘイキンチ</t>
    </rPh>
    <rPh sb="3" eb="5">
      <t>シュルイ</t>
    </rPh>
    <phoneticPr fontId="14"/>
  </si>
  <si>
    <t>都道府県番号</t>
  </si>
  <si>
    <t>コード</t>
    <phoneticPr fontId="6"/>
  </si>
  <si>
    <t>集計区分</t>
    <phoneticPr fontId="6"/>
  </si>
  <si>
    <t>米</t>
    <rPh sb="0" eb="1">
      <t>コメ</t>
    </rPh>
    <phoneticPr fontId="6"/>
  </si>
  <si>
    <t>コード</t>
  </si>
  <si>
    <t>平均値種類</t>
    <rPh sb="0" eb="3">
      <t>ヘイキンチ</t>
    </rPh>
    <rPh sb="3" eb="5">
      <t>シュルイ</t>
    </rPh>
    <phoneticPr fontId="6"/>
  </si>
  <si>
    <t>青森</t>
    <rPh sb="0" eb="2">
      <t>アオモリ</t>
    </rPh>
    <phoneticPr fontId="6"/>
  </si>
  <si>
    <t>通常</t>
    <rPh sb="0" eb="2">
      <t>ツウジョウ</t>
    </rPh>
    <phoneticPr fontId="6"/>
  </si>
  <si>
    <t>岩手</t>
    <rPh sb="0" eb="2">
      <t>イワテ</t>
    </rPh>
    <phoneticPr fontId="6"/>
  </si>
  <si>
    <t>総数</t>
    <rPh sb="0" eb="2">
      <t>ソウスウ</t>
    </rPh>
    <phoneticPr fontId="14"/>
  </si>
  <si>
    <t>宮城</t>
    <rPh sb="0" eb="2">
      <t>ミヤギ</t>
    </rPh>
    <phoneticPr fontId="6"/>
  </si>
  <si>
    <t>10ａ当たり</t>
    <rPh sb="3" eb="4">
      <t>ア</t>
    </rPh>
    <phoneticPr fontId="14"/>
  </si>
  <si>
    <t>秋田</t>
    <rPh sb="0" eb="2">
      <t>アキタ</t>
    </rPh>
    <phoneticPr fontId="6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</si>
  <si>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</si>
  <si>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</si>
  <si>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</si>
  <si>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</si>
  <si>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</si>
  <si>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</si>
  <si>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</si>
  <si>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</si>
  <si>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</si>
  <si>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</si>
  <si>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</si>
  <si>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</si>
  <si>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</si>
  <si>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</si>
  <si>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</si>
  <si>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</si>
  <si>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</si>
  <si>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</si>
  <si>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</si>
  <si>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</si>
  <si>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</si>
  <si>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</si>
  <si>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</si>
  <si>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</si>
  <si>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</si>
  <si>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</si>
  <si>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</si>
  <si>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</si>
  <si>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</si>
  <si>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</si>
  <si>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</si>
  <si>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</si>
  <si>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</si>
  <si>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</si>
  <si>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</si>
  <si>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</si>
  <si>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</si>
  <si>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</si>
  <si>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</si>
  <si>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</si>
  <si>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</si>
  <si>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</si>
  <si>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</si>
  <si>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</si>
  <si>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</si>
  <si>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</si>
  <si>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集計経営体数</t>
    <rPh sb="0" eb="2">
      <t>シュウケイ</t>
    </rPh>
    <phoneticPr fontId="13"/>
  </si>
  <si>
    <t>もみすり機</t>
    <rPh sb="4" eb="5">
      <t>キ</t>
    </rPh>
    <phoneticPr fontId="13"/>
  </si>
  <si>
    <t>全調査対象</t>
    <rPh sb="0" eb="3">
      <t>ゼンチョウサ</t>
    </rPh>
    <rPh sb="3" eb="5">
      <t>タイショウ</t>
    </rPh>
    <phoneticPr fontId="6"/>
  </si>
  <si>
    <t>集計区分</t>
    <rPh sb="0" eb="2">
      <t>シュウケイ</t>
    </rPh>
    <rPh sb="2" eb="4">
      <t>クブン</t>
    </rPh>
    <phoneticPr fontId="6"/>
  </si>
  <si>
    <t>農機具等</t>
    <rPh sb="0" eb="3">
      <t>ノウキグ</t>
    </rPh>
    <rPh sb="3" eb="4">
      <t>トウ</t>
    </rPh>
    <phoneticPr fontId="13"/>
  </si>
  <si>
    <t>22　食用米の田植、収穫期間（日）</t>
    <phoneticPr fontId="13"/>
  </si>
  <si>
    <t>16　稲作作業の受委託状況</t>
    <rPh sb="8" eb="11">
      <t>ジュイタク</t>
    </rPh>
    <rPh sb="11" eb="13">
      <t>ジョウキョウ</t>
    </rPh>
    <phoneticPr fontId="13"/>
  </si>
  <si>
    <t>24　田の概況</t>
    <rPh sb="3" eb="4">
      <t>タ</t>
    </rPh>
    <rPh sb="5" eb="7">
      <t>ガイキョウ</t>
    </rPh>
    <phoneticPr fontId="13"/>
  </si>
  <si>
    <t>８　収益性（円）</t>
    <phoneticPr fontId="13"/>
  </si>
  <si>
    <t>28　構成員数等（人、戸）</t>
    <rPh sb="3" eb="6">
      <t>コウセイイン</t>
    </rPh>
    <rPh sb="6" eb="7">
      <t>スウ</t>
    </rPh>
    <rPh sb="7" eb="8">
      <t>トウ</t>
    </rPh>
    <rPh sb="9" eb="10">
      <t>ヒト</t>
    </rPh>
    <rPh sb="11" eb="12">
      <t>コ</t>
    </rPh>
    <phoneticPr fontId="6"/>
  </si>
  <si>
    <t>30　原単位</t>
    <rPh sb="3" eb="6">
      <t>ゲンタンイ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</si>
  <si>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</si>
  <si>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</si>
  <si>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</si>
  <si>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</si>
  <si>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加重・総和の別</t>
    <rPh sb="0" eb="2">
      <t>カジュウ</t>
    </rPh>
    <rPh sb="3" eb="5">
      <t>ソウワ</t>
    </rPh>
    <rPh sb="6" eb="7">
      <t>ベツ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</si>
  <si>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8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</si>
  <si>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</si>
  <si>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</si>
  <si>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</si>
  <si>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</si>
  <si>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</si>
  <si>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</si>
  <si>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</si>
  <si>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</si>
  <si>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</si>
  <si>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</si>
  <si>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11　借入金（買掛未払金含む）の資金種類別内訳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カ</t>
    </rPh>
    <rPh sb="8" eb="9">
      <t>カ</t>
    </rPh>
    <rPh sb="9" eb="11">
      <t>ミバラ</t>
    </rPh>
    <rPh sb="11" eb="12">
      <t>キン</t>
    </rPh>
    <rPh sb="12" eb="13">
      <t>フク</t>
    </rPh>
    <rPh sb="16" eb="18">
      <t>シキン</t>
    </rPh>
    <rPh sb="18" eb="21">
      <t>シュルイベツ</t>
    </rPh>
    <rPh sb="21" eb="23">
      <t>ウチワケ</t>
    </rPh>
    <rPh sb="24" eb="25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</si>
  <si>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</si>
  <si>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９  農業共済金、各種助成措置の状況</t>
    </r>
    <r>
      <rPr>
        <sz val="6"/>
        <color theme="1"/>
        <rFont val="ＭＳ 明朝"/>
        <family val="1"/>
        <charset val="128"/>
      </rPr>
      <t>（円）</t>
    </r>
    <rPh sb="9" eb="11">
      <t>カクシュ</t>
    </rPh>
    <rPh sb="11" eb="13">
      <t>ジョセイ</t>
    </rPh>
    <rPh sb="13" eb="15">
      <t>ソチ</t>
    </rPh>
    <rPh sb="16" eb="18">
      <t>ジョウキョウ</t>
    </rPh>
    <rPh sb="19" eb="20">
      <t>エン</t>
    </rPh>
    <phoneticPr fontId="13"/>
  </si>
  <si>
    <r>
      <t>23　「移植」「直まき」別作付面積</t>
    </r>
    <r>
      <rPr>
        <sz val="6"/>
        <color theme="1"/>
        <rFont val="ＭＳ 明朝"/>
        <family val="1"/>
        <charset val="128"/>
      </rPr>
      <t>（ａ）</t>
    </r>
    <rPh sb="4" eb="6">
      <t>イショク</t>
    </rPh>
    <rPh sb="8" eb="9">
      <t>ジカ</t>
    </rPh>
    <rPh sb="12" eb="13">
      <t>ベツ</t>
    </rPh>
    <rPh sb="13" eb="15">
      <t>サクツ</t>
    </rPh>
    <rPh sb="15" eb="17">
      <t>メンセキ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</si>
  <si>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</si>
  <si>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25　ほ場枚数及び面積</t>
    </r>
    <r>
      <rPr>
        <sz val="6"/>
        <color theme="1"/>
        <rFont val="ＭＳ 明朝"/>
        <family val="1"/>
        <charset val="128"/>
      </rPr>
      <t>（ａ）</t>
    </r>
    <rPh sb="4" eb="5">
      <t>ジョウ</t>
    </rPh>
    <rPh sb="5" eb="7">
      <t>マイスウ</t>
    </rPh>
    <rPh sb="7" eb="8">
      <t>オヨ</t>
    </rPh>
    <rPh sb="9" eb="11">
      <t>メンセキ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</si>
  <si>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</si>
  <si>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26　団地への距離等</t>
    </r>
    <r>
      <rPr>
        <sz val="6"/>
        <color theme="1"/>
        <rFont val="ＭＳ 明朝"/>
        <family val="1"/>
        <charset val="128"/>
      </rPr>
      <t>（㎞）</t>
    </r>
    <rPh sb="3" eb="5">
      <t>ダンチ</t>
    </rPh>
    <rPh sb="7" eb="9">
      <t>キョリ</t>
    </rPh>
    <rPh sb="9" eb="10">
      <t>トウ</t>
    </rPh>
    <phoneticPr fontId="13"/>
  </si>
  <si>
    <r>
      <t>15　うるち米の品種別作付面積</t>
    </r>
    <r>
      <rPr>
        <sz val="6"/>
        <color theme="1"/>
        <rFont val="ＭＳ 明朝"/>
        <family val="1"/>
        <charset val="128"/>
      </rPr>
      <t>（ａ）</t>
    </r>
    <rPh sb="6" eb="7">
      <t>マイ</t>
    </rPh>
    <rPh sb="8" eb="11">
      <t>ヒンシュベツ</t>
    </rPh>
    <rPh sb="11" eb="13">
      <t>サクツケ</t>
    </rPh>
    <rPh sb="13" eb="15">
      <t>メンセキ</t>
    </rPh>
    <phoneticPr fontId="13"/>
  </si>
  <si>
    <r>
      <t>27　飼料用米作付状況</t>
    </r>
    <r>
      <rPr>
        <sz val="6"/>
        <color theme="1"/>
        <rFont val="ＭＳ 明朝"/>
        <family val="1"/>
        <charset val="128"/>
      </rPr>
      <t>（ａ）</t>
    </r>
    <rPh sb="3" eb="5">
      <t>シリョウ</t>
    </rPh>
    <rPh sb="5" eb="7">
      <t>ヨウマイ</t>
    </rPh>
    <rPh sb="7" eb="9">
      <t>サクツケ</t>
    </rPh>
    <rPh sb="9" eb="11">
      <t>ジョウキョウ</t>
    </rPh>
    <phoneticPr fontId="13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</si>
  <si>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</si>
  <si>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r>
      <t>13　年齢階層別構成員労働時間及び労働評価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rPh sb="22" eb="24">
      <t>ジカン</t>
    </rPh>
    <rPh sb="25" eb="26">
      <t>エン</t>
    </rPh>
    <phoneticPr fontId="13"/>
  </si>
  <si>
    <t>規模階層</t>
    <phoneticPr fontId="6"/>
  </si>
  <si>
    <t>コード</t>
    <phoneticPr fontId="6"/>
  </si>
  <si>
    <t>5.0ha未満</t>
    <rPh sb="5" eb="7">
      <t>ミマン</t>
    </rPh>
    <phoneticPr fontId="6"/>
  </si>
  <si>
    <t>100.0ha以上</t>
    <rPh sb="7" eb="9">
      <t>イジョウ</t>
    </rPh>
    <phoneticPr fontId="6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</si>
  <si>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</si>
  <si>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</si>
  <si>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</si>
  <si>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</si>
  <si>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</si>
  <si>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</si>
  <si>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</si>
  <si>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</si>
  <si>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</si>
  <si>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</si>
  <si>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</si>
  <si>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</si>
  <si>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</si>
  <si>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</si>
  <si>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</si>
  <si>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</si>
  <si>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</si>
  <si>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</si>
  <si>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</si>
  <si>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</si>
  <si>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</si>
  <si>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</si>
  <si>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</si>
  <si>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</si>
  <si>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</si>
  <si>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</si>
  <si>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</si>
  <si>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</si>
  <si>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</si>
  <si>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30.0ha以上</t>
    <rPh sb="6" eb="8">
      <t>イジョウ</t>
    </rPh>
    <phoneticPr fontId="6"/>
  </si>
  <si>
    <t>30.0～50.0</t>
    <phoneticPr fontId="6"/>
  </si>
  <si>
    <t>50.0ha以上</t>
    <rPh sb="6" eb="8">
      <t>イジョウ</t>
    </rPh>
    <phoneticPr fontId="6"/>
  </si>
  <si>
    <t>50.0～100.0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</si>
  <si>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</si>
  <si>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</si>
  <si>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13"/>
  </si>
  <si>
    <t>平均</t>
    <rPh sb="0" eb="2">
      <t>ヘイキン</t>
    </rPh>
    <phoneticPr fontId="6"/>
  </si>
  <si>
    <t>稲わら(もみがら含む)</t>
    <rPh sb="0" eb="1">
      <t>イナ</t>
    </rPh>
    <rPh sb="8" eb="9">
      <t>フク</t>
    </rPh>
    <phoneticPr fontId="13"/>
  </si>
  <si>
    <t>集計名称：</t>
    <phoneticPr fontId="14"/>
  </si>
  <si>
    <t>上記以外の乾燥・調製委託料</t>
    <rPh sb="0" eb="2">
      <t>ジョウキ</t>
    </rPh>
    <rPh sb="2" eb="4">
      <t>イガイ</t>
    </rPh>
    <rPh sb="5" eb="7">
      <t>カンソウ</t>
    </rPh>
    <rPh sb="8" eb="10">
      <t>チョウセイ</t>
    </rPh>
    <rPh sb="10" eb="13">
      <t>イタクリョウ</t>
    </rPh>
    <phoneticPr fontId="13"/>
  </si>
  <si>
    <t>賃借料及び料金</t>
    <phoneticPr fontId="13"/>
  </si>
  <si>
    <t>事務所</t>
    <phoneticPr fontId="6"/>
  </si>
  <si>
    <t>作業場</t>
    <rPh sb="0" eb="2">
      <t>サギョウ</t>
    </rPh>
    <rPh sb="2" eb="3">
      <t>ジョウ</t>
    </rPh>
    <phoneticPr fontId="13"/>
  </si>
  <si>
    <t>車庫</t>
    <rPh sb="0" eb="2">
      <t>シャコ</t>
    </rPh>
    <phoneticPr fontId="13"/>
  </si>
  <si>
    <t>育苗ハウス</t>
    <phoneticPr fontId="13"/>
  </si>
  <si>
    <t>稲架</t>
    <rPh sb="0" eb="2">
      <t>ハザ</t>
    </rPh>
    <phoneticPr fontId="13"/>
  </si>
  <si>
    <t>作業道</t>
    <rPh sb="0" eb="2">
      <t>サギョウ</t>
    </rPh>
    <rPh sb="2" eb="3">
      <t>ドウ</t>
    </rPh>
    <phoneticPr fontId="13"/>
  </si>
  <si>
    <t>50～80馬力未満</t>
    <rPh sb="5" eb="7">
      <t>バリキ</t>
    </rPh>
    <rPh sb="7" eb="9">
      <t>ミマン</t>
    </rPh>
    <phoneticPr fontId="13"/>
  </si>
  <si>
    <t>80～100馬力未満</t>
    <rPh sb="6" eb="8">
      <t>バリキ</t>
    </rPh>
    <rPh sb="8" eb="10">
      <t>ミマン</t>
    </rPh>
    <phoneticPr fontId="13"/>
  </si>
  <si>
    <t>３～５条植</t>
    <rPh sb="3" eb="4">
      <t>ジョウ</t>
    </rPh>
    <rPh sb="4" eb="5">
      <t>ウエ</t>
    </rPh>
    <phoneticPr fontId="13"/>
  </si>
  <si>
    <t>６～７条植</t>
    <rPh sb="3" eb="4">
      <t>ジョウ</t>
    </rPh>
    <rPh sb="4" eb="5">
      <t>ウエ</t>
    </rPh>
    <phoneticPr fontId="13"/>
  </si>
  <si>
    <t>自脱型コ
ンバイン</t>
    <rPh sb="0" eb="1">
      <t>ジ</t>
    </rPh>
    <rPh sb="1" eb="2">
      <t>ダツ</t>
    </rPh>
    <rPh sb="2" eb="3">
      <t>ガタ</t>
    </rPh>
    <phoneticPr fontId="13"/>
  </si>
  <si>
    <t>４～５条刈</t>
    <rPh sb="3" eb="4">
      <t>ジョウ</t>
    </rPh>
    <rPh sb="4" eb="5">
      <t>カリ</t>
    </rPh>
    <phoneticPr fontId="13"/>
  </si>
  <si>
    <t>ドローン</t>
    <phoneticPr fontId="13"/>
  </si>
  <si>
    <r>
      <t>12　減価償却費</t>
    </r>
    <r>
      <rPr>
        <sz val="6"/>
        <rFont val="ＭＳ 明朝"/>
        <family val="1"/>
        <charset val="128"/>
      </rPr>
      <t>（円）</t>
    </r>
    <r>
      <rPr>
        <sz val="6"/>
        <rFont val="ＭＳ ゴシック"/>
        <family val="3"/>
        <charset val="128"/>
      </rPr>
      <t>（使用台数は10経営体当たり）</t>
    </r>
    <rPh sb="3" eb="5">
      <t>ゲンカ</t>
    </rPh>
    <rPh sb="5" eb="8">
      <t>ショウキャクヒ</t>
    </rPh>
    <rPh sb="9" eb="10">
      <t>エン</t>
    </rPh>
    <rPh sb="12" eb="14">
      <t>シヨウ</t>
    </rPh>
    <phoneticPr fontId="13"/>
  </si>
  <si>
    <t>使用台数（台）</t>
    <rPh sb="0" eb="2">
      <t>シヨウ</t>
    </rPh>
    <rPh sb="2" eb="4">
      <t>ダイスウ</t>
    </rPh>
    <rPh sb="5" eb="6">
      <t>ダイ</t>
    </rPh>
    <phoneticPr fontId="6"/>
  </si>
  <si>
    <t>100馬力以上</t>
    <rPh sb="3" eb="5">
      <t>バリキ</t>
    </rPh>
    <rPh sb="5" eb="7">
      <t>イジョウ</t>
    </rPh>
    <phoneticPr fontId="13"/>
  </si>
  <si>
    <t>８条植以上</t>
    <rPh sb="1" eb="2">
      <t>ジョウ</t>
    </rPh>
    <rPh sb="2" eb="3">
      <t>ウエ</t>
    </rPh>
    <rPh sb="3" eb="5">
      <t>イジョウ</t>
    </rPh>
    <phoneticPr fontId="13"/>
  </si>
  <si>
    <t>６条以上</t>
    <rPh sb="1" eb="2">
      <t>ジョウ</t>
    </rPh>
    <rPh sb="2" eb="4">
      <t>イジョウ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</si>
</sst>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00"/>
    <numFmt numFmtId="178" formatCode="###\ ###\ ###\ ##0"/>
    <numFmt numFmtId="179" formatCode="###\ ###\ ###\ ##0.0"/>
    <numFmt numFmtId="180" formatCode="###\-##"/>
    <numFmt numFmtId="181" formatCode="#,##0;\-#,##0;&quot;&quot;"/>
    <numFmt numFmtId="182" formatCode="#,##0.00;\-#,##0.00;&quot;&quot;"/>
    <numFmt numFmtId="183" formatCode="#,##0.00;\-#,##0.00;0.00"/>
  </numFmts>
  <fonts count="35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6"/>
      <name val="ＭＳ Ｐゴシック"/>
      <family val="3"/>
      <charset val="128"/>
    </font>
    <font>
      <b/>
      <sz val="12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明朝"/>
      <family val="1"/>
      <charset val="128"/>
    </font>
    <font>
      <b/>
      <sz val="11"/>
      <color theme="1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b/>
      <sz val="12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b/>
      <sz val="6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9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 diagonalDown="1"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auto="1"/>
      </right>
      <top style="hair">
        <color indexed="64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auto="1"/>
      </diagonal>
    </border>
    <border diagonalDown="1">
      <left style="thin">
        <color indexed="64"/>
      </left>
      <right/>
      <top style="hair">
        <color indexed="64"/>
      </top>
      <bottom style="medium">
        <color auto="1"/>
      </bottom>
      <diagonal style="hair">
        <color auto="1"/>
      </diagonal>
    </border>
    <border diagonalDown="1">
      <left style="medium">
        <color indexed="64"/>
      </left>
      <right/>
      <top style="thin">
        <color auto="1"/>
      </top>
      <bottom style="hair">
        <color indexed="64"/>
      </bottom>
      <diagonal style="hair">
        <color auto="1"/>
      </diagonal>
    </border>
    <border diagonalDown="1">
      <left style="medium">
        <color indexed="64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indexed="64"/>
      </bottom>
      <diagonal style="hair">
        <color auto="1"/>
      </diagonal>
    </border>
    <border diagonalDown="1">
      <left/>
      <right style="medium">
        <color auto="1"/>
      </right>
      <top/>
      <bottom style="hair">
        <color indexed="64"/>
      </bottom>
      <diagonal style="hair">
        <color auto="1"/>
      </diagonal>
    </border>
    <border diagonalDown="1">
      <left/>
      <right style="medium">
        <color auto="1"/>
      </right>
      <top style="hair">
        <color indexed="64"/>
      </top>
      <bottom style="hair">
        <color indexed="64"/>
      </bottom>
      <diagonal style="hair">
        <color auto="1"/>
      </diagonal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indexed="64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7" fillId="0" borderId="0"/>
    <xf numFmtId="0" fontId="12" fillId="0" borderId="0"/>
    <xf numFmtId="0" fontId="7" fillId="0" borderId="0"/>
  </cellStyleXfs>
  <cellXfs count="866">
    <xf numFmtId="0" fontId="0" fillId="0" borderId="0" xfId="0"/>
    <xf numFmtId="0" fontId="19" fillId="0" borderId="0" xfId="93" applyFont="1"/>
    <xf numFmtId="0" fontId="20" fillId="0" borderId="0" xfId="93" applyFont="1"/>
    <xf numFmtId="0" fontId="21" fillId="0" borderId="0" xfId="93" applyFont="1"/>
    <xf numFmtId="0" fontId="22" fillId="0" borderId="0" xfId="93" applyFont="1" applyAlignment="1">
      <alignment vertical="top"/>
    </xf>
    <xf numFmtId="0" fontId="23" fillId="0" borderId="0" xfId="93" applyFont="1" applyAlignment="1">
      <alignment vertical="center"/>
    </xf>
    <xf numFmtId="0" fontId="21" fillId="0" borderId="32" xfId="93" applyFont="1" applyBorder="1" applyAlignment="1">
      <alignment vertical="center"/>
    </xf>
    <xf numFmtId="0" fontId="22" fillId="0" borderId="10" xfId="93" applyFont="1" applyBorder="1" applyAlignment="1">
      <alignment vertical="center"/>
    </xf>
    <xf numFmtId="0" fontId="16" fillId="0" borderId="10" xfId="93" applyFont="1" applyBorder="1" applyAlignment="1">
      <alignment vertical="center"/>
    </xf>
    <xf numFmtId="0" fontId="16" fillId="0" borderId="10" xfId="93" applyFont="1" applyBorder="1" applyAlignment="1">
      <alignment horizontal="center" vertical="center"/>
    </xf>
    <xf numFmtId="0" fontId="22" fillId="0" borderId="10" xfId="93" applyFont="1" applyBorder="1" applyAlignment="1">
      <alignment horizontal="right"/>
    </xf>
    <xf numFmtId="0" fontId="16" fillId="0" borderId="52" xfId="93" applyFont="1" applyBorder="1" applyAlignment="1">
      <alignment vertical="center"/>
    </xf>
    <xf numFmtId="0" fontId="16" fillId="0" borderId="0" xfId="93" applyFont="1" applyAlignment="1">
      <alignment vertical="center"/>
    </xf>
    <xf numFmtId="177" fontId="24" fillId="0" borderId="75" xfId="93" applyNumberFormat="1" applyFont="1" applyBorder="1" applyAlignment="1">
      <alignment horizontal="center" vertical="center" shrinkToFit="1"/>
    </xf>
    <xf numFmtId="1" fontId="24" fillId="0" borderId="75" xfId="93" applyNumberFormat="1" applyFont="1" applyBorder="1" applyAlignment="1">
      <alignment horizontal="center" vertical="center" shrinkToFit="1"/>
    </xf>
    <xf numFmtId="177" fontId="24" fillId="0" borderId="67" xfId="93" applyNumberFormat="1" applyFont="1" applyBorder="1" applyAlignment="1">
      <alignment horizontal="center" vertical="center" shrinkToFit="1"/>
    </xf>
    <xf numFmtId="0" fontId="24" fillId="0" borderId="67" xfId="93" applyFont="1" applyBorder="1" applyAlignment="1">
      <alignment horizontal="center" vertical="center" shrinkToFit="1"/>
    </xf>
    <xf numFmtId="0" fontId="24" fillId="0" borderId="67" xfId="93" applyFont="1" applyBorder="1" applyAlignment="1">
      <alignment horizontal="center" vertical="center"/>
    </xf>
    <xf numFmtId="0" fontId="16" fillId="0" borderId="32" xfId="93" applyFont="1" applyBorder="1" applyAlignment="1">
      <alignment vertical="center"/>
    </xf>
    <xf numFmtId="0" fontId="25" fillId="0" borderId="10" xfId="0" applyFont="1" applyBorder="1"/>
    <xf numFmtId="0" fontId="25" fillId="0" borderId="0" xfId="0" applyFont="1"/>
    <xf numFmtId="0" fontId="23" fillId="0" borderId="94" xfId="93" applyFont="1" applyBorder="1" applyAlignment="1">
      <alignment vertical="center"/>
    </xf>
    <xf numFmtId="0" fontId="25" fillId="0" borderId="11" xfId="0" applyFont="1" applyBorder="1"/>
    <xf numFmtId="0" fontId="16" fillId="0" borderId="55" xfId="93" applyFont="1" applyBorder="1" applyAlignment="1">
      <alignment vertical="center"/>
    </xf>
    <xf numFmtId="0" fontId="21" fillId="0" borderId="51" xfId="93" applyFont="1" applyBorder="1" applyAlignment="1">
      <alignment vertical="center"/>
    </xf>
    <xf numFmtId="0" fontId="23" fillId="0" borderId="50" xfId="93" applyFont="1" applyBorder="1" applyAlignment="1">
      <alignment vertical="center"/>
    </xf>
    <xf numFmtId="0" fontId="23" fillId="0" borderId="60" xfId="93" applyFont="1" applyBorder="1" applyAlignment="1">
      <alignment vertical="center"/>
    </xf>
    <xf numFmtId="0" fontId="16" fillId="0" borderId="84" xfId="93" applyFont="1" applyBorder="1" applyAlignment="1">
      <alignment vertical="center"/>
    </xf>
    <xf numFmtId="0" fontId="23" fillId="0" borderId="10" xfId="93" applyFont="1" applyBorder="1" applyAlignment="1">
      <alignment vertical="center"/>
    </xf>
    <xf numFmtId="0" fontId="23" fillId="0" borderId="52" xfId="93" applyFont="1" applyBorder="1" applyAlignment="1">
      <alignment vertical="center"/>
    </xf>
    <xf numFmtId="0" fontId="16" fillId="0" borderId="55" xfId="93" applyFont="1" applyBorder="1" applyAlignment="1">
      <alignment vertical="center" textRotation="255" shrinkToFit="1"/>
    </xf>
    <xf numFmtId="0" fontId="16" fillId="0" borderId="84" xfId="93" applyFont="1" applyBorder="1" applyAlignment="1">
      <alignment vertical="center" textRotation="255" shrinkToFit="1"/>
    </xf>
    <xf numFmtId="0" fontId="16" fillId="0" borderId="56" xfId="93" applyFont="1" applyBorder="1" applyAlignment="1">
      <alignment vertical="center"/>
    </xf>
    <xf numFmtId="0" fontId="16" fillId="0" borderId="152" xfId="93" applyFont="1" applyBorder="1" applyAlignment="1">
      <alignment vertical="center"/>
    </xf>
    <xf numFmtId="0" fontId="16" fillId="0" borderId="158" xfId="93" applyFont="1" applyBorder="1" applyAlignment="1">
      <alignment vertical="center"/>
    </xf>
    <xf numFmtId="0" fontId="21" fillId="0" borderId="50" xfId="93" applyFont="1" applyBorder="1" applyAlignment="1">
      <alignment vertical="center"/>
    </xf>
    <xf numFmtId="0" fontId="21" fillId="0" borderId="60" xfId="93" applyFont="1" applyBorder="1" applyAlignment="1">
      <alignment vertical="center"/>
    </xf>
    <xf numFmtId="179" fontId="23" fillId="0" borderId="0" xfId="94" applyNumberFormat="1" applyFont="1" applyAlignment="1" applyProtection="1">
      <alignment vertical="center" shrinkToFit="1"/>
      <protection locked="0"/>
    </xf>
    <xf numFmtId="179" fontId="23" fillId="0" borderId="0" xfId="94" applyNumberFormat="1" applyFont="1" applyAlignment="1">
      <alignment vertical="center" shrinkToFit="1"/>
    </xf>
    <xf numFmtId="0" fontId="23" fillId="0" borderId="0" xfId="93" applyFont="1" applyAlignment="1">
      <alignment vertical="center" justifyLastLine="1"/>
    </xf>
    <xf numFmtId="0" fontId="16" fillId="0" borderId="32" xfId="93" applyFont="1" applyBorder="1" applyAlignment="1">
      <alignment horizontal="distributed" vertical="center" shrinkToFit="1"/>
    </xf>
    <xf numFmtId="0" fontId="16" fillId="0" borderId="10" xfId="93" applyFont="1" applyBorder="1" applyAlignment="1">
      <alignment horizontal="distributed" vertical="center" shrinkToFit="1"/>
    </xf>
    <xf numFmtId="178" fontId="23" fillId="0" borderId="10" xfId="94" applyNumberFormat="1" applyFont="1" applyBorder="1" applyAlignment="1">
      <alignment horizontal="right" vertical="center" shrinkToFit="1"/>
    </xf>
    <xf numFmtId="0" fontId="16" fillId="0" borderId="0" xfId="93" applyFont="1" applyAlignment="1">
      <alignment horizontal="distributed" vertical="center"/>
    </xf>
    <xf numFmtId="1" fontId="23" fillId="0" borderId="0" xfId="94" applyNumberFormat="1" applyFont="1" applyAlignment="1">
      <alignment horizontal="right" vertical="center" shrinkToFit="1"/>
    </xf>
    <xf numFmtId="178" fontId="23" fillId="0" borderId="0" xfId="94" applyNumberFormat="1" applyFont="1" applyAlignment="1">
      <alignment horizontal="right" vertical="center" shrinkToFit="1"/>
    </xf>
    <xf numFmtId="0" fontId="23" fillId="0" borderId="12" xfId="93" applyFont="1" applyBorder="1" applyAlignment="1">
      <alignment vertical="center"/>
    </xf>
    <xf numFmtId="0" fontId="23" fillId="0" borderId="11" xfId="93" applyFont="1" applyBorder="1" applyAlignment="1">
      <alignment vertical="center"/>
    </xf>
    <xf numFmtId="0" fontId="23" fillId="0" borderId="11" xfId="93" applyFont="1" applyBorder="1" applyAlignment="1">
      <alignment vertical="center" justifyLastLine="1"/>
    </xf>
    <xf numFmtId="0" fontId="16" fillId="0" borderId="11" xfId="93" applyFont="1" applyBorder="1" applyAlignment="1">
      <alignment horizontal="distributed" vertical="center"/>
    </xf>
    <xf numFmtId="1" fontId="23" fillId="0" borderId="11" xfId="94" applyNumberFormat="1" applyFont="1" applyBorder="1" applyAlignment="1">
      <alignment horizontal="right" vertical="center" shrinkToFit="1"/>
    </xf>
    <xf numFmtId="178" fontId="23" fillId="0" borderId="11" xfId="94" applyNumberFormat="1" applyFont="1" applyBorder="1" applyAlignment="1">
      <alignment horizontal="right" vertical="center" shrinkToFit="1"/>
    </xf>
    <xf numFmtId="0" fontId="23" fillId="0" borderId="13" xfId="93" applyFont="1" applyBorder="1" applyAlignment="1">
      <alignment vertical="center"/>
    </xf>
    <xf numFmtId="0" fontId="20" fillId="0" borderId="0" xfId="93" applyFont="1" applyAlignment="1">
      <alignment vertical="center"/>
    </xf>
    <xf numFmtId="0" fontId="21" fillId="0" borderId="0" xfId="93" applyFont="1" applyAlignment="1">
      <alignment vertical="center"/>
    </xf>
    <xf numFmtId="0" fontId="16" fillId="0" borderId="94" xfId="93" applyFont="1" applyBorder="1" applyAlignment="1">
      <alignment vertical="center"/>
    </xf>
    <xf numFmtId="0" fontId="23" fillId="0" borderId="0" xfId="93" applyFont="1" applyAlignment="1">
      <alignment horizontal="distributed" vertical="center" justifyLastLine="1"/>
    </xf>
    <xf numFmtId="179" fontId="16" fillId="0" borderId="25" xfId="94" applyNumberFormat="1" applyFont="1" applyBorder="1" applyAlignment="1">
      <alignment vertical="center" shrinkToFit="1"/>
    </xf>
    <xf numFmtId="179" fontId="23" fillId="0" borderId="0" xfId="94" applyNumberFormat="1" applyFont="1" applyAlignment="1" applyProtection="1">
      <alignment horizontal="right" vertical="center" shrinkToFit="1"/>
      <protection locked="0"/>
    </xf>
    <xf numFmtId="179" fontId="16" fillId="0" borderId="35" xfId="94" applyNumberFormat="1" applyFont="1" applyBorder="1" applyAlignment="1">
      <alignment vertical="center" shrinkToFit="1"/>
    </xf>
    <xf numFmtId="0" fontId="16" fillId="0" borderId="56" xfId="94" applyFont="1" applyBorder="1" applyAlignment="1">
      <alignment horizontal="distributed" vertical="center" shrinkToFit="1"/>
    </xf>
    <xf numFmtId="0" fontId="16" fillId="0" borderId="47" xfId="94" applyFont="1" applyBorder="1" applyAlignment="1">
      <alignment horizontal="distributed" vertical="center" shrinkToFit="1"/>
    </xf>
    <xf numFmtId="0" fontId="16" fillId="0" borderId="50" xfId="93" applyFont="1" applyBorder="1" applyAlignment="1">
      <alignment vertical="center"/>
    </xf>
    <xf numFmtId="176" fontId="16" fillId="0" borderId="15" xfId="94" applyNumberFormat="1" applyFont="1" applyBorder="1" applyAlignment="1">
      <alignment vertical="center" shrinkToFit="1"/>
    </xf>
    <xf numFmtId="176" fontId="16" fillId="0" borderId="35" xfId="94" applyNumberFormat="1" applyFont="1" applyBorder="1" applyAlignment="1">
      <alignment vertical="center" shrinkToFit="1"/>
    </xf>
    <xf numFmtId="179" fontId="23" fillId="0" borderId="0" xfId="94" applyNumberFormat="1" applyFont="1" applyAlignment="1">
      <alignment horizontal="right" vertical="center" shrinkToFit="1"/>
    </xf>
    <xf numFmtId="0" fontId="25" fillId="0" borderId="43" xfId="0" applyFont="1" applyBorder="1"/>
    <xf numFmtId="0" fontId="20" fillId="0" borderId="0" xfId="93" applyFont="1" applyAlignment="1">
      <alignment horizontal="left" vertical="center"/>
    </xf>
    <xf numFmtId="179" fontId="23" fillId="0" borderId="0" xfId="94" applyNumberFormat="1" applyFont="1" applyAlignment="1" applyProtection="1">
      <alignment horizontal="distributed" vertical="center" wrapText="1" justifyLastLine="1" shrinkToFit="1"/>
      <protection locked="0"/>
    </xf>
    <xf numFmtId="0" fontId="16" fillId="0" borderId="84" xfId="93" applyFont="1" applyBorder="1" applyAlignment="1">
      <alignment horizontal="distributed" vertical="center"/>
    </xf>
    <xf numFmtId="0" fontId="23" fillId="0" borderId="158" xfId="93" applyFont="1" applyBorder="1" applyAlignment="1">
      <alignment horizontal="distributed" vertical="center"/>
    </xf>
    <xf numFmtId="0" fontId="25" fillId="0" borderId="94" xfId="0" applyFont="1" applyBorder="1"/>
    <xf numFmtId="178" fontId="11" fillId="2" borderId="0" xfId="94" applyNumberFormat="1" applyFont="1" applyFill="1" applyAlignment="1" applyProtection="1">
      <alignment horizontal="right" vertical="center" shrinkToFit="1"/>
      <protection locked="0"/>
    </xf>
    <xf numFmtId="0" fontId="23" fillId="0" borderId="0" xfId="93" applyFont="1" applyAlignment="1">
      <alignment horizontal="center" vertical="center"/>
    </xf>
    <xf numFmtId="178" fontId="11" fillId="2" borderId="0" xfId="94" applyNumberFormat="1" applyFont="1" applyFill="1" applyAlignment="1">
      <alignment horizontal="right" vertical="center" shrinkToFit="1"/>
    </xf>
    <xf numFmtId="178" fontId="23" fillId="0" borderId="0" xfId="94" applyNumberFormat="1" applyFont="1" applyAlignment="1" applyProtection="1">
      <alignment horizontal="right" vertical="center" shrinkToFit="1"/>
      <protection locked="0"/>
    </xf>
    <xf numFmtId="1" fontId="23" fillId="0" borderId="0" xfId="93" applyNumberFormat="1" applyFont="1" applyAlignment="1">
      <alignment horizontal="right" vertical="center" shrinkToFit="1"/>
    </xf>
    <xf numFmtId="0" fontId="23" fillId="0" borderId="65" xfId="93" applyFont="1" applyBorder="1" applyAlignment="1">
      <alignment horizontal="distributed" vertical="center"/>
    </xf>
    <xf numFmtId="1" fontId="30" fillId="0" borderId="0" xfId="93" applyNumberFormat="1" applyFont="1" applyAlignment="1">
      <alignment horizontal="center" vertical="center"/>
    </xf>
    <xf numFmtId="0" fontId="23" fillId="0" borderId="0" xfId="93" applyFont="1" applyAlignment="1">
      <alignment horizontal="distributed" vertical="center"/>
    </xf>
    <xf numFmtId="177" fontId="23" fillId="0" borderId="0" xfId="94" applyNumberFormat="1" applyFont="1" applyAlignment="1" applyProtection="1">
      <alignment vertical="center" shrinkToFit="1"/>
      <protection locked="0"/>
    </xf>
    <xf numFmtId="1" fontId="23" fillId="0" borderId="0" xfId="93" applyNumberFormat="1" applyFont="1" applyAlignment="1">
      <alignment vertical="center" shrinkToFit="1"/>
    </xf>
    <xf numFmtId="178" fontId="23" fillId="0" borderId="0" xfId="94" applyNumberFormat="1" applyFont="1" applyAlignment="1">
      <alignment vertical="center" shrinkToFit="1"/>
    </xf>
    <xf numFmtId="178" fontId="23" fillId="0" borderId="11" xfId="94" applyNumberFormat="1" applyFont="1" applyBorder="1" applyAlignment="1">
      <alignment vertical="center" shrinkToFit="1"/>
    </xf>
    <xf numFmtId="0" fontId="16" fillId="0" borderId="47" xfId="93" applyFont="1" applyBorder="1" applyAlignment="1">
      <alignment vertical="center"/>
    </xf>
    <xf numFmtId="0" fontId="16" fillId="0" borderId="0" xfId="93" applyFont="1" applyAlignment="1">
      <alignment vertical="center" justifyLastLine="1"/>
    </xf>
    <xf numFmtId="0" fontId="16" fillId="0" borderId="11" xfId="93" applyFont="1" applyBorder="1" applyAlignment="1">
      <alignment vertical="center" justifyLastLine="1"/>
    </xf>
    <xf numFmtId="0" fontId="23" fillId="0" borderId="0" xfId="93" applyFont="1" applyAlignment="1">
      <alignment vertical="center" wrapText="1"/>
    </xf>
    <xf numFmtId="0" fontId="11" fillId="0" borderId="0" xfId="94" applyFont="1" applyAlignment="1">
      <alignment vertical="center" wrapText="1"/>
    </xf>
    <xf numFmtId="1" fontId="20" fillId="0" borderId="0" xfId="93" applyNumberFormat="1" applyFont="1" applyAlignment="1">
      <alignment horizontal="center" vertical="center"/>
    </xf>
    <xf numFmtId="179" fontId="23" fillId="0" borderId="0" xfId="94" applyNumberFormat="1" applyFont="1" applyAlignment="1" applyProtection="1">
      <alignment vertical="center" wrapText="1" justifyLastLine="1" shrinkToFit="1"/>
      <protection locked="0"/>
    </xf>
    <xf numFmtId="179" fontId="23" fillId="0" borderId="0" xfId="94" applyNumberFormat="1" applyFont="1" applyAlignment="1" applyProtection="1">
      <alignment horizontal="center" vertical="center" shrinkToFit="1"/>
      <protection locked="0"/>
    </xf>
    <xf numFmtId="0" fontId="31" fillId="0" borderId="0" xfId="0" applyFont="1"/>
    <xf numFmtId="0" fontId="31" fillId="8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10" borderId="0" xfId="11" applyFont="1" applyFill="1" applyAlignment="1"/>
    <xf numFmtId="0" fontId="31" fillId="10" borderId="0" xfId="11" applyFont="1" applyFill="1" applyAlignment="1">
      <alignment horizontal="center" vertical="center"/>
    </xf>
    <xf numFmtId="0" fontId="31" fillId="12" borderId="0" xfId="11" applyFont="1" applyFill="1" applyAlignment="1"/>
    <xf numFmtId="0" fontId="31" fillId="12" borderId="0" xfId="11" applyFont="1" applyFill="1" applyAlignment="1">
      <alignment horizontal="center" vertical="center"/>
    </xf>
    <xf numFmtId="0" fontId="31" fillId="3" borderId="0" xfId="11" applyFont="1" applyFill="1" applyAlignment="1"/>
    <xf numFmtId="0" fontId="31" fillId="3" borderId="0" xfId="11" applyFont="1" applyFill="1" applyAlignment="1">
      <alignment horizontal="center" vertical="center"/>
    </xf>
    <xf numFmtId="0" fontId="31" fillId="0" borderId="0" xfId="11" applyFont="1" applyAlignment="1"/>
    <xf numFmtId="0" fontId="31" fillId="10" borderId="0" xfId="11" applyFont="1" applyFill="1" applyAlignment="1">
      <alignment horizontal="center"/>
    </xf>
    <xf numFmtId="0" fontId="31" fillId="9" borderId="0" xfId="0" applyFont="1" applyFill="1"/>
    <xf numFmtId="0" fontId="31" fillId="8" borderId="0" xfId="0" applyFont="1" applyFill="1"/>
    <xf numFmtId="0" fontId="16" fillId="0" borderId="77" xfId="93" applyFont="1" applyBorder="1" applyAlignment="1">
      <alignment horizontal="distributed" vertical="center"/>
    </xf>
    <xf numFmtId="183" fontId="25" fillId="0" borderId="0" xfId="0" applyNumberFormat="1" applyFont="1"/>
    <xf numFmtId="0" fontId="4" fillId="7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4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1" borderId="0" xfId="0" applyFont="1" applyFill="1"/>
    <xf numFmtId="0" fontId="13" fillId="0" borderId="48" xfId="93" applyFont="1" applyBorder="1" applyAlignment="1">
      <alignment vertical="center"/>
    </xf>
    <xf numFmtId="0" fontId="13" fillId="0" borderId="31" xfId="93" applyFont="1" applyBorder="1" applyAlignment="1">
      <alignment vertical="center"/>
    </xf>
    <xf numFmtId="0" fontId="13" fillId="0" borderId="77" xfId="93" applyFont="1" applyBorder="1" applyAlignment="1">
      <alignment vertical="center"/>
    </xf>
    <xf numFmtId="0" fontId="13" fillId="0" borderId="12" xfId="93" applyFont="1" applyBorder="1" applyAlignment="1">
      <alignment vertical="center"/>
    </xf>
    <xf numFmtId="0" fontId="13" fillId="0" borderId="65" xfId="93" applyFont="1" applyBorder="1" applyAlignment="1">
      <alignment vertical="center"/>
    </xf>
    <xf numFmtId="0" fontId="12" fillId="0" borderId="0" xfId="93" applyAlignment="1">
      <alignment vertical="center"/>
    </xf>
    <xf numFmtId="0" fontId="8" fillId="0" borderId="0" xfId="93" applyFont="1" applyAlignment="1">
      <alignment vertical="center"/>
    </xf>
    <xf numFmtId="0" fontId="32" fillId="0" borderId="0" xfId="93" applyFont="1"/>
    <xf numFmtId="0" fontId="34" fillId="0" borderId="0" xfId="93" applyFont="1" applyAlignment="1">
      <alignment vertical="top"/>
    </xf>
    <xf numFmtId="0" fontId="32" fillId="0" borderId="32" xfId="93" applyFont="1" applyBorder="1" applyAlignment="1">
      <alignment vertical="center"/>
    </xf>
    <xf numFmtId="0" fontId="34" fillId="0" borderId="10" xfId="93" applyFont="1" applyBorder="1" applyAlignment="1">
      <alignment vertical="center"/>
    </xf>
    <xf numFmtId="0" fontId="13" fillId="0" borderId="10" xfId="93" applyFont="1" applyBorder="1" applyAlignment="1">
      <alignment vertical="center"/>
    </xf>
    <xf numFmtId="0" fontId="13" fillId="0" borderId="10" xfId="93" applyFont="1" applyBorder="1" applyAlignment="1">
      <alignment horizontal="center" vertical="center"/>
    </xf>
    <xf numFmtId="0" fontId="34" fillId="0" borderId="10" xfId="93" applyFont="1" applyBorder="1" applyAlignment="1">
      <alignment horizontal="right"/>
    </xf>
    <xf numFmtId="0" fontId="13" fillId="0" borderId="52" xfId="93" applyFont="1" applyBorder="1" applyAlignment="1">
      <alignment vertical="center"/>
    </xf>
    <xf numFmtId="0" fontId="13" fillId="0" borderId="0" xfId="93" applyFont="1" applyAlignment="1">
      <alignment vertical="center"/>
    </xf>
    <xf numFmtId="177" fontId="33" fillId="0" borderId="75" xfId="93" applyNumberFormat="1" applyFont="1" applyBorder="1" applyAlignment="1">
      <alignment horizontal="center" vertical="center" shrinkToFit="1"/>
    </xf>
    <xf numFmtId="1" fontId="33" fillId="0" borderId="75" xfId="93" applyNumberFormat="1" applyFont="1" applyBorder="1" applyAlignment="1">
      <alignment horizontal="center" vertical="center" shrinkToFit="1"/>
    </xf>
    <xf numFmtId="177" fontId="33" fillId="0" borderId="67" xfId="93" applyNumberFormat="1" applyFont="1" applyBorder="1" applyAlignment="1">
      <alignment horizontal="center" vertical="center" shrinkToFit="1"/>
    </xf>
    <xf numFmtId="0" fontId="33" fillId="0" borderId="67" xfId="93" applyFont="1" applyBorder="1" applyAlignment="1">
      <alignment horizontal="center" vertical="center" shrinkToFit="1"/>
    </xf>
    <xf numFmtId="0" fontId="33" fillId="0" borderId="67" xfId="93" applyFont="1" applyBorder="1" applyAlignment="1">
      <alignment horizontal="center" vertical="center"/>
    </xf>
    <xf numFmtId="0" fontId="12" fillId="0" borderId="0" xfId="93" applyAlignment="1">
      <alignment horizontal="distributed" vertical="center"/>
    </xf>
    <xf numFmtId="178" fontId="12" fillId="0" borderId="0" xfId="94" applyNumberFormat="1" applyFont="1" applyAlignment="1" applyProtection="1">
      <alignment horizontal="right" vertical="center" shrinkToFit="1"/>
      <protection locked="0"/>
    </xf>
    <xf numFmtId="178" fontId="12" fillId="4" borderId="0" xfId="94" applyNumberFormat="1" applyFont="1" applyFill="1" applyAlignment="1">
      <alignment horizontal="right" vertical="center" shrinkToFit="1"/>
    </xf>
    <xf numFmtId="179" fontId="12" fillId="0" borderId="0" xfId="94" applyNumberFormat="1" applyFont="1" applyAlignment="1" applyProtection="1">
      <alignment horizontal="right" vertical="center" shrinkToFit="1"/>
      <protection locked="0"/>
    </xf>
    <xf numFmtId="0" fontId="12" fillId="0" borderId="0" xfId="93" applyAlignment="1">
      <alignment vertical="distributed" textRotation="255" justifyLastLine="1"/>
    </xf>
    <xf numFmtId="179" fontId="12" fillId="0" borderId="0" xfId="94" applyNumberFormat="1" applyFont="1" applyAlignment="1">
      <alignment horizontal="right" vertical="center" shrinkToFit="1"/>
    </xf>
    <xf numFmtId="178" fontId="12" fillId="0" borderId="0" xfId="94" applyNumberFormat="1" applyFont="1" applyAlignment="1">
      <alignment horizontal="right" vertical="center" shrinkToFit="1"/>
    </xf>
    <xf numFmtId="0" fontId="12" fillId="0" borderId="0" xfId="94" applyFont="1" applyAlignment="1" applyProtection="1">
      <alignment horizontal="center" vertical="center" shrinkToFit="1"/>
      <protection locked="0"/>
    </xf>
    <xf numFmtId="49" fontId="24" fillId="0" borderId="116" xfId="93" applyNumberFormat="1" applyFont="1" applyBorder="1" applyAlignment="1">
      <alignment horizontal="right" vertical="center" shrinkToFit="1"/>
    </xf>
    <xf numFmtId="49" fontId="24" fillId="0" borderId="90" xfId="93" applyNumberFormat="1" applyFont="1" applyBorder="1" applyAlignment="1">
      <alignment horizontal="right" vertical="center" shrinkToFit="1"/>
    </xf>
    <xf numFmtId="49" fontId="24" fillId="0" borderId="168" xfId="93" applyNumberFormat="1" applyFont="1" applyBorder="1" applyAlignment="1">
      <alignment horizontal="right" vertical="center" shrinkToFit="1"/>
    </xf>
    <xf numFmtId="49" fontId="24" fillId="0" borderId="162" xfId="93" applyNumberFormat="1" applyFont="1" applyBorder="1" applyAlignment="1">
      <alignment horizontal="right" vertical="center" shrinkToFit="1"/>
    </xf>
    <xf numFmtId="49" fontId="24" fillId="0" borderId="181" xfId="93" applyNumberFormat="1" applyFont="1" applyBorder="1" applyAlignment="1">
      <alignment horizontal="right" vertical="center" shrinkToFit="1"/>
    </xf>
    <xf numFmtId="49" fontId="24" fillId="0" borderId="170" xfId="93" applyNumberFormat="1" applyFont="1" applyBorder="1" applyAlignment="1">
      <alignment horizontal="right" vertical="center" shrinkToFit="1"/>
    </xf>
    <xf numFmtId="49" fontId="24" fillId="0" borderId="129" xfId="93" applyNumberFormat="1" applyFont="1" applyBorder="1" applyAlignment="1">
      <alignment horizontal="right" vertical="center" shrinkToFit="1"/>
    </xf>
    <xf numFmtId="49" fontId="24" fillId="0" borderId="182" xfId="93" applyNumberFormat="1" applyFont="1" applyBorder="1" applyAlignment="1">
      <alignment horizontal="right" vertical="center" shrinkToFit="1"/>
    </xf>
    <xf numFmtId="49" fontId="24" fillId="0" borderId="161" xfId="93" applyNumberFormat="1" applyFont="1" applyBorder="1" applyAlignment="1">
      <alignment horizontal="right" vertical="center" shrinkToFit="1"/>
    </xf>
    <xf numFmtId="49" fontId="24" fillId="0" borderId="109" xfId="93" applyNumberFormat="1" applyFont="1" applyBorder="1" applyAlignment="1">
      <alignment horizontal="right" vertical="center" shrinkToFit="1"/>
    </xf>
    <xf numFmtId="0" fontId="16" fillId="0" borderId="0" xfId="93" applyFont="1" applyAlignment="1">
      <alignment horizontal="distributed" vertical="center" justifyLastLine="1"/>
    </xf>
    <xf numFmtId="0" fontId="16" fillId="0" borderId="183" xfId="93" applyFont="1" applyBorder="1" applyAlignment="1">
      <alignment horizontal="distributed" vertical="center" justifyLastLine="1"/>
    </xf>
    <xf numFmtId="0" fontId="16" fillId="0" borderId="188" xfId="93" applyFont="1" applyBorder="1" applyAlignment="1">
      <alignment horizontal="distributed" vertical="center" justifyLastLine="1"/>
    </xf>
    <xf numFmtId="49" fontId="24" fillId="0" borderId="146" xfId="94" applyNumberFormat="1" applyFont="1" applyBorder="1" applyAlignment="1">
      <alignment horizontal="right" vertical="center" shrinkToFit="1"/>
    </xf>
    <xf numFmtId="49" fontId="24" fillId="0" borderId="117" xfId="94" applyNumberFormat="1" applyFont="1" applyBorder="1" applyAlignment="1">
      <alignment horizontal="right" vertical="center" shrinkToFit="1"/>
    </xf>
    <xf numFmtId="49" fontId="24" fillId="6" borderId="72" xfId="94" applyNumberFormat="1" applyFont="1" applyFill="1" applyBorder="1" applyAlignment="1">
      <alignment horizontal="right" vertical="center" shrinkToFit="1"/>
    </xf>
    <xf numFmtId="49" fontId="24" fillId="6" borderId="131" xfId="94" applyNumberFormat="1" applyFont="1" applyFill="1" applyBorder="1" applyAlignment="1">
      <alignment horizontal="right" vertical="center" shrinkToFit="1"/>
    </xf>
    <xf numFmtId="49" fontId="24" fillId="0" borderId="148" xfId="94" applyNumberFormat="1" applyFont="1" applyBorder="1" applyAlignment="1">
      <alignment horizontal="right" vertical="center" shrinkToFit="1"/>
    </xf>
    <xf numFmtId="49" fontId="24" fillId="0" borderId="110" xfId="94" applyNumberFormat="1" applyFont="1" applyBorder="1" applyAlignment="1">
      <alignment horizontal="right" vertical="center" shrinkToFit="1"/>
    </xf>
    <xf numFmtId="49" fontId="24" fillId="6" borderId="115" xfId="94" applyNumberFormat="1" applyFont="1" applyFill="1" applyBorder="1" applyAlignment="1">
      <alignment horizontal="right" vertical="center" shrinkToFit="1"/>
    </xf>
    <xf numFmtId="49" fontId="24" fillId="6" borderId="140" xfId="94" applyNumberFormat="1" applyFont="1" applyFill="1" applyBorder="1" applyAlignment="1">
      <alignment horizontal="right" vertical="center" shrinkToFit="1"/>
    </xf>
    <xf numFmtId="49" fontId="24" fillId="6" borderId="54" xfId="94" applyNumberFormat="1" applyFont="1" applyFill="1" applyBorder="1" applyAlignment="1">
      <alignment horizontal="right" vertical="center" shrinkToFit="1"/>
    </xf>
    <xf numFmtId="49" fontId="24" fillId="6" borderId="75" xfId="94" applyNumberFormat="1" applyFont="1" applyFill="1" applyBorder="1" applyAlignment="1">
      <alignment horizontal="right" vertical="center" shrinkToFit="1"/>
    </xf>
    <xf numFmtId="49" fontId="24" fillId="6" borderId="107" xfId="94" applyNumberFormat="1" applyFont="1" applyFill="1" applyBorder="1" applyAlignment="1">
      <alignment horizontal="right" vertical="center" shrinkToFit="1"/>
    </xf>
    <xf numFmtId="49" fontId="24" fillId="6" borderId="147" xfId="94" applyNumberFormat="1" applyFont="1" applyFill="1" applyBorder="1" applyAlignment="1">
      <alignment horizontal="right" vertical="center" shrinkToFit="1"/>
    </xf>
    <xf numFmtId="0" fontId="16" fillId="0" borderId="72" xfId="93" applyFont="1" applyBorder="1" applyAlignment="1">
      <alignment horizontal="center" vertical="center" shrinkToFit="1"/>
    </xf>
    <xf numFmtId="0" fontId="16" fillId="0" borderId="71" xfId="93" applyFont="1" applyBorder="1" applyAlignment="1">
      <alignment horizontal="center" vertical="center" shrinkToFit="1"/>
    </xf>
    <xf numFmtId="49" fontId="24" fillId="6" borderId="111" xfId="94" applyNumberFormat="1" applyFont="1" applyFill="1" applyBorder="1" applyAlignment="1">
      <alignment horizontal="right" vertical="center" shrinkToFit="1"/>
    </xf>
    <xf numFmtId="0" fontId="16" fillId="0" borderId="47" xfId="93" applyFont="1" applyBorder="1" applyAlignment="1">
      <alignment horizontal="distributed" vertical="center"/>
    </xf>
    <xf numFmtId="0" fontId="16" fillId="0" borderId="69" xfId="93" applyFont="1" applyBorder="1" applyAlignment="1">
      <alignment horizontal="distributed" vertical="center"/>
    </xf>
    <xf numFmtId="0" fontId="16" fillId="0" borderId="72" xfId="93" applyFont="1" applyBorder="1" applyAlignment="1">
      <alignment horizontal="distributed" vertical="center"/>
    </xf>
    <xf numFmtId="0" fontId="16" fillId="0" borderId="71" xfId="93" applyFont="1" applyBorder="1" applyAlignment="1">
      <alignment horizontal="distributed" vertical="center"/>
    </xf>
    <xf numFmtId="49" fontId="24" fillId="6" borderId="37" xfId="94" applyNumberFormat="1" applyFont="1" applyFill="1" applyBorder="1" applyAlignment="1">
      <alignment horizontal="right" vertical="center" shrinkToFit="1"/>
    </xf>
    <xf numFmtId="0" fontId="16" fillId="0" borderId="139" xfId="93" applyFont="1" applyBorder="1" applyAlignment="1">
      <alignment horizontal="distributed" vertical="center"/>
    </xf>
    <xf numFmtId="0" fontId="16" fillId="0" borderId="115" xfId="93" applyFont="1" applyBorder="1" applyAlignment="1">
      <alignment horizontal="distributed" vertical="center"/>
    </xf>
    <xf numFmtId="0" fontId="16" fillId="0" borderId="20" xfId="93" applyFont="1" applyBorder="1" applyAlignment="1">
      <alignment horizontal="distributed" vertical="center"/>
    </xf>
    <xf numFmtId="49" fontId="24" fillId="6" borderId="21" xfId="94" applyNumberFormat="1" applyFont="1" applyFill="1" applyBorder="1" applyAlignment="1">
      <alignment horizontal="right" vertical="center" shrinkToFit="1"/>
    </xf>
    <xf numFmtId="0" fontId="16" fillId="0" borderId="58" xfId="93" applyFont="1" applyBorder="1" applyAlignment="1">
      <alignment horizontal="distributed" vertical="center" shrinkToFit="1"/>
    </xf>
    <xf numFmtId="0" fontId="16" fillId="0" borderId="27" xfId="93" applyFont="1" applyBorder="1" applyAlignment="1">
      <alignment horizontal="distributed" vertical="center" shrinkToFit="1"/>
    </xf>
    <xf numFmtId="0" fontId="16" fillId="0" borderId="25" xfId="93" applyFont="1" applyBorder="1" applyAlignment="1">
      <alignment horizontal="distributed" vertical="center" shrinkToFit="1"/>
    </xf>
    <xf numFmtId="0" fontId="16" fillId="0" borderId="12" xfId="93" applyFont="1" applyBorder="1" applyAlignment="1">
      <alignment horizontal="distributed" vertical="center" shrinkToFit="1"/>
    </xf>
    <xf numFmtId="0" fontId="16" fillId="0" borderId="11" xfId="93" applyFont="1" applyBorder="1" applyAlignment="1">
      <alignment horizontal="distributed" vertical="center" shrinkToFit="1"/>
    </xf>
    <xf numFmtId="0" fontId="16" fillId="0" borderId="19" xfId="93" applyFont="1" applyBorder="1" applyAlignment="1">
      <alignment horizontal="distributed" vertical="center" shrinkToFit="1"/>
    </xf>
    <xf numFmtId="49" fontId="24" fillId="6" borderId="121" xfId="94" applyNumberFormat="1" applyFont="1" applyFill="1" applyBorder="1" applyAlignment="1">
      <alignment horizontal="right" vertical="center" shrinkToFit="1"/>
    </xf>
    <xf numFmtId="49" fontId="24" fillId="6" borderId="103" xfId="94" applyNumberFormat="1" applyFont="1" applyFill="1" applyBorder="1" applyAlignment="1">
      <alignment horizontal="right" vertical="center" shrinkToFit="1"/>
    </xf>
    <xf numFmtId="49" fontId="24" fillId="6" borderId="128" xfId="94" applyNumberFormat="1" applyFont="1" applyFill="1" applyBorder="1" applyAlignment="1">
      <alignment horizontal="right" vertical="center" shrinkToFit="1"/>
    </xf>
    <xf numFmtId="49" fontId="24" fillId="6" borderId="144" xfId="94" applyNumberFormat="1" applyFont="1" applyFill="1" applyBorder="1" applyAlignment="1">
      <alignment horizontal="right" vertical="center" shrinkToFit="1"/>
    </xf>
    <xf numFmtId="0" fontId="16" fillId="0" borderId="21" xfId="93" applyFont="1" applyBorder="1" applyAlignment="1">
      <alignment horizontal="distributed" vertical="center"/>
    </xf>
    <xf numFmtId="0" fontId="16" fillId="0" borderId="17" xfId="93" applyFont="1" applyBorder="1" applyAlignment="1">
      <alignment horizontal="distributed" vertical="center"/>
    </xf>
    <xf numFmtId="0" fontId="16" fillId="0" borderId="15" xfId="93" applyFont="1" applyBorder="1" applyAlignment="1">
      <alignment horizontal="distributed" vertical="center"/>
    </xf>
    <xf numFmtId="49" fontId="24" fillId="6" borderId="16" xfId="94" applyNumberFormat="1" applyFont="1" applyFill="1" applyBorder="1" applyAlignment="1">
      <alignment horizontal="right" vertical="center" shrinkToFit="1"/>
    </xf>
    <xf numFmtId="49" fontId="24" fillId="6" borderId="17" xfId="94" applyNumberFormat="1" applyFont="1" applyFill="1" applyBorder="1" applyAlignment="1">
      <alignment horizontal="right" vertical="center" shrinkToFit="1"/>
    </xf>
    <xf numFmtId="49" fontId="24" fillId="6" borderId="46" xfId="94" applyNumberFormat="1" applyFont="1" applyFill="1" applyBorder="1" applyAlignment="1">
      <alignment horizontal="right" vertical="center" shrinkToFit="1"/>
    </xf>
    <xf numFmtId="49" fontId="24" fillId="6" borderId="20" xfId="94" applyNumberFormat="1" applyFont="1" applyFill="1" applyBorder="1" applyAlignment="1">
      <alignment horizontal="right" vertical="center" shrinkToFit="1"/>
    </xf>
    <xf numFmtId="49" fontId="24" fillId="0" borderId="159" xfId="94" applyNumberFormat="1" applyFont="1" applyBorder="1" applyAlignment="1">
      <alignment horizontal="right" vertical="center" shrinkToFit="1"/>
    </xf>
    <xf numFmtId="49" fontId="24" fillId="0" borderId="160" xfId="94" applyNumberFormat="1" applyFont="1" applyBorder="1" applyAlignment="1">
      <alignment horizontal="right" vertical="center" shrinkToFit="1"/>
    </xf>
    <xf numFmtId="0" fontId="16" fillId="0" borderId="106" xfId="93" applyFont="1" applyBorder="1" applyAlignment="1">
      <alignment horizontal="center" vertical="center" textRotation="255" shrinkToFit="1"/>
    </xf>
    <xf numFmtId="0" fontId="23" fillId="0" borderId="93" xfId="93" applyFont="1" applyBorder="1" applyAlignment="1">
      <alignment horizontal="center" vertical="center" shrinkToFit="1"/>
    </xf>
    <xf numFmtId="0" fontId="23" fillId="0" borderId="92" xfId="93" applyFont="1" applyBorder="1" applyAlignment="1">
      <alignment horizontal="center" vertical="center" shrinkToFit="1"/>
    </xf>
    <xf numFmtId="0" fontId="23" fillId="0" borderId="91" xfId="93" applyFont="1" applyBorder="1" applyAlignment="1">
      <alignment horizontal="center" vertical="center" shrinkToFit="1"/>
    </xf>
    <xf numFmtId="179" fontId="16" fillId="0" borderId="4" xfId="94" applyNumberFormat="1" applyFont="1" applyBorder="1" applyAlignment="1" applyProtection="1">
      <alignment horizontal="distributed" vertical="center" wrapText="1" justifyLastLine="1" shrinkToFit="1"/>
      <protection locked="0"/>
    </xf>
    <xf numFmtId="179" fontId="16" fillId="0" borderId="8" xfId="94" applyNumberFormat="1" applyFont="1" applyBorder="1" applyAlignment="1" applyProtection="1">
      <alignment horizontal="distributed" vertical="center" wrapText="1" justifyLastLine="1" shrinkToFit="1"/>
      <protection locked="0"/>
    </xf>
    <xf numFmtId="179" fontId="16" fillId="0" borderId="78" xfId="94" applyNumberFormat="1" applyFont="1" applyBorder="1" applyAlignment="1" applyProtection="1">
      <alignment horizontal="distributed" vertical="center" wrapText="1" justifyLastLine="1" shrinkToFit="1"/>
      <protection locked="0"/>
    </xf>
    <xf numFmtId="0" fontId="16" fillId="0" borderId="9" xfId="93" applyFont="1" applyBorder="1" applyAlignment="1">
      <alignment horizontal="center" vertical="center"/>
    </xf>
    <xf numFmtId="0" fontId="16" fillId="0" borderId="0" xfId="93" applyFont="1" applyAlignment="1">
      <alignment horizontal="center" vertical="center"/>
    </xf>
    <xf numFmtId="49" fontId="24" fillId="0" borderId="26" xfId="94" applyNumberFormat="1" applyFont="1" applyBorder="1" applyAlignment="1" applyProtection="1">
      <alignment horizontal="right" vertical="center" shrinkToFit="1"/>
      <protection locked="0"/>
    </xf>
    <xf numFmtId="49" fontId="24" fillId="0" borderId="27" xfId="94" applyNumberFormat="1" applyFont="1" applyBorder="1" applyAlignment="1" applyProtection="1">
      <alignment horizontal="right" vertical="center" shrinkToFit="1"/>
      <protection locked="0"/>
    </xf>
    <xf numFmtId="49" fontId="24" fillId="0" borderId="61" xfId="94" applyNumberFormat="1" applyFont="1" applyBorder="1" applyAlignment="1" applyProtection="1">
      <alignment horizontal="right" vertical="center" shrinkToFit="1"/>
      <protection locked="0"/>
    </xf>
    <xf numFmtId="49" fontId="24" fillId="0" borderId="47" xfId="94" applyNumberFormat="1" applyFont="1" applyBorder="1" applyAlignment="1" applyProtection="1">
      <alignment horizontal="right" vertical="center" shrinkToFit="1"/>
      <protection locked="0"/>
    </xf>
    <xf numFmtId="49" fontId="24" fillId="6" borderId="47" xfId="94" applyNumberFormat="1" applyFont="1" applyFill="1" applyBorder="1" applyAlignment="1">
      <alignment horizontal="right" vertical="center" shrinkToFit="1"/>
    </xf>
    <xf numFmtId="49" fontId="24" fillId="6" borderId="69" xfId="94" applyNumberFormat="1" applyFont="1" applyFill="1" applyBorder="1" applyAlignment="1">
      <alignment horizontal="right" vertical="center" shrinkToFit="1"/>
    </xf>
    <xf numFmtId="49" fontId="24" fillId="6" borderId="30" xfId="94" applyNumberFormat="1" applyFont="1" applyFill="1" applyBorder="1" applyAlignment="1">
      <alignment horizontal="right" vertical="center" shrinkToFit="1"/>
    </xf>
    <xf numFmtId="49" fontId="24" fillId="6" borderId="184" xfId="94" applyNumberFormat="1" applyFont="1" applyFill="1" applyBorder="1" applyAlignment="1">
      <alignment horizontal="right" vertical="center" shrinkToFit="1"/>
    </xf>
    <xf numFmtId="49" fontId="24" fillId="6" borderId="185" xfId="94" applyNumberFormat="1" applyFont="1" applyFill="1" applyBorder="1" applyAlignment="1">
      <alignment horizontal="right" vertical="center" shrinkToFit="1"/>
    </xf>
    <xf numFmtId="49" fontId="24" fillId="6" borderId="96" xfId="94" applyNumberFormat="1" applyFont="1" applyFill="1" applyBorder="1" applyAlignment="1">
      <alignment horizontal="right" vertical="center" shrinkToFit="1"/>
    </xf>
    <xf numFmtId="49" fontId="24" fillId="0" borderId="36" xfId="94" applyNumberFormat="1" applyFont="1" applyBorder="1" applyAlignment="1" applyProtection="1">
      <alignment horizontal="right" vertical="center" shrinkToFit="1"/>
      <protection locked="0"/>
    </xf>
    <xf numFmtId="49" fontId="24" fillId="0" borderId="34" xfId="94" applyNumberFormat="1" applyFont="1" applyBorder="1" applyAlignment="1" applyProtection="1">
      <alignment horizontal="right" vertical="center" shrinkToFit="1"/>
      <protection locked="0"/>
    </xf>
    <xf numFmtId="49" fontId="24" fillId="0" borderId="53" xfId="94" applyNumberFormat="1" applyFont="1" applyBorder="1" applyAlignment="1" applyProtection="1">
      <alignment horizontal="right" vertical="center" shrinkToFit="1"/>
      <protection locked="0"/>
    </xf>
    <xf numFmtId="49" fontId="24" fillId="0" borderId="72" xfId="94" applyNumberFormat="1" applyFont="1" applyBorder="1" applyAlignment="1">
      <alignment horizontal="right" vertical="center" shrinkToFit="1"/>
    </xf>
    <xf numFmtId="49" fontId="24" fillId="6" borderId="71" xfId="94" applyNumberFormat="1" applyFont="1" applyFill="1" applyBorder="1" applyAlignment="1">
      <alignment horizontal="right" vertical="center" shrinkToFit="1"/>
    </xf>
    <xf numFmtId="49" fontId="24" fillId="6" borderId="83" xfId="94" applyNumberFormat="1" applyFont="1" applyFill="1" applyBorder="1" applyAlignment="1">
      <alignment horizontal="right" vertical="center" shrinkToFit="1"/>
    </xf>
    <xf numFmtId="49" fontId="24" fillId="6" borderId="149" xfId="94" applyNumberFormat="1" applyFont="1" applyFill="1" applyBorder="1" applyAlignment="1">
      <alignment horizontal="right" vertical="center" shrinkToFit="1"/>
    </xf>
    <xf numFmtId="49" fontId="24" fillId="0" borderId="111" xfId="94" applyNumberFormat="1" applyFont="1" applyBorder="1" applyAlignment="1" applyProtection="1">
      <alignment horizontal="right" vertical="center" shrinkToFit="1"/>
      <protection locked="0"/>
    </xf>
    <xf numFmtId="49" fontId="24" fillId="0" borderId="72" xfId="94" applyNumberFormat="1" applyFont="1" applyBorder="1" applyAlignment="1" applyProtection="1">
      <alignment horizontal="right" vertical="center" shrinkToFit="1"/>
      <protection locked="0"/>
    </xf>
    <xf numFmtId="49" fontId="24" fillId="0" borderId="144" xfId="94" applyNumberFormat="1" applyFont="1" applyBorder="1" applyAlignment="1" applyProtection="1">
      <alignment horizontal="right" vertical="center" shrinkToFit="1"/>
      <protection locked="0"/>
    </xf>
    <xf numFmtId="49" fontId="24" fillId="0" borderId="115" xfId="94" applyNumberFormat="1" applyFont="1" applyBorder="1" applyAlignment="1" applyProtection="1">
      <alignment horizontal="right" vertical="center" shrinkToFit="1"/>
      <protection locked="0"/>
    </xf>
    <xf numFmtId="0" fontId="16" fillId="0" borderId="37" xfId="93" applyFont="1" applyBorder="1" applyAlignment="1">
      <alignment vertical="center" shrinkToFit="1"/>
    </xf>
    <xf numFmtId="0" fontId="16" fillId="0" borderId="34" xfId="93" applyFont="1" applyBorder="1" applyAlignment="1">
      <alignment vertical="center" shrinkToFit="1"/>
    </xf>
    <xf numFmtId="0" fontId="16" fillId="0" borderId="35" xfId="93" applyFont="1" applyBorder="1" applyAlignment="1">
      <alignment vertical="center" shrinkToFit="1"/>
    </xf>
    <xf numFmtId="49" fontId="24" fillId="6" borderId="36" xfId="94" applyNumberFormat="1" applyFont="1" applyFill="1" applyBorder="1" applyAlignment="1">
      <alignment horizontal="right" vertical="center" shrinkToFit="1"/>
    </xf>
    <xf numFmtId="49" fontId="24" fillId="6" borderId="34" xfId="94" applyNumberFormat="1" applyFont="1" applyFill="1" applyBorder="1" applyAlignment="1">
      <alignment horizontal="right" vertical="center" shrinkToFit="1"/>
    </xf>
    <xf numFmtId="49" fontId="24" fillId="6" borderId="53" xfId="94" applyNumberFormat="1" applyFont="1" applyFill="1" applyBorder="1" applyAlignment="1">
      <alignment horizontal="right" vertical="center" shrinkToFit="1"/>
    </xf>
    <xf numFmtId="0" fontId="16" fillId="0" borderId="84" xfId="93" applyFont="1" applyBorder="1" applyAlignment="1">
      <alignment horizontal="center" vertical="center" textRotation="255" shrinkToFit="1"/>
    </xf>
    <xf numFmtId="49" fontId="24" fillId="6" borderId="48" xfId="94" applyNumberFormat="1" applyFont="1" applyFill="1" applyBorder="1" applyAlignment="1">
      <alignment horizontal="right" vertical="center" shrinkToFit="1"/>
    </xf>
    <xf numFmtId="0" fontId="16" fillId="0" borderId="42" xfId="93" applyFont="1" applyBorder="1" applyAlignment="1">
      <alignment horizontal="distributed" vertical="center" justifyLastLine="1"/>
    </xf>
    <xf numFmtId="0" fontId="16" fillId="0" borderId="39" xfId="93" applyFont="1" applyBorder="1" applyAlignment="1">
      <alignment horizontal="distributed" vertical="center" justifyLastLine="1"/>
    </xf>
    <xf numFmtId="0" fontId="16" fillId="0" borderId="37" xfId="93" applyFont="1" applyBorder="1" applyAlignment="1">
      <alignment horizontal="distributed" vertical="center"/>
    </xf>
    <xf numFmtId="0" fontId="16" fillId="0" borderId="34" xfId="93" applyFont="1" applyBorder="1" applyAlignment="1">
      <alignment horizontal="distributed" vertical="center"/>
    </xf>
    <xf numFmtId="0" fontId="16" fillId="0" borderId="35" xfId="93" applyFont="1" applyBorder="1" applyAlignment="1">
      <alignment horizontal="distributed" vertical="center"/>
    </xf>
    <xf numFmtId="0" fontId="23" fillId="0" borderId="81" xfId="93" applyFont="1" applyBorder="1" applyAlignment="1">
      <alignment horizontal="center" vertical="center" textRotation="255"/>
    </xf>
    <xf numFmtId="0" fontId="23" fillId="0" borderId="70" xfId="93" applyFont="1" applyBorder="1" applyAlignment="1">
      <alignment vertical="center"/>
    </xf>
    <xf numFmtId="0" fontId="23" fillId="0" borderId="79" xfId="93" applyFont="1" applyBorder="1" applyAlignment="1">
      <alignment vertical="center"/>
    </xf>
    <xf numFmtId="0" fontId="23" fillId="0" borderId="45" xfId="93" applyFont="1" applyBorder="1" applyAlignment="1">
      <alignment vertical="center"/>
    </xf>
    <xf numFmtId="0" fontId="16" fillId="0" borderId="67" xfId="93" applyFont="1" applyBorder="1" applyAlignment="1">
      <alignment horizontal="distributed" vertical="center" justifyLastLine="1"/>
    </xf>
    <xf numFmtId="0" fontId="16" fillId="0" borderId="41" xfId="93" applyFont="1" applyBorder="1" applyAlignment="1">
      <alignment horizontal="distributed" vertical="center" justifyLastLine="1"/>
    </xf>
    <xf numFmtId="0" fontId="16" fillId="0" borderId="155" xfId="93" applyFont="1" applyBorder="1" applyAlignment="1">
      <alignment horizontal="distributed" vertical="center"/>
    </xf>
    <xf numFmtId="0" fontId="16" fillId="0" borderId="83" xfId="93" applyFont="1" applyBorder="1" applyAlignment="1">
      <alignment horizontal="distributed" vertical="center"/>
    </xf>
    <xf numFmtId="0" fontId="16" fillId="0" borderId="36" xfId="93" applyFont="1" applyBorder="1" applyAlignment="1">
      <alignment horizontal="distributed" vertical="center"/>
    </xf>
    <xf numFmtId="49" fontId="24" fillId="0" borderId="156" xfId="94" applyNumberFormat="1" applyFont="1" applyBorder="1" applyAlignment="1">
      <alignment horizontal="right" vertical="center" shrinkToFit="1"/>
    </xf>
    <xf numFmtId="49" fontId="24" fillId="0" borderId="157" xfId="94" applyNumberFormat="1" applyFont="1" applyBorder="1" applyAlignment="1">
      <alignment horizontal="right" vertical="center" shrinkToFit="1"/>
    </xf>
    <xf numFmtId="49" fontId="24" fillId="6" borderId="143" xfId="94" applyNumberFormat="1" applyFont="1" applyFill="1" applyBorder="1" applyAlignment="1">
      <alignment horizontal="right" vertical="center" shrinkToFit="1"/>
    </xf>
    <xf numFmtId="0" fontId="16" fillId="0" borderId="153" xfId="93" applyFont="1" applyBorder="1" applyAlignment="1">
      <alignment horizontal="distributed" vertical="center"/>
    </xf>
    <xf numFmtId="0" fontId="16" fillId="0" borderId="153" xfId="93" applyFont="1" applyBorder="1" applyAlignment="1">
      <alignment horizontal="center" vertical="center"/>
    </xf>
    <xf numFmtId="0" fontId="16" fillId="0" borderId="83" xfId="93" applyFont="1" applyBorder="1" applyAlignment="1">
      <alignment horizontal="center" vertical="center"/>
    </xf>
    <xf numFmtId="0" fontId="16" fillId="0" borderId="36" xfId="93" applyFont="1" applyBorder="1" applyAlignment="1">
      <alignment horizontal="center" vertical="center"/>
    </xf>
    <xf numFmtId="0" fontId="16" fillId="0" borderId="26" xfId="93" applyFont="1" applyBorder="1" applyAlignment="1">
      <alignment horizontal="center" vertical="center"/>
    </xf>
    <xf numFmtId="0" fontId="16" fillId="0" borderId="27" xfId="93" applyFont="1" applyBorder="1" applyAlignment="1">
      <alignment horizontal="center" vertical="center"/>
    </xf>
    <xf numFmtId="0" fontId="16" fillId="0" borderId="57" xfId="93" applyFont="1" applyBorder="1" applyAlignment="1">
      <alignment horizontal="center" vertical="center"/>
    </xf>
    <xf numFmtId="0" fontId="16" fillId="0" borderId="38" xfId="93" applyFont="1" applyBorder="1" applyAlignment="1">
      <alignment horizontal="distributed" vertical="center" justifyLastLine="1"/>
    </xf>
    <xf numFmtId="49" fontId="24" fillId="6" borderId="35" xfId="94" applyNumberFormat="1" applyFont="1" applyFill="1" applyBorder="1" applyAlignment="1">
      <alignment horizontal="right" vertical="center" shrinkToFit="1"/>
    </xf>
    <xf numFmtId="0" fontId="16" fillId="0" borderId="95" xfId="93" applyFont="1" applyBorder="1" applyAlignment="1">
      <alignment horizontal="center" vertical="distributed" textRotation="255"/>
    </xf>
    <xf numFmtId="0" fontId="16" fillId="0" borderId="43" xfId="93" applyFont="1" applyBorder="1" applyAlignment="1">
      <alignment horizontal="center" vertical="distributed" textRotation="255"/>
    </xf>
    <xf numFmtId="0" fontId="16" fillId="0" borderId="12" xfId="93" applyFont="1" applyBorder="1"/>
    <xf numFmtId="0" fontId="16" fillId="0" borderId="54" xfId="93" applyFont="1" applyBorder="1" applyAlignment="1">
      <alignment horizontal="distributed" vertical="center"/>
    </xf>
    <xf numFmtId="0" fontId="16" fillId="0" borderId="108" xfId="93" applyFont="1" applyBorder="1" applyAlignment="1">
      <alignment horizontal="distributed" vertical="center" justifyLastLine="1"/>
    </xf>
    <xf numFmtId="0" fontId="16" fillId="0" borderId="8" xfId="93" applyFont="1" applyBorder="1" applyAlignment="1">
      <alignment horizontal="distributed" vertical="center" justifyLastLine="1"/>
    </xf>
    <xf numFmtId="0" fontId="16" fillId="0" borderId="7" xfId="93" applyFont="1" applyBorder="1" applyAlignment="1">
      <alignment horizontal="distributed" vertical="center" justifyLastLine="1"/>
    </xf>
    <xf numFmtId="0" fontId="16" fillId="0" borderId="112" xfId="93" applyFont="1" applyBorder="1" applyAlignment="1">
      <alignment horizontal="distributed" vertical="center" justifyLastLine="1"/>
    </xf>
    <xf numFmtId="0" fontId="16" fillId="0" borderId="4" xfId="93" applyFont="1" applyBorder="1" applyAlignment="1">
      <alignment horizontal="distributed" vertical="center" justifyLastLine="1"/>
    </xf>
    <xf numFmtId="0" fontId="23" fillId="0" borderId="93" xfId="93" applyFont="1" applyBorder="1" applyAlignment="1">
      <alignment horizontal="distributed" vertical="center" justifyLastLine="1"/>
    </xf>
    <xf numFmtId="0" fontId="23" fillId="0" borderId="92" xfId="93" applyFont="1" applyBorder="1" applyAlignment="1">
      <alignment horizontal="distributed" vertical="center" justifyLastLine="1"/>
    </xf>
    <xf numFmtId="0" fontId="23" fillId="0" borderId="91" xfId="93" applyFont="1" applyBorder="1" applyAlignment="1">
      <alignment horizontal="distributed" vertical="center" justifyLastLine="1"/>
    </xf>
    <xf numFmtId="0" fontId="16" fillId="0" borderId="58" xfId="93" applyFont="1" applyBorder="1" applyAlignment="1">
      <alignment horizontal="center" vertical="distributed" textRotation="255" justifyLastLine="1"/>
    </xf>
    <xf numFmtId="0" fontId="16" fillId="0" borderId="49" xfId="93" applyFont="1" applyBorder="1" applyAlignment="1">
      <alignment horizontal="center" vertical="distributed" textRotation="255" justifyLastLine="1"/>
    </xf>
    <xf numFmtId="0" fontId="16" fillId="0" borderId="62" xfId="93" applyFont="1" applyBorder="1" applyAlignment="1">
      <alignment horizontal="distributed" vertical="center"/>
    </xf>
    <xf numFmtId="0" fontId="16" fillId="0" borderId="27" xfId="93" applyFont="1" applyBorder="1" applyAlignment="1">
      <alignment horizontal="distributed" vertical="center"/>
    </xf>
    <xf numFmtId="0" fontId="16" fillId="0" borderId="25" xfId="93" applyFont="1" applyBorder="1" applyAlignment="1">
      <alignment horizontal="distributed" vertical="center"/>
    </xf>
    <xf numFmtId="178" fontId="23" fillId="0" borderId="158" xfId="94" applyNumberFormat="1" applyFont="1" applyBorder="1" applyAlignment="1">
      <alignment horizontal="right" vertical="center" shrinkToFit="1"/>
    </xf>
    <xf numFmtId="178" fontId="23" fillId="0" borderId="152" xfId="94" applyNumberFormat="1" applyFont="1" applyBorder="1" applyAlignment="1">
      <alignment horizontal="right" vertical="center" shrinkToFit="1"/>
    </xf>
    <xf numFmtId="178" fontId="23" fillId="0" borderId="179" xfId="94" applyNumberFormat="1" applyFont="1" applyBorder="1" applyAlignment="1">
      <alignment horizontal="right" vertical="center" shrinkToFit="1"/>
    </xf>
    <xf numFmtId="0" fontId="16" fillId="0" borderId="44" xfId="93" applyFont="1" applyBorder="1" applyAlignment="1">
      <alignment horizontal="distributed" vertical="center"/>
    </xf>
    <xf numFmtId="0" fontId="16" fillId="0" borderId="3" xfId="93" applyFont="1" applyBorder="1" applyAlignment="1">
      <alignment horizontal="distributed" vertical="center"/>
    </xf>
    <xf numFmtId="0" fontId="16" fillId="0" borderId="2" xfId="93" applyFont="1" applyBorder="1" applyAlignment="1">
      <alignment horizontal="distributed" vertical="center"/>
    </xf>
    <xf numFmtId="0" fontId="16" fillId="0" borderId="4" xfId="93" applyFont="1" applyBorder="1" applyAlignment="1">
      <alignment horizontal="distributed" vertical="center" wrapText="1" justifyLastLine="1"/>
    </xf>
    <xf numFmtId="0" fontId="16" fillId="0" borderId="8" xfId="93" applyFont="1" applyBorder="1" applyAlignment="1">
      <alignment horizontal="distributed" vertical="center" wrapText="1" justifyLastLine="1"/>
    </xf>
    <xf numFmtId="0" fontId="16" fillId="0" borderId="78" xfId="93" applyFont="1" applyBorder="1" applyAlignment="1">
      <alignment horizontal="distributed" vertical="center" wrapText="1" justifyLastLine="1"/>
    </xf>
    <xf numFmtId="178" fontId="16" fillId="0" borderId="68" xfId="94" applyNumberFormat="1" applyFont="1" applyBorder="1" applyAlignment="1">
      <alignment horizontal="right" vertical="center" shrinkToFit="1"/>
    </xf>
    <xf numFmtId="178" fontId="16" fillId="0" borderId="56" xfId="94" applyNumberFormat="1" applyFont="1" applyBorder="1" applyAlignment="1">
      <alignment horizontal="right" vertical="center" shrinkToFit="1"/>
    </xf>
    <xf numFmtId="178" fontId="16" fillId="0" borderId="180" xfId="94" applyNumberFormat="1" applyFont="1" applyBorder="1" applyAlignment="1">
      <alignment horizontal="right" vertical="center" shrinkToFit="1"/>
    </xf>
    <xf numFmtId="178" fontId="16" fillId="0" borderId="55" xfId="94" applyNumberFormat="1" applyFont="1" applyBorder="1" applyAlignment="1">
      <alignment horizontal="right" vertical="center" shrinkToFit="1"/>
    </xf>
    <xf numFmtId="178" fontId="16" fillId="0" borderId="76" xfId="94" applyNumberFormat="1" applyFont="1" applyBorder="1" applyAlignment="1">
      <alignment horizontal="right" vertical="center" shrinkToFit="1"/>
    </xf>
    <xf numFmtId="0" fontId="16" fillId="0" borderId="98" xfId="93" applyFont="1" applyBorder="1" applyAlignment="1">
      <alignment horizontal="center" vertical="center"/>
    </xf>
    <xf numFmtId="0" fontId="16" fillId="0" borderId="42" xfId="93" applyFont="1" applyBorder="1" applyAlignment="1">
      <alignment horizontal="center" vertical="center"/>
    </xf>
    <xf numFmtId="0" fontId="16" fillId="0" borderId="118" xfId="93" applyFont="1" applyBorder="1" applyAlignment="1">
      <alignment horizontal="center" vertical="center"/>
    </xf>
    <xf numFmtId="0" fontId="16" fillId="0" borderId="178" xfId="93" applyFont="1" applyBorder="1" applyAlignment="1">
      <alignment horizontal="center" vertical="center"/>
    </xf>
    <xf numFmtId="0" fontId="23" fillId="0" borderId="81" xfId="93" applyFont="1" applyBorder="1" applyAlignment="1">
      <alignment vertical="center"/>
    </xf>
    <xf numFmtId="0" fontId="16" fillId="0" borderId="9" xfId="93" applyFont="1" applyBorder="1" applyAlignment="1">
      <alignment horizontal="distributed" vertical="center" justifyLastLine="1"/>
    </xf>
    <xf numFmtId="0" fontId="16" fillId="0" borderId="94" xfId="93" applyFont="1" applyBorder="1" applyAlignment="1">
      <alignment horizontal="distributed" vertical="center" justifyLastLine="1"/>
    </xf>
    <xf numFmtId="0" fontId="16" fillId="0" borderId="106" xfId="93" applyFont="1" applyBorder="1" applyAlignment="1">
      <alignment horizontal="distributed" vertical="center"/>
    </xf>
    <xf numFmtId="0" fontId="16" fillId="0" borderId="106" xfId="93" applyFont="1" applyBorder="1" applyAlignment="1">
      <alignment horizontal="center" vertical="center" shrinkToFit="1"/>
    </xf>
    <xf numFmtId="0" fontId="16" fillId="0" borderId="37" xfId="93" applyFont="1" applyBorder="1" applyAlignment="1">
      <alignment horizontal="center" vertical="center" shrinkToFit="1"/>
    </xf>
    <xf numFmtId="0" fontId="16" fillId="0" borderId="119" xfId="93" applyFont="1" applyBorder="1" applyAlignment="1">
      <alignment horizontal="distributed" vertical="center" justifyLastLine="1"/>
    </xf>
    <xf numFmtId="0" fontId="16" fillId="0" borderId="101" xfId="93" applyFont="1" applyBorder="1" applyAlignment="1">
      <alignment horizontal="distributed" vertical="center" justifyLastLine="1"/>
    </xf>
    <xf numFmtId="0" fontId="16" fillId="0" borderId="145" xfId="93" applyFont="1" applyBorder="1" applyAlignment="1">
      <alignment horizontal="distributed" vertical="center" justifyLastLine="1"/>
    </xf>
    <xf numFmtId="0" fontId="16" fillId="0" borderId="84" xfId="93" applyFont="1" applyBorder="1" applyAlignment="1">
      <alignment horizontal="distributed" vertical="center"/>
    </xf>
    <xf numFmtId="0" fontId="16" fillId="0" borderId="48" xfId="93" applyFont="1" applyBorder="1" applyAlignment="1">
      <alignment horizontal="distributed" vertical="center"/>
    </xf>
    <xf numFmtId="0" fontId="16" fillId="0" borderId="54" xfId="93" applyFont="1" applyBorder="1" applyAlignment="1">
      <alignment horizontal="distributed" vertical="center" shrinkToFit="1"/>
    </xf>
    <xf numFmtId="0" fontId="16" fillId="0" borderId="105" xfId="93" applyFont="1" applyBorder="1" applyAlignment="1">
      <alignment horizontal="distributed" vertical="center" shrinkToFit="1"/>
    </xf>
    <xf numFmtId="49" fontId="24" fillId="0" borderId="119" xfId="94" applyNumberFormat="1" applyFont="1" applyBorder="1" applyAlignment="1" applyProtection="1">
      <alignment horizontal="right" vertical="center" shrinkToFit="1"/>
      <protection locked="0"/>
    </xf>
    <xf numFmtId="49" fontId="24" fillId="0" borderId="101" xfId="94" applyNumberFormat="1" applyFont="1" applyBorder="1" applyAlignment="1" applyProtection="1">
      <alignment horizontal="right" vertical="center" shrinkToFit="1"/>
      <protection locked="0"/>
    </xf>
    <xf numFmtId="49" fontId="24" fillId="6" borderId="101" xfId="94" applyNumberFormat="1" applyFont="1" applyFill="1" applyBorder="1" applyAlignment="1">
      <alignment horizontal="right" vertical="center" shrinkToFit="1"/>
    </xf>
    <xf numFmtId="49" fontId="24" fillId="6" borderId="145" xfId="94" applyNumberFormat="1" applyFont="1" applyFill="1" applyBorder="1" applyAlignment="1">
      <alignment horizontal="right" vertical="center" shrinkToFit="1"/>
    </xf>
    <xf numFmtId="0" fontId="16" fillId="0" borderId="121" xfId="93" applyFont="1" applyBorder="1" applyAlignment="1">
      <alignment horizontal="center" vertical="center"/>
    </xf>
    <xf numFmtId="0" fontId="16" fillId="0" borderId="103" xfId="93" applyFont="1" applyBorder="1" applyAlignment="1">
      <alignment horizontal="center" vertical="center"/>
    </xf>
    <xf numFmtId="0" fontId="16" fillId="0" borderId="128" xfId="93" applyFont="1" applyBorder="1" applyAlignment="1">
      <alignment horizontal="center" vertical="center"/>
    </xf>
    <xf numFmtId="0" fontId="23" fillId="0" borderId="85" xfId="93" applyFont="1" applyBorder="1" applyAlignment="1">
      <alignment vertical="center"/>
    </xf>
    <xf numFmtId="0" fontId="23" fillId="0" borderId="73" xfId="93" applyFont="1" applyBorder="1" applyAlignment="1">
      <alignment vertical="center"/>
    </xf>
    <xf numFmtId="0" fontId="16" fillId="0" borderId="106" xfId="93" applyFont="1" applyBorder="1" applyAlignment="1">
      <alignment horizontal="center" vertical="center" textRotation="255" wrapText="1"/>
    </xf>
    <xf numFmtId="0" fontId="16" fillId="0" borderId="72" xfId="93" applyFont="1" applyBorder="1" applyAlignment="1">
      <alignment horizontal="center" vertical="center" textRotation="255" wrapText="1"/>
    </xf>
    <xf numFmtId="0" fontId="16" fillId="0" borderId="104" xfId="93" applyFont="1" applyBorder="1" applyAlignment="1">
      <alignment horizontal="center" vertical="center" textRotation="255" wrapText="1"/>
    </xf>
    <xf numFmtId="0" fontId="16" fillId="0" borderId="54" xfId="93" applyFont="1" applyBorder="1" applyAlignment="1">
      <alignment horizontal="center" vertical="center" textRotation="255" wrapText="1"/>
    </xf>
    <xf numFmtId="0" fontId="16" fillId="0" borderId="72" xfId="93" applyFont="1" applyBorder="1" applyAlignment="1">
      <alignment horizontal="distributed" vertical="center" shrinkToFit="1"/>
    </xf>
    <xf numFmtId="0" fontId="16" fillId="0" borderId="71" xfId="93" applyFont="1" applyBorder="1" applyAlignment="1">
      <alignment horizontal="distributed" vertical="center" shrinkToFit="1"/>
    </xf>
    <xf numFmtId="0" fontId="16" fillId="0" borderId="123" xfId="93" applyFont="1" applyBorder="1" applyAlignment="1">
      <alignment horizontal="center" vertical="distributed" textRotation="255" justifyLastLine="1"/>
    </xf>
    <xf numFmtId="0" fontId="16" fillId="0" borderId="103" xfId="93" applyFont="1" applyBorder="1" applyAlignment="1">
      <alignment horizontal="center" vertical="distributed" textRotation="255" justifyLastLine="1"/>
    </xf>
    <xf numFmtId="0" fontId="16" fillId="0" borderId="106" xfId="93" applyFont="1" applyBorder="1" applyAlignment="1">
      <alignment horizontal="center" vertical="distributed" textRotation="255" justifyLastLine="1"/>
    </xf>
    <xf numFmtId="0" fontId="16" fillId="0" borderId="72" xfId="93" applyFont="1" applyBorder="1" applyAlignment="1">
      <alignment horizontal="center" vertical="distributed" textRotation="255" justifyLastLine="1"/>
    </xf>
    <xf numFmtId="0" fontId="16" fillId="0" borderId="103" xfId="93" applyFont="1" applyBorder="1" applyAlignment="1">
      <alignment horizontal="distributed" vertical="center"/>
    </xf>
    <xf numFmtId="0" fontId="16" fillId="0" borderId="102" xfId="93" applyFont="1" applyBorder="1" applyAlignment="1">
      <alignment horizontal="distributed" vertical="center"/>
    </xf>
    <xf numFmtId="49" fontId="24" fillId="0" borderId="96" xfId="94" applyNumberFormat="1" applyFont="1" applyBorder="1" applyAlignment="1" applyProtection="1">
      <alignment horizontal="right" vertical="center" shrinkToFit="1"/>
      <protection locked="0"/>
    </xf>
    <xf numFmtId="0" fontId="27" fillId="0" borderId="81" xfId="93" applyFont="1" applyBorder="1" applyAlignment="1">
      <alignment vertical="center"/>
    </xf>
    <xf numFmtId="0" fontId="16" fillId="0" borderId="169" xfId="96" applyFont="1" applyBorder="1" applyAlignment="1">
      <alignment horizontal="distributed" vertical="center" justifyLastLine="1"/>
    </xf>
    <xf numFmtId="0" fontId="16" fillId="0" borderId="17" xfId="96" applyFont="1" applyBorder="1" applyAlignment="1">
      <alignment horizontal="distributed" vertical="center" justifyLastLine="1"/>
    </xf>
    <xf numFmtId="0" fontId="16" fillId="0" borderId="15" xfId="96" applyFont="1" applyBorder="1" applyAlignment="1">
      <alignment horizontal="distributed" vertical="center" justifyLastLine="1"/>
    </xf>
    <xf numFmtId="0" fontId="16" fillId="0" borderId="49" xfId="96" applyFont="1" applyBorder="1" applyAlignment="1">
      <alignment horizontal="distributed" vertical="center" justifyLastLine="1"/>
    </xf>
    <xf numFmtId="0" fontId="16" fillId="0" borderId="34" xfId="96" applyFont="1" applyBorder="1" applyAlignment="1">
      <alignment horizontal="distributed" vertical="center" justifyLastLine="1"/>
    </xf>
    <xf numFmtId="0" fontId="16" fillId="0" borderId="35" xfId="96" applyFont="1" applyBorder="1" applyAlignment="1">
      <alignment horizontal="distributed" vertical="center" justifyLastLine="1"/>
    </xf>
    <xf numFmtId="0" fontId="16" fillId="0" borderId="84" xfId="96" applyFont="1" applyBorder="1" applyAlignment="1">
      <alignment horizontal="distributed" vertical="center"/>
    </xf>
    <xf numFmtId="0" fontId="16" fillId="0" borderId="47" xfId="96" applyFont="1" applyBorder="1" applyAlignment="1">
      <alignment horizontal="distributed" vertical="center"/>
    </xf>
    <xf numFmtId="0" fontId="16" fillId="0" borderId="69" xfId="96" applyFont="1" applyBorder="1" applyAlignment="1">
      <alignment horizontal="distributed" vertical="center"/>
    </xf>
    <xf numFmtId="0" fontId="16" fillId="0" borderId="97" xfId="96" applyFont="1" applyBorder="1" applyAlignment="1">
      <alignment horizontal="distributed" vertical="center" justifyLastLine="1"/>
    </xf>
    <xf numFmtId="0" fontId="16" fillId="0" borderId="142" xfId="96" applyFont="1" applyBorder="1" applyAlignment="1">
      <alignment horizontal="distributed" vertical="center" justifyLastLine="1"/>
    </xf>
    <xf numFmtId="0" fontId="23" fillId="0" borderId="79" xfId="96" applyFont="1" applyBorder="1" applyAlignment="1">
      <alignment vertical="center"/>
    </xf>
    <xf numFmtId="0" fontId="23" fillId="0" borderId="45" xfId="96" applyFont="1" applyBorder="1" applyAlignment="1">
      <alignment vertical="center"/>
    </xf>
    <xf numFmtId="0" fontId="16" fillId="0" borderId="99" xfId="96" applyFont="1" applyBorder="1" applyAlignment="1">
      <alignment horizontal="distributed" vertical="center" justifyLastLine="1"/>
    </xf>
    <xf numFmtId="0" fontId="21" fillId="0" borderId="51" xfId="93" applyFont="1" applyBorder="1" applyAlignment="1">
      <alignment vertical="center"/>
    </xf>
    <xf numFmtId="0" fontId="21" fillId="0" borderId="50" xfId="93" applyFont="1" applyBorder="1" applyAlignment="1">
      <alignment vertical="center"/>
    </xf>
    <xf numFmtId="0" fontId="21" fillId="0" borderId="60" xfId="93" applyFont="1" applyBorder="1" applyAlignment="1">
      <alignment vertical="center"/>
    </xf>
    <xf numFmtId="0" fontId="16" fillId="0" borderId="137" xfId="93" applyFont="1" applyBorder="1" applyAlignment="1">
      <alignment horizontal="distributed" vertical="center" shrinkToFit="1"/>
    </xf>
    <xf numFmtId="1" fontId="16" fillId="5" borderId="17" xfId="93" applyNumberFormat="1" applyFont="1" applyFill="1" applyBorder="1" applyAlignment="1">
      <alignment horizontal="center" vertical="center" shrinkToFit="1"/>
    </xf>
    <xf numFmtId="1" fontId="16" fillId="5" borderId="46" xfId="93" applyNumberFormat="1" applyFont="1" applyFill="1" applyBorder="1" applyAlignment="1">
      <alignment horizontal="center" vertical="center" shrinkToFit="1"/>
    </xf>
    <xf numFmtId="0" fontId="23" fillId="0" borderId="80" xfId="93" applyFont="1" applyBorder="1" applyAlignment="1">
      <alignment horizontal="distributed" vertical="center" justifyLastLine="1"/>
    </xf>
    <xf numFmtId="0" fontId="23" fillId="0" borderId="100" xfId="93" applyFont="1" applyBorder="1" applyAlignment="1">
      <alignment horizontal="distributed" vertical="center" justifyLastLine="1"/>
    </xf>
    <xf numFmtId="0" fontId="23" fillId="0" borderId="114" xfId="93" applyFont="1" applyBorder="1" applyAlignment="1">
      <alignment horizontal="distributed" vertical="center" justifyLastLine="1"/>
    </xf>
    <xf numFmtId="0" fontId="23" fillId="0" borderId="0" xfId="93" applyFont="1" applyAlignment="1">
      <alignment vertical="center"/>
    </xf>
    <xf numFmtId="0" fontId="16" fillId="0" borderId="10" xfId="93" applyFont="1" applyBorder="1" applyAlignment="1">
      <alignment horizontal="center" vertical="center"/>
    </xf>
    <xf numFmtId="0" fontId="16" fillId="0" borderId="187" xfId="93" applyFont="1" applyBorder="1" applyAlignment="1">
      <alignment horizontal="distributed" vertical="center" justifyLastLine="1"/>
    </xf>
    <xf numFmtId="0" fontId="16" fillId="0" borderId="189" xfId="93" applyFont="1" applyBorder="1" applyAlignment="1">
      <alignment horizontal="distributed" vertical="center" justifyLastLine="1"/>
    </xf>
    <xf numFmtId="0" fontId="16" fillId="0" borderId="183" xfId="93" applyFont="1" applyBorder="1" applyAlignment="1">
      <alignment horizontal="distributed" vertical="center"/>
    </xf>
    <xf numFmtId="0" fontId="16" fillId="0" borderId="188" xfId="93" applyFont="1" applyBorder="1" applyAlignment="1">
      <alignment horizontal="distributed" vertical="center"/>
    </xf>
    <xf numFmtId="0" fontId="16" fillId="0" borderId="189" xfId="93" applyFont="1" applyBorder="1" applyAlignment="1">
      <alignment horizontal="distributed" vertical="center"/>
    </xf>
    <xf numFmtId="0" fontId="16" fillId="0" borderId="137" xfId="93" applyFont="1" applyBorder="1" applyAlignment="1">
      <alignment horizontal="distributed" vertical="center" justifyLastLine="1"/>
    </xf>
    <xf numFmtId="181" fontId="24" fillId="0" borderId="21" xfId="93" applyNumberFormat="1" applyFont="1" applyBorder="1" applyAlignment="1">
      <alignment horizontal="right" vertical="center" shrinkToFit="1"/>
    </xf>
    <xf numFmtId="181" fontId="24" fillId="0" borderId="17" xfId="93" applyNumberFormat="1" applyFont="1" applyBorder="1" applyAlignment="1">
      <alignment horizontal="right" vertical="center" shrinkToFit="1"/>
    </xf>
    <xf numFmtId="181" fontId="24" fillId="0" borderId="46" xfId="93" applyNumberFormat="1" applyFont="1" applyBorder="1" applyAlignment="1">
      <alignment horizontal="right" vertical="center" shrinkToFit="1"/>
    </xf>
    <xf numFmtId="182" fontId="24" fillId="0" borderId="21" xfId="93" applyNumberFormat="1" applyFont="1" applyBorder="1" applyAlignment="1">
      <alignment horizontal="right" vertical="center" shrinkToFit="1"/>
    </xf>
    <xf numFmtId="182" fontId="24" fillId="0" borderId="17" xfId="93" applyNumberFormat="1" applyFont="1" applyBorder="1" applyAlignment="1">
      <alignment horizontal="right" vertical="center" shrinkToFit="1"/>
    </xf>
    <xf numFmtId="182" fontId="24" fillId="0" borderId="46" xfId="93" applyNumberFormat="1" applyFont="1" applyBorder="1" applyAlignment="1">
      <alignment horizontal="right" vertical="center" shrinkToFit="1"/>
    </xf>
    <xf numFmtId="0" fontId="16" fillId="5" borderId="17" xfId="93" applyFont="1" applyFill="1" applyBorder="1" applyAlignment="1">
      <alignment horizontal="center" vertical="center" shrinkToFit="1"/>
    </xf>
    <xf numFmtId="0" fontId="16" fillId="5" borderId="46" xfId="93" applyFont="1" applyFill="1" applyBorder="1" applyAlignment="1">
      <alignment horizontal="center" vertical="center" shrinkToFit="1"/>
    </xf>
    <xf numFmtId="0" fontId="16" fillId="0" borderId="11" xfId="97" applyFont="1" applyBorder="1" applyAlignment="1">
      <alignment horizontal="center" vertical="center"/>
    </xf>
    <xf numFmtId="49" fontId="16" fillId="0" borderId="11" xfId="97" applyNumberFormat="1" applyFont="1" applyBorder="1" applyAlignment="1">
      <alignment horizontal="left" vertical="center"/>
    </xf>
    <xf numFmtId="0" fontId="16" fillId="0" borderId="118" xfId="93" applyFont="1" applyBorder="1" applyAlignment="1">
      <alignment horizontal="distributed" vertical="center" justifyLastLine="1"/>
    </xf>
    <xf numFmtId="0" fontId="16" fillId="0" borderId="64" xfId="93" applyFont="1" applyBorder="1" applyAlignment="1">
      <alignment horizontal="distributed" vertical="center"/>
    </xf>
    <xf numFmtId="0" fontId="16" fillId="0" borderId="137" xfId="93" applyFont="1" applyBorder="1" applyAlignment="1">
      <alignment horizontal="distributed" vertical="center"/>
    </xf>
    <xf numFmtId="0" fontId="16" fillId="0" borderId="138" xfId="93" applyFont="1" applyBorder="1" applyAlignment="1">
      <alignment horizontal="distributed" vertical="center" shrinkToFit="1"/>
    </xf>
    <xf numFmtId="0" fontId="23" fillId="0" borderId="141" xfId="93" applyFont="1" applyBorder="1" applyAlignment="1">
      <alignment vertical="center"/>
    </xf>
    <xf numFmtId="0" fontId="23" fillId="0" borderId="135" xfId="93" applyFont="1" applyBorder="1" applyAlignment="1">
      <alignment vertical="center"/>
    </xf>
    <xf numFmtId="0" fontId="23" fillId="0" borderId="113" xfId="93" applyFont="1" applyBorder="1" applyAlignment="1">
      <alignment vertical="center"/>
    </xf>
    <xf numFmtId="0" fontId="23" fillId="0" borderId="136" xfId="93" applyFont="1" applyBorder="1" applyAlignment="1">
      <alignment vertical="center"/>
    </xf>
    <xf numFmtId="0" fontId="23" fillId="0" borderId="134" xfId="93" applyFont="1" applyBorder="1" applyAlignment="1">
      <alignment vertical="center"/>
    </xf>
    <xf numFmtId="0" fontId="23" fillId="0" borderId="87" xfId="93" applyFont="1" applyBorder="1" applyAlignment="1">
      <alignment vertical="center"/>
    </xf>
    <xf numFmtId="0" fontId="23" fillId="0" borderId="115" xfId="93" applyFont="1" applyBorder="1" applyAlignment="1">
      <alignment horizontal="center" vertical="center" wrapText="1"/>
    </xf>
    <xf numFmtId="1" fontId="24" fillId="0" borderId="169" xfId="93" applyNumberFormat="1" applyFont="1" applyBorder="1" applyAlignment="1">
      <alignment horizontal="center" vertical="center" shrinkToFit="1"/>
    </xf>
    <xf numFmtId="1" fontId="24" fillId="0" borderId="17" xfId="93" applyNumberFormat="1" applyFont="1" applyBorder="1" applyAlignment="1">
      <alignment horizontal="center" vertical="center" shrinkToFit="1"/>
    </xf>
    <xf numFmtId="1" fontId="24" fillId="0" borderId="46" xfId="93" applyNumberFormat="1" applyFont="1" applyBorder="1" applyAlignment="1">
      <alignment horizontal="center" vertical="center" shrinkToFit="1"/>
    </xf>
    <xf numFmtId="1" fontId="26" fillId="0" borderId="0" xfId="94" applyNumberFormat="1" applyFont="1" applyAlignment="1" applyProtection="1">
      <alignment horizontal="center" vertical="center" shrinkToFit="1"/>
      <protection locked="0"/>
    </xf>
    <xf numFmtId="1" fontId="26" fillId="0" borderId="94" xfId="94" applyNumberFormat="1" applyFont="1" applyBorder="1" applyAlignment="1" applyProtection="1">
      <alignment horizontal="center" vertical="center" shrinkToFit="1"/>
      <protection locked="0"/>
    </xf>
    <xf numFmtId="0" fontId="16" fillId="0" borderId="100" xfId="93" applyFont="1" applyBorder="1" applyAlignment="1">
      <alignment horizontal="center" vertical="center"/>
    </xf>
    <xf numFmtId="0" fontId="16" fillId="0" borderId="80" xfId="93" applyFont="1" applyBorder="1" applyAlignment="1">
      <alignment horizontal="distributed" vertical="center" wrapText="1" justifyLastLine="1"/>
    </xf>
    <xf numFmtId="0" fontId="16" fillId="0" borderId="100" xfId="93" applyFont="1" applyBorder="1" applyAlignment="1">
      <alignment horizontal="distributed" vertical="center" justifyLastLine="1"/>
    </xf>
    <xf numFmtId="0" fontId="16" fillId="0" borderId="80" xfId="93" applyFont="1" applyBorder="1" applyAlignment="1">
      <alignment horizontal="distributed" vertical="center" justifyLastLine="1"/>
    </xf>
    <xf numFmtId="0" fontId="23" fillId="0" borderId="140" xfId="93" applyFont="1" applyBorder="1" applyAlignment="1">
      <alignment horizontal="center" vertical="center" wrapText="1"/>
    </xf>
    <xf numFmtId="180" fontId="23" fillId="0" borderId="115" xfId="94" applyNumberFormat="1" applyFont="1" applyBorder="1" applyAlignment="1" applyProtection="1">
      <alignment horizontal="center" vertical="center" shrinkToFit="1"/>
      <protection locked="0"/>
    </xf>
    <xf numFmtId="0" fontId="23" fillId="0" borderId="115" xfId="93" applyFont="1" applyBorder="1" applyAlignment="1">
      <alignment horizontal="center" vertical="center"/>
    </xf>
    <xf numFmtId="0" fontId="16" fillId="0" borderId="137" xfId="96" applyFont="1" applyBorder="1" applyAlignment="1">
      <alignment horizontal="distributed" vertical="center" justifyLastLine="1" shrinkToFit="1"/>
    </xf>
    <xf numFmtId="0" fontId="16" fillId="0" borderId="104" xfId="93" applyFont="1" applyBorder="1" applyAlignment="1">
      <alignment horizontal="distributed" vertical="center"/>
    </xf>
    <xf numFmtId="49" fontId="24" fillId="6" borderId="111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72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71" xfId="94" applyNumberFormat="1" applyFont="1" applyBorder="1" applyAlignment="1" applyProtection="1">
      <alignment horizontal="right" vertical="center" shrinkToFit="1"/>
      <protection locked="0"/>
    </xf>
    <xf numFmtId="49" fontId="24" fillId="6" borderId="77" xfId="94" applyNumberFormat="1" applyFont="1" applyFill="1" applyBorder="1" applyAlignment="1">
      <alignment horizontal="right" vertical="center" shrinkToFit="1"/>
    </xf>
    <xf numFmtId="0" fontId="16" fillId="0" borderId="42" xfId="93" applyFont="1" applyBorder="1" applyAlignment="1">
      <alignment horizontal="distributed" vertical="center"/>
    </xf>
    <xf numFmtId="0" fontId="16" fillId="0" borderId="39" xfId="93" applyFont="1" applyBorder="1" applyAlignment="1">
      <alignment horizontal="distributed" vertical="center"/>
    </xf>
    <xf numFmtId="0" fontId="16" fillId="0" borderId="82" xfId="93" applyFont="1" applyBorder="1" applyAlignment="1">
      <alignment horizontal="distributed" vertical="center"/>
    </xf>
    <xf numFmtId="0" fontId="16" fillId="0" borderId="31" xfId="93" applyFont="1" applyBorder="1" applyAlignment="1">
      <alignment horizontal="distributed" vertical="center"/>
    </xf>
    <xf numFmtId="0" fontId="16" fillId="0" borderId="49" xfId="93" applyFont="1" applyBorder="1" applyAlignment="1">
      <alignment horizontal="distributed" vertical="center"/>
    </xf>
    <xf numFmtId="0" fontId="16" fillId="0" borderId="30" xfId="93" applyFont="1" applyBorder="1" applyAlignment="1">
      <alignment horizontal="distributed" vertical="center"/>
    </xf>
    <xf numFmtId="49" fontId="24" fillId="0" borderId="29" xfId="94" applyNumberFormat="1" applyFont="1" applyBorder="1" applyAlignment="1" applyProtection="1">
      <alignment horizontal="right" vertical="center" shrinkToFit="1"/>
      <protection locked="0"/>
    </xf>
    <xf numFmtId="49" fontId="24" fillId="0" borderId="31" xfId="94" applyNumberFormat="1" applyFont="1" applyBorder="1" applyAlignment="1" applyProtection="1">
      <alignment horizontal="right" vertical="center" shrinkToFit="1"/>
      <protection locked="0"/>
    </xf>
    <xf numFmtId="49" fontId="24" fillId="0" borderId="165" xfId="94" applyNumberFormat="1" applyFont="1" applyBorder="1" applyAlignment="1">
      <alignment horizontal="right" vertical="center" shrinkToFit="1"/>
    </xf>
    <xf numFmtId="49" fontId="24" fillId="0" borderId="166" xfId="94" applyNumberFormat="1" applyFont="1" applyBorder="1" applyAlignment="1">
      <alignment horizontal="right" vertical="center" shrinkToFit="1"/>
    </xf>
    <xf numFmtId="49" fontId="24" fillId="6" borderId="29" xfId="94" applyNumberFormat="1" applyFont="1" applyFill="1" applyBorder="1" applyAlignment="1">
      <alignment horizontal="right" vertical="center" shrinkToFit="1"/>
    </xf>
    <xf numFmtId="49" fontId="24" fillId="6" borderId="31" xfId="94" applyNumberFormat="1" applyFont="1" applyFill="1" applyBorder="1" applyAlignment="1">
      <alignment horizontal="right" vertical="center" shrinkToFit="1"/>
    </xf>
    <xf numFmtId="49" fontId="24" fillId="0" borderId="167" xfId="94" applyNumberFormat="1" applyFont="1" applyBorder="1" applyAlignment="1">
      <alignment horizontal="right" vertical="center" shrinkToFit="1"/>
    </xf>
    <xf numFmtId="49" fontId="24" fillId="0" borderId="116" xfId="94" applyNumberFormat="1" applyFont="1" applyBorder="1" applyAlignment="1">
      <alignment horizontal="right" vertical="center" shrinkToFit="1"/>
    </xf>
    <xf numFmtId="49" fontId="24" fillId="0" borderId="90" xfId="94" applyNumberFormat="1" applyFont="1" applyBorder="1" applyAlignment="1">
      <alignment horizontal="right" vertical="center" shrinkToFit="1"/>
    </xf>
    <xf numFmtId="49" fontId="24" fillId="0" borderId="168" xfId="94" applyNumberFormat="1" applyFont="1" applyBorder="1" applyAlignment="1">
      <alignment horizontal="right" vertical="center" shrinkToFit="1"/>
    </xf>
    <xf numFmtId="0" fontId="21" fillId="0" borderId="51" xfId="94" applyFont="1" applyBorder="1" applyAlignment="1">
      <alignment horizontal="left" vertical="center" shrinkToFit="1"/>
    </xf>
    <xf numFmtId="0" fontId="21" fillId="0" borderId="50" xfId="94" applyFont="1" applyBorder="1" applyAlignment="1">
      <alignment horizontal="left" vertical="center" shrinkToFit="1"/>
    </xf>
    <xf numFmtId="0" fontId="21" fillId="0" borderId="60" xfId="94" applyFont="1" applyBorder="1" applyAlignment="1">
      <alignment horizontal="left" vertical="center" shrinkToFit="1"/>
    </xf>
    <xf numFmtId="49" fontId="24" fillId="0" borderId="36" xfId="94" applyNumberFormat="1" applyFont="1" applyBorder="1" applyAlignment="1">
      <alignment horizontal="right" vertical="center" shrinkToFit="1"/>
    </xf>
    <xf numFmtId="49" fontId="24" fillId="0" borderId="34" xfId="94" applyNumberFormat="1" applyFont="1" applyBorder="1" applyAlignment="1">
      <alignment horizontal="right" vertical="center" shrinkToFit="1"/>
    </xf>
    <xf numFmtId="49" fontId="24" fillId="0" borderId="35" xfId="94" applyNumberFormat="1" applyFont="1" applyBorder="1" applyAlignment="1">
      <alignment horizontal="right" vertical="center" shrinkToFit="1"/>
    </xf>
    <xf numFmtId="49" fontId="24" fillId="0" borderId="33" xfId="94" applyNumberFormat="1" applyFont="1" applyBorder="1" applyAlignment="1">
      <alignment horizontal="right" vertical="center" shrinkToFit="1"/>
    </xf>
    <xf numFmtId="49" fontId="24" fillId="0" borderId="26" xfId="94" applyNumberFormat="1" applyFont="1" applyBorder="1" applyAlignment="1">
      <alignment horizontal="right" vertical="center" shrinkToFit="1"/>
    </xf>
    <xf numFmtId="49" fontId="24" fillId="0" borderId="27" xfId="94" applyNumberFormat="1" applyFont="1" applyBorder="1" applyAlignment="1">
      <alignment horizontal="right" vertical="center" shrinkToFit="1"/>
    </xf>
    <xf numFmtId="49" fontId="24" fillId="0" borderId="25" xfId="94" applyNumberFormat="1" applyFont="1" applyBorder="1" applyAlignment="1">
      <alignment horizontal="right" vertical="center" shrinkToFit="1"/>
    </xf>
    <xf numFmtId="49" fontId="24" fillId="0" borderId="54" xfId="94" applyNumberFormat="1" applyFont="1" applyBorder="1" applyAlignment="1" applyProtection="1">
      <alignment horizontal="right" vertical="center" shrinkToFit="1"/>
      <protection locked="0"/>
    </xf>
    <xf numFmtId="49" fontId="24" fillId="0" borderId="105" xfId="94" applyNumberFormat="1" applyFont="1" applyBorder="1" applyAlignment="1" applyProtection="1">
      <alignment horizontal="right" vertical="center" shrinkToFit="1"/>
      <protection locked="0"/>
    </xf>
    <xf numFmtId="0" fontId="16" fillId="0" borderId="169" xfId="93" applyFont="1" applyBorder="1" applyAlignment="1">
      <alignment horizontal="distributed" vertical="center"/>
    </xf>
    <xf numFmtId="49" fontId="24" fillId="0" borderId="21" xfId="94" applyNumberFormat="1" applyFont="1" applyBorder="1" applyAlignment="1" applyProtection="1">
      <alignment horizontal="right" vertical="center" shrinkToFit="1"/>
      <protection locked="0"/>
    </xf>
    <xf numFmtId="49" fontId="24" fillId="0" borderId="17" xfId="94" applyNumberFormat="1" applyFont="1" applyBorder="1" applyAlignment="1" applyProtection="1">
      <alignment horizontal="right" vertical="center" shrinkToFit="1"/>
      <protection locked="0"/>
    </xf>
    <xf numFmtId="0" fontId="16" fillId="0" borderId="99" xfId="93" applyFont="1" applyBorder="1" applyAlignment="1">
      <alignment horizontal="center" vertical="center"/>
    </xf>
    <xf numFmtId="0" fontId="16" fillId="0" borderId="97" xfId="93" applyFont="1" applyBorder="1" applyAlignment="1">
      <alignment horizontal="center" vertical="center"/>
    </xf>
    <xf numFmtId="0" fontId="16" fillId="0" borderId="142" xfId="93" applyFont="1" applyBorder="1" applyAlignment="1">
      <alignment horizontal="center" vertical="center"/>
    </xf>
    <xf numFmtId="0" fontId="16" fillId="0" borderId="61" xfId="93" applyFont="1" applyBorder="1" applyAlignment="1">
      <alignment horizontal="distributed" vertical="center"/>
    </xf>
    <xf numFmtId="0" fontId="16" fillId="0" borderId="53" xfId="93" applyFont="1" applyBorder="1" applyAlignment="1">
      <alignment horizontal="distributed" vertical="center"/>
    </xf>
    <xf numFmtId="0" fontId="16" fillId="0" borderId="86" xfId="93" applyFont="1" applyBorder="1" applyAlignment="1">
      <alignment horizontal="distributed" vertical="center"/>
    </xf>
    <xf numFmtId="1" fontId="23" fillId="0" borderId="0" xfId="94" applyNumberFormat="1" applyFont="1" applyAlignment="1" applyProtection="1">
      <alignment horizontal="right" vertical="center" shrinkToFit="1"/>
      <protection locked="0"/>
    </xf>
    <xf numFmtId="0" fontId="16" fillId="2" borderId="95" xfId="94" applyFont="1" applyFill="1" applyBorder="1" applyAlignment="1">
      <alignment horizontal="distributed" vertical="center"/>
    </xf>
    <xf numFmtId="0" fontId="16" fillId="2" borderId="59" xfId="94" applyFont="1" applyFill="1" applyBorder="1" applyAlignment="1">
      <alignment horizontal="distributed" vertical="center"/>
    </xf>
    <xf numFmtId="49" fontId="24" fillId="6" borderId="150" xfId="94" applyNumberFormat="1" applyFont="1" applyFill="1" applyBorder="1" applyAlignment="1">
      <alignment horizontal="right" vertical="center" shrinkToFit="1"/>
    </xf>
    <xf numFmtId="49" fontId="24" fillId="6" borderId="151" xfId="94" applyNumberFormat="1" applyFont="1" applyFill="1" applyBorder="1" applyAlignment="1">
      <alignment horizontal="right" vertical="center" shrinkToFit="1"/>
    </xf>
    <xf numFmtId="0" fontId="23" fillId="0" borderId="0" xfId="93" applyFont="1" applyAlignment="1">
      <alignment horizontal="center" vertical="center"/>
    </xf>
    <xf numFmtId="0" fontId="23" fillId="0" borderId="0" xfId="93" applyFont="1" applyAlignment="1">
      <alignment horizontal="distributed" vertical="center"/>
    </xf>
    <xf numFmtId="178" fontId="23" fillId="0" borderId="0" xfId="94" applyNumberFormat="1" applyFont="1" applyAlignment="1" applyProtection="1">
      <alignment horizontal="right" vertical="center" shrinkToFit="1"/>
      <protection locked="0"/>
    </xf>
    <xf numFmtId="0" fontId="28" fillId="0" borderId="0" xfId="93" applyFont="1" applyAlignment="1">
      <alignment horizontal="distributed" vertical="center" wrapText="1"/>
    </xf>
    <xf numFmtId="0" fontId="23" fillId="0" borderId="0" xfId="93" applyFont="1" applyAlignment="1">
      <alignment horizontal="distributed" vertical="center" justifyLastLine="1"/>
    </xf>
    <xf numFmtId="0" fontId="16" fillId="0" borderId="49" xfId="93" applyFont="1" applyBorder="1" applyAlignment="1">
      <alignment horizontal="distributed" vertical="center" wrapText="1"/>
    </xf>
    <xf numFmtId="0" fontId="16" fillId="0" borderId="34" xfId="93" applyFont="1" applyBorder="1" applyAlignment="1">
      <alignment horizontal="distributed" vertical="center" wrapText="1"/>
    </xf>
    <xf numFmtId="0" fontId="16" fillId="0" borderId="53" xfId="93" applyFont="1" applyBorder="1" applyAlignment="1">
      <alignment horizontal="distributed" vertical="center" wrapText="1"/>
    </xf>
    <xf numFmtId="0" fontId="21" fillId="0" borderId="51" xfId="93" applyFont="1" applyBorder="1" applyAlignment="1">
      <alignment horizontal="left" vertical="center" shrinkToFit="1"/>
    </xf>
    <xf numFmtId="0" fontId="21" fillId="0" borderId="50" xfId="93" applyFont="1" applyBorder="1" applyAlignment="1">
      <alignment horizontal="left" vertical="center" shrinkToFit="1"/>
    </xf>
    <xf numFmtId="0" fontId="21" fillId="0" borderId="60" xfId="93" applyFont="1" applyBorder="1" applyAlignment="1">
      <alignment horizontal="left" vertical="center" shrinkToFit="1"/>
    </xf>
    <xf numFmtId="0" fontId="23" fillId="2" borderId="0" xfId="94" applyFont="1" applyFill="1" applyAlignment="1">
      <alignment horizontal="distributed" vertical="center"/>
    </xf>
    <xf numFmtId="178" fontId="23" fillId="4" borderId="0" xfId="94" applyNumberFormat="1" applyFont="1" applyFill="1" applyAlignment="1" applyProtection="1">
      <alignment horizontal="right" vertical="center" shrinkToFit="1"/>
      <protection locked="0"/>
    </xf>
    <xf numFmtId="0" fontId="20" fillId="0" borderId="0" xfId="93" applyFont="1" applyAlignment="1">
      <alignment vertical="center"/>
    </xf>
    <xf numFmtId="177" fontId="23" fillId="0" borderId="0" xfId="94" applyNumberFormat="1" applyFont="1" applyAlignment="1" applyProtection="1">
      <alignment horizontal="right" vertical="center" shrinkToFit="1"/>
      <protection locked="0"/>
    </xf>
    <xf numFmtId="0" fontId="23" fillId="0" borderId="0" xfId="93" applyFont="1" applyAlignment="1">
      <alignment horizontal="distributed" vertical="center" shrinkToFit="1"/>
    </xf>
    <xf numFmtId="179" fontId="23" fillId="0" borderId="0" xfId="94" applyNumberFormat="1" applyFont="1" applyAlignment="1" applyProtection="1">
      <alignment horizontal="right" vertical="center" shrinkToFit="1"/>
      <protection locked="0"/>
    </xf>
    <xf numFmtId="0" fontId="28" fillId="0" borderId="0" xfId="93" applyFont="1" applyAlignment="1">
      <alignment horizontal="distributed" vertical="center"/>
    </xf>
    <xf numFmtId="179" fontId="23" fillId="0" borderId="0" xfId="94" applyNumberFormat="1" applyFont="1" applyAlignment="1">
      <alignment horizontal="right" vertical="center" shrinkToFit="1"/>
    </xf>
    <xf numFmtId="178" fontId="23" fillId="4" borderId="0" xfId="94" applyNumberFormat="1" applyFont="1" applyFill="1" applyAlignment="1">
      <alignment horizontal="right" vertical="center" shrinkToFit="1"/>
    </xf>
    <xf numFmtId="179" fontId="23" fillId="4" borderId="0" xfId="94" applyNumberFormat="1" applyFont="1" applyFill="1" applyAlignment="1">
      <alignment horizontal="right" vertical="center" shrinkToFit="1"/>
    </xf>
    <xf numFmtId="0" fontId="20" fillId="0" borderId="0" xfId="94" applyFont="1" applyAlignment="1">
      <alignment horizontal="left" vertical="center" shrinkToFit="1"/>
    </xf>
    <xf numFmtId="0" fontId="23" fillId="0" borderId="0" xfId="94" applyFont="1" applyAlignment="1">
      <alignment horizontal="right" vertical="center" shrinkToFit="1"/>
    </xf>
    <xf numFmtId="178" fontId="16" fillId="0" borderId="169" xfId="94" applyNumberFormat="1" applyFont="1" applyBorder="1" applyAlignment="1">
      <alignment horizontal="center" vertical="center" shrinkToFit="1"/>
    </xf>
    <xf numFmtId="178" fontId="16" fillId="0" borderId="17" xfId="94" applyNumberFormat="1" applyFont="1" applyBorder="1" applyAlignment="1">
      <alignment horizontal="center" vertical="center" shrinkToFit="1"/>
    </xf>
    <xf numFmtId="178" fontId="16" fillId="0" borderId="15" xfId="94" applyNumberFormat="1" applyFont="1" applyBorder="1" applyAlignment="1">
      <alignment horizontal="center" vertical="center" shrinkToFit="1"/>
    </xf>
    <xf numFmtId="1" fontId="20" fillId="0" borderId="0" xfId="93" applyNumberFormat="1" applyFont="1" applyAlignment="1">
      <alignment horizontal="center" vertical="center"/>
    </xf>
    <xf numFmtId="0" fontId="16" fillId="0" borderId="10" xfId="93" applyFont="1" applyBorder="1" applyAlignment="1">
      <alignment horizontal="distributed" vertical="center" justifyLastLine="1"/>
    </xf>
    <xf numFmtId="49" fontId="24" fillId="0" borderId="17" xfId="93" applyNumberFormat="1" applyFont="1" applyBorder="1" applyAlignment="1">
      <alignment horizontal="right" vertical="center" shrinkToFit="1"/>
    </xf>
    <xf numFmtId="49" fontId="24" fillId="0" borderId="18" xfId="93" applyNumberFormat="1" applyFont="1" applyBorder="1" applyAlignment="1">
      <alignment horizontal="right" vertical="center" shrinkToFit="1"/>
    </xf>
    <xf numFmtId="0" fontId="16" fillId="0" borderId="169" xfId="93" applyFont="1" applyBorder="1" applyAlignment="1">
      <alignment horizontal="center" vertical="center"/>
    </xf>
    <xf numFmtId="0" fontId="16" fillId="0" borderId="17" xfId="93" applyFont="1" applyBorder="1" applyAlignment="1">
      <alignment horizontal="center" vertical="center"/>
    </xf>
    <xf numFmtId="49" fontId="24" fillId="0" borderId="34" xfId="93" applyNumberFormat="1" applyFont="1" applyBorder="1" applyAlignment="1">
      <alignment horizontal="right" vertical="center" shrinkToFit="1"/>
    </xf>
    <xf numFmtId="49" fontId="24" fillId="0" borderId="33" xfId="93" applyNumberFormat="1" applyFont="1" applyBorder="1" applyAlignment="1">
      <alignment horizontal="right" vertical="center" shrinkToFit="1"/>
    </xf>
    <xf numFmtId="0" fontId="16" fillId="0" borderId="49" xfId="93" applyFont="1" applyBorder="1" applyAlignment="1">
      <alignment horizontal="distributed" vertical="center" justifyLastLine="1"/>
    </xf>
    <xf numFmtId="0" fontId="16" fillId="0" borderId="34" xfId="93" applyFont="1" applyBorder="1" applyAlignment="1">
      <alignment horizontal="distributed" vertical="center" justifyLastLine="1"/>
    </xf>
    <xf numFmtId="0" fontId="16" fillId="0" borderId="35" xfId="93" applyFont="1" applyBorder="1" applyAlignment="1">
      <alignment horizontal="distributed" vertical="center" justifyLastLine="1"/>
    </xf>
    <xf numFmtId="49" fontId="24" fillId="6" borderId="33" xfId="94" applyNumberFormat="1" applyFont="1" applyFill="1" applyBorder="1" applyAlignment="1">
      <alignment horizontal="right" vertical="center" shrinkToFit="1"/>
    </xf>
    <xf numFmtId="0" fontId="16" fillId="0" borderId="34" xfId="93" applyFont="1" applyBorder="1" applyAlignment="1">
      <alignment horizontal="center" vertical="center" shrinkToFit="1"/>
    </xf>
    <xf numFmtId="0" fontId="16" fillId="0" borderId="35" xfId="93" applyFont="1" applyBorder="1" applyAlignment="1">
      <alignment horizontal="center" vertical="center" shrinkToFit="1"/>
    </xf>
    <xf numFmtId="49" fontId="24" fillId="0" borderId="37" xfId="94" applyNumberFormat="1" applyFont="1" applyBorder="1" applyAlignment="1" applyProtection="1">
      <alignment horizontal="right" vertical="center" shrinkToFit="1"/>
      <protection locked="0"/>
    </xf>
    <xf numFmtId="49" fontId="24" fillId="0" borderId="121" xfId="94" applyNumberFormat="1" applyFont="1" applyBorder="1" applyAlignment="1" applyProtection="1">
      <alignment horizontal="right" vertical="center" shrinkToFit="1"/>
      <protection locked="0"/>
    </xf>
    <xf numFmtId="49" fontId="24" fillId="0" borderId="103" xfId="94" applyNumberFormat="1" applyFont="1" applyBorder="1" applyAlignment="1" applyProtection="1">
      <alignment horizontal="right" vertical="center" shrinkToFit="1"/>
      <protection locked="0"/>
    </xf>
    <xf numFmtId="49" fontId="24" fillId="0" borderId="102" xfId="94" applyNumberFormat="1" applyFont="1" applyBorder="1" applyAlignment="1" applyProtection="1">
      <alignment horizontal="right" vertical="center" shrinkToFit="1"/>
      <protection locked="0"/>
    </xf>
    <xf numFmtId="49" fontId="24" fillId="6" borderId="18" xfId="94" applyNumberFormat="1" applyFont="1" applyFill="1" applyBorder="1" applyAlignment="1">
      <alignment horizontal="right" vertical="center" shrinkToFit="1"/>
    </xf>
    <xf numFmtId="49" fontId="24" fillId="0" borderId="33" xfId="94" applyNumberFormat="1" applyFont="1" applyBorder="1" applyAlignment="1" applyProtection="1">
      <alignment horizontal="right" vertical="center" shrinkToFit="1"/>
      <protection locked="0"/>
    </xf>
    <xf numFmtId="177" fontId="24" fillId="0" borderId="111" xfId="94" applyNumberFormat="1" applyFont="1" applyBorder="1" applyAlignment="1" applyProtection="1">
      <alignment horizontal="center" vertical="center" shrinkToFit="1"/>
      <protection locked="0"/>
    </xf>
    <xf numFmtId="177" fontId="24" fillId="0" borderId="72" xfId="94" applyNumberFormat="1" applyFont="1" applyBorder="1" applyAlignment="1" applyProtection="1">
      <alignment horizontal="center" vertical="center" shrinkToFit="1"/>
      <protection locked="0"/>
    </xf>
    <xf numFmtId="0" fontId="16" fillId="0" borderId="49" xfId="93" applyFont="1" applyBorder="1" applyAlignment="1">
      <alignment horizontal="left" vertical="center" shrinkToFit="1"/>
    </xf>
    <xf numFmtId="0" fontId="0" fillId="0" borderId="34" xfId="0" applyBorder="1" applyAlignment="1">
      <alignment horizontal="left" vertical="center" shrinkToFit="1"/>
    </xf>
    <xf numFmtId="0" fontId="0" fillId="0" borderId="35" xfId="0" applyBorder="1" applyAlignment="1">
      <alignment horizontal="left" vertical="center" shrinkToFit="1"/>
    </xf>
    <xf numFmtId="49" fontId="24" fillId="0" borderId="131" xfId="94" applyNumberFormat="1" applyFont="1" applyBorder="1" applyAlignment="1" applyProtection="1">
      <alignment horizontal="right" vertical="center" shrinkToFit="1"/>
      <protection locked="0"/>
    </xf>
    <xf numFmtId="0" fontId="16" fillId="0" borderId="97" xfId="93" applyFont="1" applyBorder="1" applyAlignment="1">
      <alignment horizontal="distributed" vertical="center" justifyLastLine="1"/>
    </xf>
    <xf numFmtId="0" fontId="16" fillId="0" borderId="142" xfId="93" applyFont="1" applyBorder="1" applyAlignment="1">
      <alignment horizontal="distributed" vertical="center" justifyLastLine="1"/>
    </xf>
    <xf numFmtId="0" fontId="16" fillId="0" borderId="123" xfId="93" applyFont="1" applyBorder="1" applyAlignment="1">
      <alignment horizontal="distributed" vertical="center"/>
    </xf>
    <xf numFmtId="49" fontId="24" fillId="0" borderId="128" xfId="94" applyNumberFormat="1" applyFont="1" applyBorder="1" applyAlignment="1" applyProtection="1">
      <alignment horizontal="right" vertical="center" shrinkToFit="1"/>
      <protection locked="0"/>
    </xf>
    <xf numFmtId="0" fontId="16" fillId="0" borderId="54" xfId="93" applyFont="1" applyBorder="1" applyAlignment="1">
      <alignment horizontal="distributed" vertical="center" justifyLastLine="1"/>
    </xf>
    <xf numFmtId="0" fontId="16" fillId="0" borderId="72" xfId="93" applyFont="1" applyBorder="1" applyAlignment="1">
      <alignment horizontal="distributed" vertical="center" justifyLastLine="1"/>
    </xf>
    <xf numFmtId="0" fontId="16" fillId="0" borderId="71" xfId="93" applyFont="1" applyBorder="1" applyAlignment="1">
      <alignment horizontal="distributed" vertical="center" justifyLastLine="1"/>
    </xf>
    <xf numFmtId="0" fontId="16" fillId="0" borderId="5" xfId="93" applyFont="1" applyBorder="1" applyAlignment="1">
      <alignment horizontal="distributed" vertical="center" justifyLastLine="1"/>
    </xf>
    <xf numFmtId="0" fontId="16" fillId="0" borderId="6" xfId="93" applyFont="1" applyBorder="1" applyAlignment="1">
      <alignment horizontal="distributed" vertical="center" justifyLastLine="1"/>
    </xf>
    <xf numFmtId="0" fontId="16" fillId="0" borderId="24" xfId="93" applyFont="1" applyBorder="1" applyAlignment="1">
      <alignment horizontal="distributed" vertical="center" justifyLastLine="1"/>
    </xf>
    <xf numFmtId="0" fontId="21" fillId="0" borderId="51" xfId="93" applyFont="1" applyBorder="1" applyAlignment="1">
      <alignment horizontal="left" vertical="center"/>
    </xf>
    <xf numFmtId="0" fontId="21" fillId="0" borderId="50" xfId="93" applyFont="1" applyBorder="1" applyAlignment="1">
      <alignment horizontal="left" vertical="center"/>
    </xf>
    <xf numFmtId="0" fontId="21" fillId="0" borderId="60" xfId="93" applyFont="1" applyBorder="1" applyAlignment="1">
      <alignment horizontal="left" vertical="center"/>
    </xf>
    <xf numFmtId="0" fontId="16" fillId="0" borderId="5" xfId="93" applyFont="1" applyBorder="1" applyAlignment="1">
      <alignment horizontal="center" vertical="center"/>
    </xf>
    <xf numFmtId="0" fontId="16" fillId="0" borderId="6" xfId="93" applyFont="1" applyBorder="1" applyAlignment="1">
      <alignment horizontal="center" vertical="center"/>
    </xf>
    <xf numFmtId="0" fontId="16" fillId="0" borderId="24" xfId="93" applyFont="1" applyBorder="1" applyAlignment="1">
      <alignment horizontal="center" vertical="center"/>
    </xf>
    <xf numFmtId="0" fontId="16" fillId="0" borderId="169" xfId="93" applyFont="1" applyBorder="1" applyAlignment="1">
      <alignment horizontal="distributed" vertical="center" justifyLastLine="1"/>
    </xf>
    <xf numFmtId="0" fontId="16" fillId="0" borderId="17" xfId="93" applyFont="1" applyBorder="1" applyAlignment="1">
      <alignment horizontal="distributed" vertical="center" justifyLastLine="1"/>
    </xf>
    <xf numFmtId="177" fontId="24" fillId="0" borderId="144" xfId="94" applyNumberFormat="1" applyFont="1" applyBorder="1" applyAlignment="1" applyProtection="1">
      <alignment horizontal="center" vertical="center" shrinkToFit="1"/>
      <protection locked="0"/>
    </xf>
    <xf numFmtId="177" fontId="24" fillId="0" borderId="115" xfId="94" applyNumberFormat="1" applyFont="1" applyBorder="1" applyAlignment="1" applyProtection="1">
      <alignment horizontal="center" vertical="center" shrinkToFit="1"/>
      <protection locked="0"/>
    </xf>
    <xf numFmtId="49" fontId="24" fillId="0" borderId="140" xfId="94" applyNumberFormat="1" applyFont="1" applyBorder="1" applyAlignment="1" applyProtection="1">
      <alignment horizontal="right" vertical="center" shrinkToFit="1"/>
      <protection locked="0"/>
    </xf>
    <xf numFmtId="0" fontId="16" fillId="0" borderId="58" xfId="93" applyFont="1" applyBorder="1" applyAlignment="1">
      <alignment horizontal="distributed" vertical="center" justifyLastLine="1"/>
    </xf>
    <xf numFmtId="0" fontId="16" fillId="0" borderId="27" xfId="93" applyFont="1" applyBorder="1" applyAlignment="1">
      <alignment horizontal="distributed" vertical="center" justifyLastLine="1"/>
    </xf>
    <xf numFmtId="0" fontId="16" fillId="0" borderId="99" xfId="93" applyFont="1" applyBorder="1" applyAlignment="1">
      <alignment horizontal="distributed" vertical="center" justifyLastLine="1"/>
    </xf>
    <xf numFmtId="49" fontId="24" fillId="0" borderId="37" xfId="94" applyNumberFormat="1" applyFont="1" applyBorder="1" applyAlignment="1">
      <alignment horizontal="right" vertical="center" shrinkToFit="1"/>
    </xf>
    <xf numFmtId="0" fontId="16" fillId="0" borderId="101" xfId="93" applyFont="1" applyBorder="1" applyAlignment="1">
      <alignment horizontal="center" vertical="center"/>
    </xf>
    <xf numFmtId="49" fontId="24" fillId="0" borderId="77" xfId="94" applyNumberFormat="1" applyFont="1" applyBorder="1" applyAlignment="1" applyProtection="1">
      <alignment horizontal="right" vertical="center" shrinkToFit="1"/>
      <protection locked="0"/>
    </xf>
    <xf numFmtId="49" fontId="24" fillId="0" borderId="143" xfId="94" applyNumberFormat="1" applyFont="1" applyBorder="1" applyAlignment="1" applyProtection="1">
      <alignment horizontal="right" vertical="center" shrinkToFit="1"/>
      <protection locked="0"/>
    </xf>
    <xf numFmtId="49" fontId="24" fillId="0" borderId="172" xfId="94" applyNumberFormat="1" applyFont="1" applyBorder="1" applyAlignment="1">
      <alignment horizontal="right" vertical="center" shrinkToFit="1"/>
    </xf>
    <xf numFmtId="0" fontId="16" fillId="0" borderId="43" xfId="93" applyFont="1" applyBorder="1" applyAlignment="1">
      <alignment horizontal="left" vertical="distributed" textRotation="255" justifyLastLine="1"/>
    </xf>
    <xf numFmtId="0" fontId="16" fillId="0" borderId="12" xfId="93" applyFont="1" applyBorder="1" applyAlignment="1">
      <alignment horizontal="left" vertical="distributed" textRotation="255" justifyLastLine="1"/>
    </xf>
    <xf numFmtId="0" fontId="16" fillId="0" borderId="63" xfId="93" applyFont="1" applyBorder="1" applyAlignment="1">
      <alignment horizontal="distributed" vertical="center" justifyLastLine="1"/>
    </xf>
    <xf numFmtId="0" fontId="16" fillId="0" borderId="103" xfId="93" applyFont="1" applyBorder="1" applyAlignment="1">
      <alignment horizontal="distributed" vertical="center" justifyLastLine="1"/>
    </xf>
    <xf numFmtId="0" fontId="16" fillId="0" borderId="102" xfId="93" applyFont="1" applyBorder="1" applyAlignment="1">
      <alignment horizontal="distributed" vertical="center" justifyLastLine="1"/>
    </xf>
    <xf numFmtId="49" fontId="24" fillId="0" borderId="173" xfId="94" applyNumberFormat="1" applyFont="1" applyBorder="1" applyAlignment="1">
      <alignment horizontal="right" vertical="center" shrinkToFit="1"/>
    </xf>
    <xf numFmtId="49" fontId="24" fillId="0" borderId="31" xfId="93" applyNumberFormat="1" applyFont="1" applyBorder="1" applyAlignment="1">
      <alignment horizontal="right" vertical="center" shrinkToFit="1"/>
    </xf>
    <xf numFmtId="49" fontId="24" fillId="0" borderId="154" xfId="93" applyNumberFormat="1" applyFont="1" applyBorder="1" applyAlignment="1">
      <alignment horizontal="right" vertical="center" shrinkToFit="1"/>
    </xf>
    <xf numFmtId="0" fontId="16" fillId="0" borderId="82" xfId="93" applyFont="1" applyBorder="1" applyAlignment="1">
      <alignment horizontal="distributed" vertical="center" justifyLastLine="1"/>
    </xf>
    <xf numFmtId="0" fontId="16" fillId="0" borderId="31" xfId="93" applyFont="1" applyBorder="1" applyAlignment="1">
      <alignment horizontal="distributed" vertical="center" justifyLastLine="1"/>
    </xf>
    <xf numFmtId="0" fontId="16" fillId="0" borderId="30" xfId="93" applyFont="1" applyBorder="1" applyAlignment="1">
      <alignment horizontal="distributed" vertical="center" justifyLastLine="1"/>
    </xf>
    <xf numFmtId="49" fontId="24" fillId="6" borderId="154" xfId="94" applyNumberFormat="1" applyFont="1" applyFill="1" applyBorder="1" applyAlignment="1">
      <alignment horizontal="right" vertical="center" shrinkToFit="1"/>
    </xf>
    <xf numFmtId="49" fontId="24" fillId="0" borderId="53" xfId="94" applyNumberFormat="1" applyFont="1" applyBorder="1" applyAlignment="1">
      <alignment horizontal="right" vertical="center" shrinkToFit="1"/>
    </xf>
    <xf numFmtId="49" fontId="24" fillId="0" borderId="131" xfId="94" applyNumberFormat="1" applyFont="1" applyBorder="1" applyAlignment="1">
      <alignment horizontal="right" vertical="center" shrinkToFit="1"/>
    </xf>
    <xf numFmtId="0" fontId="16" fillId="0" borderId="1" xfId="93" applyFont="1" applyBorder="1" applyAlignment="1">
      <alignment horizontal="center" vertical="center"/>
    </xf>
    <xf numFmtId="0" fontId="16" fillId="0" borderId="3" xfId="93" applyFont="1" applyBorder="1" applyAlignment="1">
      <alignment horizontal="center" vertical="center"/>
    </xf>
    <xf numFmtId="0" fontId="16" fillId="0" borderId="2" xfId="93" applyFont="1" applyBorder="1" applyAlignment="1">
      <alignment horizontal="center" vertical="center"/>
    </xf>
    <xf numFmtId="0" fontId="16" fillId="0" borderId="0" xfId="93" applyFont="1" applyAlignment="1">
      <alignment horizontal="distributed" vertical="center" wrapText="1" justifyLastLine="1"/>
    </xf>
    <xf numFmtId="0" fontId="16" fillId="0" borderId="94" xfId="93" applyFont="1" applyBorder="1" applyAlignment="1">
      <alignment horizontal="distributed" vertical="center" wrapText="1" justifyLastLine="1"/>
    </xf>
    <xf numFmtId="0" fontId="16" fillId="0" borderId="6" xfId="93" applyFont="1" applyBorder="1" applyAlignment="1">
      <alignment horizontal="distributed" vertical="center" wrapText="1" justifyLastLine="1"/>
    </xf>
    <xf numFmtId="0" fontId="16" fillId="0" borderId="24" xfId="93" applyFont="1" applyBorder="1" applyAlignment="1">
      <alignment horizontal="distributed" vertical="center" wrapText="1" justifyLastLine="1"/>
    </xf>
    <xf numFmtId="0" fontId="16" fillId="0" borderId="139" xfId="93" applyFont="1" applyBorder="1" applyAlignment="1">
      <alignment horizontal="center" vertical="distributed" textRotation="255" justifyLastLine="1"/>
    </xf>
    <xf numFmtId="0" fontId="16" fillId="0" borderId="54" xfId="93" applyFont="1" applyBorder="1" applyAlignment="1">
      <alignment horizontal="center" vertical="center" wrapText="1"/>
    </xf>
    <xf numFmtId="0" fontId="16" fillId="0" borderId="56" xfId="93" applyFont="1" applyBorder="1" applyAlignment="1">
      <alignment horizontal="center" vertical="center" wrapText="1"/>
    </xf>
    <xf numFmtId="0" fontId="16" fillId="0" borderId="47" xfId="93" applyFont="1" applyBorder="1" applyAlignment="1">
      <alignment horizontal="center" vertical="center" wrapText="1"/>
    </xf>
    <xf numFmtId="0" fontId="16" fillId="0" borderId="54" xfId="93" applyFont="1" applyBorder="1" applyAlignment="1">
      <alignment horizontal="center" vertical="center" textRotation="255" shrinkToFit="1"/>
    </xf>
    <xf numFmtId="0" fontId="16" fillId="0" borderId="47" xfId="93" applyFont="1" applyBorder="1" applyAlignment="1">
      <alignment horizontal="center" vertical="center" textRotation="255" shrinkToFit="1"/>
    </xf>
    <xf numFmtId="0" fontId="16" fillId="0" borderId="89" xfId="93" applyFont="1" applyBorder="1" applyAlignment="1">
      <alignment horizontal="distributed" vertical="center" justifyLastLine="1"/>
    </xf>
    <xf numFmtId="0" fontId="16" fillId="0" borderId="12" xfId="93" applyFont="1" applyBorder="1" applyAlignment="1">
      <alignment horizontal="distributed" vertical="center"/>
    </xf>
    <xf numFmtId="0" fontId="16" fillId="0" borderId="11" xfId="93" applyFont="1" applyBorder="1" applyAlignment="1">
      <alignment horizontal="distributed" vertical="center"/>
    </xf>
    <xf numFmtId="0" fontId="16" fillId="0" borderId="82" xfId="93" applyFont="1" applyBorder="1" applyAlignment="1">
      <alignment horizontal="distributed" vertical="center" shrinkToFit="1"/>
    </xf>
    <xf numFmtId="0" fontId="16" fillId="0" borderId="31" xfId="93" applyFont="1" applyBorder="1" applyAlignment="1">
      <alignment horizontal="distributed" vertical="center" shrinkToFit="1"/>
    </xf>
    <xf numFmtId="49" fontId="24" fillId="0" borderId="154" xfId="94" applyNumberFormat="1" applyFont="1" applyBorder="1" applyAlignment="1" applyProtection="1">
      <alignment horizontal="right" vertical="center" shrinkToFit="1"/>
      <protection locked="0"/>
    </xf>
    <xf numFmtId="0" fontId="29" fillId="0" borderId="106" xfId="93" applyFont="1" applyBorder="1" applyAlignment="1">
      <alignment horizontal="center" vertical="distributed" textRotation="255" wrapText="1"/>
    </xf>
    <xf numFmtId="0" fontId="29" fillId="0" borderId="72" xfId="93" applyFont="1" applyBorder="1" applyAlignment="1">
      <alignment horizontal="center" vertical="distributed" textRotation="255" wrapText="1"/>
    </xf>
    <xf numFmtId="0" fontId="29" fillId="0" borderId="139" xfId="93" applyFont="1" applyBorder="1" applyAlignment="1">
      <alignment horizontal="center" vertical="distributed" textRotation="255" wrapText="1"/>
    </xf>
    <xf numFmtId="0" fontId="29" fillId="0" borderId="115" xfId="93" applyFont="1" applyBorder="1" applyAlignment="1">
      <alignment horizontal="center" vertical="distributed" textRotation="255" wrapText="1"/>
    </xf>
    <xf numFmtId="0" fontId="16" fillId="0" borderId="74" xfId="93" applyFont="1" applyBorder="1" applyAlignment="1">
      <alignment horizontal="distributed" vertical="center"/>
    </xf>
    <xf numFmtId="0" fontId="16" fillId="0" borderId="47" xfId="93" applyFont="1" applyBorder="1" applyAlignment="1">
      <alignment horizontal="center" vertical="distributed" textRotation="255"/>
    </xf>
    <xf numFmtId="0" fontId="16" fillId="0" borderId="72" xfId="93" applyFont="1" applyBorder="1" applyAlignment="1">
      <alignment horizontal="center" vertical="distributed" textRotation="255"/>
    </xf>
    <xf numFmtId="0" fontId="16" fillId="0" borderId="58" xfId="93" applyFont="1" applyBorder="1" applyAlignment="1">
      <alignment horizontal="distributed" vertical="center"/>
    </xf>
    <xf numFmtId="0" fontId="16" fillId="2" borderId="58" xfId="94" applyFont="1" applyFill="1" applyBorder="1" applyAlignment="1">
      <alignment horizontal="distributed" vertical="center"/>
    </xf>
    <xf numFmtId="0" fontId="16" fillId="2" borderId="27" xfId="94" applyFont="1" applyFill="1" applyBorder="1" applyAlignment="1">
      <alignment horizontal="distributed" vertical="center"/>
    </xf>
    <xf numFmtId="0" fontId="16" fillId="2" borderId="49" xfId="94" applyFont="1" applyFill="1" applyBorder="1" applyAlignment="1">
      <alignment horizontal="distributed" vertical="center"/>
    </xf>
    <xf numFmtId="0" fontId="16" fillId="2" borderId="34" xfId="94" applyFont="1" applyFill="1" applyBorder="1" applyAlignment="1">
      <alignment horizontal="distributed" vertical="center"/>
    </xf>
    <xf numFmtId="0" fontId="16" fillId="2" borderId="12" xfId="93" applyFont="1" applyFill="1" applyBorder="1" applyAlignment="1">
      <alignment horizontal="distributed" vertical="center"/>
    </xf>
    <xf numFmtId="0" fontId="16" fillId="2" borderId="11" xfId="93" applyFont="1" applyFill="1" applyBorder="1" applyAlignment="1">
      <alignment horizontal="distributed" vertical="center"/>
    </xf>
    <xf numFmtId="49" fontId="24" fillId="0" borderId="22" xfId="94" applyNumberFormat="1" applyFont="1" applyBorder="1" applyAlignment="1" applyProtection="1">
      <alignment horizontal="right" vertical="center" shrinkToFit="1"/>
      <protection locked="0"/>
    </xf>
    <xf numFmtId="49" fontId="24" fillId="0" borderId="14" xfId="94" applyNumberFormat="1" applyFont="1" applyBorder="1" applyAlignment="1" applyProtection="1">
      <alignment horizontal="right" vertical="center" shrinkToFit="1"/>
      <protection locked="0"/>
    </xf>
    <xf numFmtId="49" fontId="24" fillId="0" borderId="23" xfId="94" applyNumberFormat="1" applyFont="1" applyBorder="1" applyAlignment="1" applyProtection="1">
      <alignment horizontal="right" vertical="center" shrinkToFit="1"/>
      <protection locked="0"/>
    </xf>
    <xf numFmtId="177" fontId="24" fillId="0" borderId="121" xfId="94" applyNumberFormat="1" applyFont="1" applyBorder="1" applyAlignment="1" applyProtection="1">
      <alignment horizontal="center" vertical="center" shrinkToFit="1"/>
      <protection locked="0"/>
    </xf>
    <xf numFmtId="177" fontId="24" fillId="0" borderId="103" xfId="94" applyNumberFormat="1" applyFont="1" applyBorder="1" applyAlignment="1" applyProtection="1">
      <alignment horizontal="center" vertical="center" shrinkToFit="1"/>
      <protection locked="0"/>
    </xf>
    <xf numFmtId="49" fontId="24" fillId="0" borderId="16" xfId="94" applyNumberFormat="1" applyFont="1" applyBorder="1" applyAlignment="1">
      <alignment horizontal="right" vertical="center" shrinkToFit="1"/>
    </xf>
    <xf numFmtId="49" fontId="24" fillId="0" borderId="17" xfId="94" applyNumberFormat="1" applyFont="1" applyBorder="1" applyAlignment="1">
      <alignment horizontal="right" vertical="center" shrinkToFit="1"/>
    </xf>
    <xf numFmtId="49" fontId="24" fillId="0" borderId="18" xfId="94" applyNumberFormat="1" applyFont="1" applyBorder="1" applyAlignment="1">
      <alignment horizontal="right" vertical="center" shrinkToFit="1"/>
    </xf>
    <xf numFmtId="178" fontId="21" fillId="0" borderId="50" xfId="94" applyNumberFormat="1" applyFont="1" applyBorder="1" applyAlignment="1">
      <alignment vertical="center" shrinkToFit="1"/>
    </xf>
    <xf numFmtId="178" fontId="21" fillId="0" borderId="60" xfId="94" applyNumberFormat="1" applyFont="1" applyBorder="1" applyAlignment="1">
      <alignment vertical="center" shrinkToFit="1"/>
    </xf>
    <xf numFmtId="49" fontId="24" fillId="0" borderId="15" xfId="94" applyNumberFormat="1" applyFont="1" applyBorder="1" applyAlignment="1" applyProtection="1">
      <alignment horizontal="right" vertical="center" shrinkToFit="1"/>
      <protection locked="0"/>
    </xf>
    <xf numFmtId="0" fontId="16" fillId="0" borderId="115" xfId="93" applyFont="1" applyBorder="1" applyAlignment="1">
      <alignment horizontal="distributed" vertical="center" justifyLastLine="1"/>
    </xf>
    <xf numFmtId="0" fontId="16" fillId="0" borderId="20" xfId="93" applyFont="1" applyBorder="1" applyAlignment="1">
      <alignment horizontal="distributed" vertical="center" justifyLastLine="1"/>
    </xf>
    <xf numFmtId="0" fontId="16" fillId="0" borderId="78" xfId="93" applyFont="1" applyBorder="1" applyAlignment="1">
      <alignment horizontal="distributed" vertical="center" justifyLastLine="1"/>
    </xf>
    <xf numFmtId="0" fontId="16" fillId="0" borderId="58" xfId="93" applyFont="1" applyBorder="1" applyAlignment="1">
      <alignment horizontal="distributed" vertical="center" wrapText="1"/>
    </xf>
    <xf numFmtId="0" fontId="16" fillId="0" borderId="27" xfId="93" applyFont="1" applyBorder="1" applyAlignment="1">
      <alignment horizontal="distributed" vertical="center" wrapText="1"/>
    </xf>
    <xf numFmtId="0" fontId="16" fillId="0" borderId="61" xfId="93" applyFont="1" applyBorder="1" applyAlignment="1">
      <alignment horizontal="distributed" vertical="center" wrapText="1"/>
    </xf>
    <xf numFmtId="0" fontId="16" fillId="0" borderId="12" xfId="93" applyFont="1" applyBorder="1" applyAlignment="1">
      <alignment horizontal="distributed" vertical="center" wrapText="1"/>
    </xf>
    <xf numFmtId="0" fontId="16" fillId="0" borderId="11" xfId="93" applyFont="1" applyBorder="1" applyAlignment="1">
      <alignment horizontal="distributed" vertical="center" wrapText="1"/>
    </xf>
    <xf numFmtId="0" fontId="16" fillId="0" borderId="65" xfId="93" applyFont="1" applyBorder="1" applyAlignment="1">
      <alignment horizontal="distributed" vertical="center" wrapText="1"/>
    </xf>
    <xf numFmtId="0" fontId="16" fillId="0" borderId="43" xfId="93" applyFont="1" applyBorder="1" applyAlignment="1">
      <alignment horizontal="distributed" vertical="center" wrapText="1" justifyLastLine="1"/>
    </xf>
    <xf numFmtId="49" fontId="24" fillId="0" borderId="57" xfId="94" applyNumberFormat="1" applyFont="1" applyBorder="1" applyAlignment="1">
      <alignment horizontal="right" vertical="center" shrinkToFit="1"/>
    </xf>
    <xf numFmtId="0" fontId="23" fillId="0" borderId="93" xfId="93" applyFont="1" applyBorder="1" applyAlignment="1">
      <alignment vertical="center"/>
    </xf>
    <xf numFmtId="0" fontId="23" fillId="0" borderId="92" xfId="93" applyFont="1" applyBorder="1" applyAlignment="1">
      <alignment vertical="center"/>
    </xf>
    <xf numFmtId="0" fontId="23" fillId="0" borderId="163" xfId="93" applyFont="1" applyBorder="1" applyAlignment="1">
      <alignment vertical="center"/>
    </xf>
    <xf numFmtId="0" fontId="23" fillId="0" borderId="28" xfId="93" applyFont="1" applyBorder="1" applyAlignment="1">
      <alignment vertical="center"/>
    </xf>
    <xf numFmtId="0" fontId="23" fillId="0" borderId="164" xfId="93" applyFont="1" applyBorder="1" applyAlignment="1">
      <alignment vertical="center"/>
    </xf>
    <xf numFmtId="0" fontId="23" fillId="0" borderId="88" xfId="93" applyFont="1" applyBorder="1" applyAlignment="1">
      <alignment vertical="center"/>
    </xf>
    <xf numFmtId="0" fontId="16" fillId="0" borderId="26" xfId="93" applyFont="1" applyBorder="1" applyAlignment="1">
      <alignment horizontal="distributed" vertical="center" justifyLastLine="1"/>
    </xf>
    <xf numFmtId="0" fontId="16" fillId="0" borderId="98" xfId="93" applyFont="1" applyBorder="1" applyAlignment="1">
      <alignment horizontal="distributed" vertical="center" justifyLastLine="1"/>
    </xf>
    <xf numFmtId="49" fontId="24" fillId="0" borderId="111" xfId="94" quotePrefix="1" applyNumberFormat="1" applyFont="1" applyBorder="1" applyAlignment="1" applyProtection="1">
      <alignment horizontal="right" vertical="center" shrinkToFit="1"/>
      <protection locked="0"/>
    </xf>
    <xf numFmtId="49" fontId="24" fillId="0" borderId="72" xfId="94" quotePrefix="1" applyNumberFormat="1" applyFont="1" applyBorder="1" applyAlignment="1" applyProtection="1">
      <alignment horizontal="right" vertical="center" shrinkToFit="1"/>
      <protection locked="0"/>
    </xf>
    <xf numFmtId="0" fontId="23" fillId="0" borderId="137" xfId="93" applyFont="1" applyBorder="1" applyAlignment="1">
      <alignment horizontal="center" vertical="center" shrinkToFit="1"/>
    </xf>
    <xf numFmtId="0" fontId="23" fillId="0" borderId="138" xfId="93" applyFont="1" applyBorder="1" applyAlignment="1">
      <alignment horizontal="center" vertical="center" shrinkToFit="1"/>
    </xf>
    <xf numFmtId="1" fontId="16" fillId="5" borderId="39" xfId="93" applyNumberFormat="1" applyFont="1" applyFill="1" applyBorder="1" applyAlignment="1">
      <alignment horizontal="center" vertical="center" shrinkToFit="1"/>
    </xf>
    <xf numFmtId="1" fontId="16" fillId="5" borderId="66" xfId="93" applyNumberFormat="1" applyFont="1" applyFill="1" applyBorder="1" applyAlignment="1">
      <alignment horizontal="center" vertical="center" shrinkToFit="1"/>
    </xf>
    <xf numFmtId="1" fontId="16" fillId="5" borderId="59" xfId="93" applyNumberFormat="1" applyFont="1" applyFill="1" applyBorder="1" applyAlignment="1">
      <alignment horizontal="center" vertical="center" shrinkToFit="1"/>
    </xf>
    <xf numFmtId="1" fontId="16" fillId="5" borderId="74" xfId="93" applyNumberFormat="1" applyFont="1" applyFill="1" applyBorder="1" applyAlignment="1">
      <alignment horizontal="center" vertical="center" shrinkToFit="1"/>
    </xf>
    <xf numFmtId="0" fontId="16" fillId="0" borderId="95" xfId="93" applyFont="1" applyBorder="1" applyAlignment="1">
      <alignment horizontal="distributed" vertical="center"/>
    </xf>
    <xf numFmtId="49" fontId="24" fillId="6" borderId="152" xfId="94" applyNumberFormat="1" applyFont="1" applyFill="1" applyBorder="1" applyAlignment="1">
      <alignment horizontal="right" vertical="center" shrinkToFit="1"/>
    </xf>
    <xf numFmtId="49" fontId="24" fillId="6" borderId="186" xfId="94" applyNumberFormat="1" applyFont="1" applyFill="1" applyBorder="1" applyAlignment="1">
      <alignment horizontal="right" vertical="center" shrinkToFit="1"/>
    </xf>
    <xf numFmtId="49" fontId="24" fillId="6" borderId="62" xfId="94" applyNumberFormat="1" applyFont="1" applyFill="1" applyBorder="1" applyAlignment="1">
      <alignment horizontal="right" vertical="center" shrinkToFit="1"/>
    </xf>
    <xf numFmtId="49" fontId="24" fillId="6" borderId="27" xfId="94" applyNumberFormat="1" applyFont="1" applyFill="1" applyBorder="1" applyAlignment="1">
      <alignment horizontal="right" vertical="center" shrinkToFit="1"/>
    </xf>
    <xf numFmtId="49" fontId="24" fillId="6" borderId="57" xfId="94" applyNumberFormat="1" applyFont="1" applyFill="1" applyBorder="1" applyAlignment="1">
      <alignment horizontal="right" vertical="center" shrinkToFit="1"/>
    </xf>
    <xf numFmtId="0" fontId="16" fillId="0" borderId="169" xfId="93" applyFont="1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16" fillId="0" borderId="46" xfId="93" applyFont="1" applyBorder="1" applyAlignment="1">
      <alignment horizontal="distributed" vertical="center"/>
    </xf>
    <xf numFmtId="0" fontId="16" fillId="0" borderId="64" xfId="93" applyFont="1" applyBorder="1" applyAlignment="1">
      <alignment horizontal="center" vertical="distributed" textRotation="255" justifyLastLine="1"/>
    </xf>
    <xf numFmtId="0" fontId="16" fillId="0" borderId="55" xfId="93" applyFont="1" applyBorder="1" applyAlignment="1">
      <alignment horizontal="center" vertical="distributed" textRotation="255" justifyLastLine="1"/>
    </xf>
    <xf numFmtId="0" fontId="16" fillId="0" borderId="84" xfId="93" applyFont="1" applyBorder="1" applyAlignment="1">
      <alignment horizontal="center" vertical="distributed" textRotation="255" justifyLastLine="1"/>
    </xf>
    <xf numFmtId="0" fontId="16" fillId="0" borderId="104" xfId="93" applyFont="1" applyBorder="1" applyAlignment="1">
      <alignment horizontal="center" vertical="distributed" textRotation="255"/>
    </xf>
    <xf numFmtId="0" fontId="16" fillId="0" borderId="55" xfId="93" applyFont="1" applyBorder="1" applyAlignment="1">
      <alignment horizontal="center" vertical="distributed" textRotation="255"/>
    </xf>
    <xf numFmtId="0" fontId="16" fillId="0" borderId="84" xfId="93" applyFont="1" applyBorder="1" applyAlignment="1">
      <alignment horizontal="center" vertical="distributed" textRotation="255"/>
    </xf>
    <xf numFmtId="0" fontId="16" fillId="0" borderId="11" xfId="97" applyFont="1" applyBorder="1" applyAlignment="1">
      <alignment horizontal="left" vertical="center"/>
    </xf>
    <xf numFmtId="0" fontId="23" fillId="0" borderId="133" xfId="93" applyFont="1" applyBorder="1" applyAlignment="1">
      <alignment vertical="center"/>
    </xf>
    <xf numFmtId="0" fontId="23" fillId="0" borderId="124" xfId="93" applyFont="1" applyBorder="1" applyAlignment="1">
      <alignment vertical="center"/>
    </xf>
    <xf numFmtId="0" fontId="23" fillId="0" borderId="171" xfId="93" applyFont="1" applyBorder="1" applyAlignment="1">
      <alignment vertical="center"/>
    </xf>
    <xf numFmtId="0" fontId="23" fillId="0" borderId="132" xfId="93" applyFont="1" applyBorder="1" applyAlignment="1">
      <alignment vertical="center"/>
    </xf>
    <xf numFmtId="0" fontId="23" fillId="0" borderId="126" xfId="93" applyFont="1" applyBorder="1" applyAlignment="1">
      <alignment vertical="center"/>
    </xf>
    <xf numFmtId="0" fontId="23" fillId="0" borderId="130" xfId="93" applyFont="1" applyBorder="1" applyAlignment="1">
      <alignment vertical="center"/>
    </xf>
    <xf numFmtId="0" fontId="16" fillId="0" borderId="59" xfId="93" applyFont="1" applyBorder="1" applyAlignment="1">
      <alignment horizontal="distributed" vertical="center"/>
    </xf>
    <xf numFmtId="49" fontId="24" fillId="0" borderId="48" xfId="94" applyNumberFormat="1" applyFont="1" applyBorder="1" applyAlignment="1" applyProtection="1">
      <alignment horizontal="right" vertical="center" shrinkToFit="1"/>
      <protection locked="0"/>
    </xf>
    <xf numFmtId="49" fontId="13" fillId="0" borderId="49" xfId="94" applyNumberFormat="1" applyFont="1" applyBorder="1" applyAlignment="1" applyProtection="1">
      <alignment horizontal="left" vertical="center" shrinkToFit="1"/>
      <protection locked="0"/>
    </xf>
    <xf numFmtId="49" fontId="13" fillId="0" borderId="34" xfId="94" applyNumberFormat="1" applyFont="1" applyBorder="1" applyAlignment="1" applyProtection="1">
      <alignment horizontal="left" vertical="center" shrinkToFit="1"/>
      <protection locked="0"/>
    </xf>
    <xf numFmtId="49" fontId="13" fillId="0" borderId="53" xfId="94" applyNumberFormat="1" applyFont="1" applyBorder="1" applyAlignment="1" applyProtection="1">
      <alignment horizontal="left" vertical="center" shrinkToFit="1"/>
      <protection locked="0"/>
    </xf>
    <xf numFmtId="49" fontId="33" fillId="0" borderId="37" xfId="94" applyNumberFormat="1" applyFont="1" applyBorder="1" applyAlignment="1" applyProtection="1">
      <alignment horizontal="right" vertical="center" shrinkToFit="1"/>
      <protection locked="0"/>
    </xf>
    <xf numFmtId="49" fontId="33" fillId="0" borderId="34" xfId="94" applyNumberFormat="1" applyFont="1" applyBorder="1" applyAlignment="1" applyProtection="1">
      <alignment horizontal="right" vertical="center" shrinkToFit="1"/>
      <protection locked="0"/>
    </xf>
    <xf numFmtId="49" fontId="33" fillId="0" borderId="33" xfId="94" applyNumberFormat="1" applyFont="1" applyBorder="1" applyAlignment="1" applyProtection="1">
      <alignment horizontal="right" vertical="center" shrinkToFit="1"/>
      <protection locked="0"/>
    </xf>
    <xf numFmtId="49" fontId="13" fillId="0" borderId="40" xfId="94" applyNumberFormat="1" applyFont="1" applyBorder="1" applyAlignment="1" applyProtection="1">
      <alignment horizontal="left" vertical="center" shrinkToFit="1"/>
      <protection locked="0"/>
    </xf>
    <xf numFmtId="49" fontId="13" fillId="0" borderId="39" xfId="94" applyNumberFormat="1" applyFont="1" applyBorder="1" applyAlignment="1" applyProtection="1">
      <alignment horizontal="left" vertical="center" shrinkToFit="1"/>
      <protection locked="0"/>
    </xf>
    <xf numFmtId="49" fontId="13" fillId="0" borderId="66" xfId="94" applyNumberFormat="1" applyFont="1" applyBorder="1" applyAlignment="1" applyProtection="1">
      <alignment horizontal="left" vertical="center" shrinkToFit="1"/>
      <protection locked="0"/>
    </xf>
    <xf numFmtId="49" fontId="33" fillId="0" borderId="67" xfId="94" applyNumberFormat="1" applyFont="1" applyBorder="1" applyAlignment="1" applyProtection="1">
      <alignment horizontal="right" vertical="center" shrinkToFit="1"/>
      <protection locked="0"/>
    </xf>
    <xf numFmtId="49" fontId="33" fillId="0" borderId="39" xfId="94" applyNumberFormat="1" applyFont="1" applyBorder="1" applyAlignment="1" applyProtection="1">
      <alignment horizontal="right" vertical="center" shrinkToFit="1"/>
      <protection locked="0"/>
    </xf>
    <xf numFmtId="49" fontId="33" fillId="0" borderId="41" xfId="94" applyNumberFormat="1" applyFont="1" applyBorder="1" applyAlignment="1" applyProtection="1">
      <alignment horizontal="right" vertical="center" shrinkToFit="1"/>
      <protection locked="0"/>
    </xf>
    <xf numFmtId="0" fontId="12" fillId="0" borderId="0" xfId="93" applyAlignment="1">
      <alignment horizontal="distributed" vertical="center"/>
    </xf>
    <xf numFmtId="179" fontId="12" fillId="0" borderId="0" xfId="94" applyNumberFormat="1" applyFont="1" applyAlignment="1">
      <alignment horizontal="right" vertical="center" shrinkToFit="1"/>
    </xf>
    <xf numFmtId="178" fontId="12" fillId="0" borderId="0" xfId="94" applyNumberFormat="1" applyFont="1" applyAlignment="1" applyProtection="1">
      <alignment horizontal="right" vertical="center" shrinkToFit="1"/>
      <protection locked="0"/>
    </xf>
    <xf numFmtId="178" fontId="12" fillId="4" borderId="0" xfId="94" applyNumberFormat="1" applyFont="1" applyFill="1" applyAlignment="1">
      <alignment horizontal="right" vertical="center" shrinkToFit="1"/>
    </xf>
    <xf numFmtId="0" fontId="12" fillId="0" borderId="0" xfId="93" applyAlignment="1">
      <alignment horizontal="center" vertical="center"/>
    </xf>
    <xf numFmtId="178" fontId="12" fillId="0" borderId="0" xfId="94" applyNumberFormat="1" applyFont="1" applyAlignment="1">
      <alignment horizontal="right" vertical="center" shrinkToFit="1"/>
    </xf>
    <xf numFmtId="179" fontId="12" fillId="0" borderId="0" xfId="94" applyNumberFormat="1" applyFont="1" applyAlignment="1" applyProtection="1">
      <alignment horizontal="right" vertical="center" shrinkToFit="1"/>
      <protection locked="0"/>
    </xf>
    <xf numFmtId="0" fontId="12" fillId="0" borderId="0" xfId="93" applyAlignment="1">
      <alignment horizontal="distributed" vertical="center" justifyLastLine="1"/>
    </xf>
    <xf numFmtId="0" fontId="33" fillId="0" borderId="0" xfId="93" applyFont="1" applyAlignment="1">
      <alignment vertical="center" wrapText="1"/>
    </xf>
    <xf numFmtId="0" fontId="13" fillId="0" borderId="0" xfId="93" applyFont="1" applyAlignment="1">
      <alignment horizontal="distributed" vertical="center" justifyLastLine="1"/>
    </xf>
    <xf numFmtId="0" fontId="13" fillId="0" borderId="95" xfId="93" applyFont="1" applyBorder="1" applyAlignment="1">
      <alignment horizontal="center" vertical="distributed" textRotation="255" wrapText="1" justifyLastLine="1"/>
    </xf>
    <xf numFmtId="0" fontId="13" fillId="0" borderId="74" xfId="93" applyFont="1" applyBorder="1" applyAlignment="1">
      <alignment horizontal="center" vertical="distributed" textRotation="255" wrapText="1" justifyLastLine="1"/>
    </xf>
    <xf numFmtId="0" fontId="13" fillId="0" borderId="43" xfId="93" applyFont="1" applyBorder="1" applyAlignment="1">
      <alignment horizontal="center" vertical="distributed" textRotation="255" wrapText="1" justifyLastLine="1"/>
    </xf>
    <xf numFmtId="0" fontId="13" fillId="0" borderId="68" xfId="93" applyFont="1" applyBorder="1" applyAlignment="1">
      <alignment horizontal="center" vertical="distributed" textRotation="255" wrapText="1" justifyLastLine="1"/>
    </xf>
    <xf numFmtId="0" fontId="13" fillId="0" borderId="12" xfId="93" applyFont="1" applyBorder="1" applyAlignment="1">
      <alignment horizontal="center" vertical="distributed" textRotation="255" wrapText="1" justifyLastLine="1"/>
    </xf>
    <xf numFmtId="0" fontId="13" fillId="0" borderId="65" xfId="93" applyFont="1" applyBorder="1" applyAlignment="1">
      <alignment horizontal="center" vertical="distributed" textRotation="255" wrapText="1" justifyLastLine="1"/>
    </xf>
    <xf numFmtId="49" fontId="13" fillId="0" borderId="169" xfId="94" applyNumberFormat="1" applyFont="1" applyBorder="1" applyAlignment="1" applyProtection="1">
      <alignment horizontal="left" vertical="center" shrinkToFit="1"/>
      <protection locked="0"/>
    </xf>
    <xf numFmtId="49" fontId="13" fillId="0" borderId="17" xfId="94" applyNumberFormat="1" applyFont="1" applyBorder="1" applyAlignment="1" applyProtection="1">
      <alignment horizontal="left" vertical="center" shrinkToFit="1"/>
      <protection locked="0"/>
    </xf>
    <xf numFmtId="49" fontId="13" fillId="0" borderId="46" xfId="94" applyNumberFormat="1" applyFont="1" applyBorder="1" applyAlignment="1" applyProtection="1">
      <alignment horizontal="left" vertical="center" shrinkToFit="1"/>
      <protection locked="0"/>
    </xf>
    <xf numFmtId="49" fontId="33" fillId="0" borderId="21" xfId="94" applyNumberFormat="1" applyFont="1" applyBorder="1" applyAlignment="1" applyProtection="1">
      <alignment horizontal="right" vertical="center" shrinkToFit="1"/>
      <protection locked="0"/>
    </xf>
    <xf numFmtId="49" fontId="33" fillId="0" borderId="17" xfId="94" applyNumberFormat="1" applyFont="1" applyBorder="1" applyAlignment="1" applyProtection="1">
      <alignment horizontal="right" vertical="center" shrinkToFit="1"/>
      <protection locked="0"/>
    </xf>
    <xf numFmtId="49" fontId="33" fillId="0" borderId="18" xfId="94" applyNumberFormat="1" applyFont="1" applyBorder="1" applyAlignment="1" applyProtection="1">
      <alignment horizontal="right" vertical="center" shrinkToFit="1"/>
      <protection locked="0"/>
    </xf>
    <xf numFmtId="49" fontId="33" fillId="6" borderId="37" xfId="94" applyNumberFormat="1" applyFont="1" applyFill="1" applyBorder="1" applyAlignment="1">
      <alignment horizontal="right" vertical="center" shrinkToFit="1"/>
    </xf>
    <xf numFmtId="49" fontId="33" fillId="6" borderId="34" xfId="94" applyNumberFormat="1" applyFont="1" applyFill="1" applyBorder="1" applyAlignment="1">
      <alignment horizontal="right" vertical="center" shrinkToFit="1"/>
    </xf>
    <xf numFmtId="49" fontId="33" fillId="6" borderId="33" xfId="94" applyNumberFormat="1" applyFont="1" applyFill="1" applyBorder="1" applyAlignment="1">
      <alignment horizontal="right" vertical="center" shrinkToFit="1"/>
    </xf>
    <xf numFmtId="0" fontId="13" fillId="0" borderId="72" xfId="93" applyFont="1" applyBorder="1" applyAlignment="1">
      <alignment horizontal="distributed" vertical="center"/>
    </xf>
    <xf numFmtId="0" fontId="13" fillId="0" borderId="37" xfId="93" applyFont="1" applyBorder="1" applyAlignment="1">
      <alignment horizontal="distributed" vertical="center"/>
    </xf>
    <xf numFmtId="49" fontId="33" fillId="0" borderId="111" xfId="94" applyNumberFormat="1" applyFont="1" applyBorder="1" applyAlignment="1" applyProtection="1">
      <alignment horizontal="right" vertical="center" shrinkToFit="1"/>
      <protection locked="0"/>
    </xf>
    <xf numFmtId="49" fontId="33" fillId="0" borderId="72" xfId="94" applyNumberFormat="1" applyFont="1" applyBorder="1" applyAlignment="1" applyProtection="1">
      <alignment horizontal="right" vertical="center" shrinkToFit="1"/>
      <protection locked="0"/>
    </xf>
    <xf numFmtId="49" fontId="33" fillId="6" borderId="72" xfId="94" applyNumberFormat="1" applyFont="1" applyFill="1" applyBorder="1" applyAlignment="1">
      <alignment horizontal="right" vertical="center" shrinkToFit="1"/>
    </xf>
    <xf numFmtId="49" fontId="33" fillId="6" borderId="111" xfId="94" applyNumberFormat="1" applyFont="1" applyFill="1" applyBorder="1" applyAlignment="1">
      <alignment horizontal="right" vertical="center" shrinkToFit="1"/>
    </xf>
    <xf numFmtId="49" fontId="33" fillId="6" borderId="131" xfId="94" applyNumberFormat="1" applyFont="1" applyFill="1" applyBorder="1" applyAlignment="1">
      <alignment horizontal="right" vertical="center" shrinkToFit="1"/>
    </xf>
    <xf numFmtId="49" fontId="33" fillId="0" borderId="161" xfId="94" applyNumberFormat="1" applyFont="1" applyBorder="1" applyAlignment="1">
      <alignment horizontal="right" vertical="center" shrinkToFit="1"/>
    </xf>
    <xf numFmtId="49" fontId="33" fillId="0" borderId="90" xfId="94" applyNumberFormat="1" applyFont="1" applyBorder="1" applyAlignment="1">
      <alignment horizontal="right" vertical="center" shrinkToFit="1"/>
    </xf>
    <xf numFmtId="49" fontId="33" fillId="0" borderId="109" xfId="94" applyNumberFormat="1" applyFont="1" applyBorder="1" applyAlignment="1">
      <alignment horizontal="right" vertical="center" shrinkToFit="1"/>
    </xf>
    <xf numFmtId="49" fontId="33" fillId="0" borderId="53" xfId="94" applyNumberFormat="1" applyFont="1" applyBorder="1" applyAlignment="1" applyProtection="1">
      <alignment horizontal="right" vertical="center" shrinkToFit="1"/>
      <protection locked="0"/>
    </xf>
    <xf numFmtId="49" fontId="33" fillId="0" borderId="146" xfId="94" applyNumberFormat="1" applyFont="1" applyBorder="1" applyAlignment="1">
      <alignment horizontal="right" vertical="center" shrinkToFit="1"/>
    </xf>
    <xf numFmtId="49" fontId="33" fillId="0" borderId="117" xfId="94" applyNumberFormat="1" applyFont="1" applyBorder="1" applyAlignment="1">
      <alignment horizontal="right" vertical="center" shrinkToFit="1"/>
    </xf>
    <xf numFmtId="49" fontId="33" fillId="0" borderId="116" xfId="94" applyNumberFormat="1" applyFont="1" applyBorder="1" applyAlignment="1">
      <alignment horizontal="right" vertical="center" shrinkToFit="1"/>
    </xf>
    <xf numFmtId="49" fontId="33" fillId="6" borderId="53" xfId="94" applyNumberFormat="1" applyFont="1" applyFill="1" applyBorder="1" applyAlignment="1">
      <alignment horizontal="right" vertical="center" shrinkToFit="1"/>
    </xf>
    <xf numFmtId="0" fontId="13" fillId="0" borderId="106" xfId="93" applyFont="1" applyBorder="1" applyAlignment="1">
      <alignment horizontal="center" vertical="distributed" textRotation="255" wrapText="1" justifyLastLine="1"/>
    </xf>
    <xf numFmtId="0" fontId="13" fillId="0" borderId="72" xfId="93" applyFont="1" applyBorder="1" applyAlignment="1">
      <alignment horizontal="center" vertical="distributed" textRotation="255" wrapText="1" justifyLastLine="1"/>
    </xf>
    <xf numFmtId="0" fontId="13" fillId="0" borderId="34" xfId="93" applyFont="1" applyBorder="1" applyAlignment="1">
      <alignment horizontal="distributed" vertical="center"/>
    </xf>
    <xf numFmtId="0" fontId="13" fillId="0" borderId="35" xfId="93" applyFont="1" applyBorder="1" applyAlignment="1">
      <alignment horizontal="distributed" vertical="center"/>
    </xf>
    <xf numFmtId="49" fontId="33" fillId="0" borderId="36" xfId="94" applyNumberFormat="1" applyFont="1" applyBorder="1" applyAlignment="1" applyProtection="1">
      <alignment horizontal="right" vertical="center" shrinkToFit="1"/>
      <protection locked="0"/>
    </xf>
    <xf numFmtId="0" fontId="12" fillId="0" borderId="0" xfId="93" applyAlignment="1">
      <alignment horizontal="distributed" vertical="center" wrapText="1"/>
    </xf>
    <xf numFmtId="0" fontId="13" fillId="0" borderId="72" xfId="93" applyFont="1" applyBorder="1" applyAlignment="1">
      <alignment horizontal="center" vertical="center" wrapText="1"/>
    </xf>
    <xf numFmtId="0" fontId="13" fillId="0" borderId="72" xfId="93" applyFont="1" applyBorder="1" applyAlignment="1">
      <alignment horizontal="center" vertical="center"/>
    </xf>
    <xf numFmtId="0" fontId="13" fillId="0" borderId="72" xfId="93" applyFont="1" applyBorder="1" applyAlignment="1">
      <alignment horizontal="distributed" vertical="center" wrapText="1"/>
    </xf>
    <xf numFmtId="0" fontId="12" fillId="0" borderId="0" xfId="93" applyAlignment="1">
      <alignment vertical="center"/>
    </xf>
    <xf numFmtId="1" fontId="12" fillId="0" borderId="0" xfId="94" applyNumberFormat="1" applyFont="1" applyAlignment="1">
      <alignment horizontal="right" vertical="center" shrinkToFit="1"/>
    </xf>
    <xf numFmtId="0" fontId="12" fillId="0" borderId="0" xfId="93" applyAlignment="1">
      <alignment horizontal="center" vertical="center" textRotation="255"/>
    </xf>
    <xf numFmtId="0" fontId="13" fillId="0" borderId="106" xfId="93" applyFont="1" applyBorder="1" applyAlignment="1">
      <alignment vertical="center" textRotation="255" wrapText="1"/>
    </xf>
    <xf numFmtId="0" fontId="13" fillId="0" borderId="72" xfId="93" applyFont="1" applyBorder="1" applyAlignment="1">
      <alignment vertical="center" textRotation="255" wrapText="1"/>
    </xf>
    <xf numFmtId="0" fontId="13" fillId="0" borderId="37" xfId="93" applyFont="1" applyBorder="1" applyAlignment="1">
      <alignment horizontal="center" vertical="center" shrinkToFit="1"/>
    </xf>
    <xf numFmtId="0" fontId="13" fillId="0" borderId="34" xfId="93" applyFont="1" applyBorder="1" applyAlignment="1">
      <alignment horizontal="center" vertical="center" shrinkToFit="1"/>
    </xf>
    <xf numFmtId="0" fontId="13" fillId="0" borderId="35" xfId="93" applyFont="1" applyBorder="1" applyAlignment="1">
      <alignment horizontal="center" vertical="center" shrinkToFit="1"/>
    </xf>
    <xf numFmtId="0" fontId="13" fillId="0" borderId="75" xfId="93" applyFont="1" applyBorder="1" applyAlignment="1">
      <alignment horizontal="distributed" vertical="center"/>
    </xf>
    <xf numFmtId="0" fontId="13" fillId="0" borderId="59" xfId="93" applyFont="1" applyBorder="1" applyAlignment="1">
      <alignment horizontal="distributed" vertical="center"/>
    </xf>
    <xf numFmtId="0" fontId="13" fillId="0" borderId="74" xfId="93" applyFont="1" applyBorder="1" applyAlignment="1">
      <alignment horizontal="distributed" vertical="center"/>
    </xf>
    <xf numFmtId="0" fontId="13" fillId="0" borderId="76" xfId="93" applyFont="1" applyBorder="1" applyAlignment="1">
      <alignment horizontal="distributed" vertical="center"/>
    </xf>
    <xf numFmtId="0" fontId="13" fillId="0" borderId="0" xfId="93" applyFont="1" applyAlignment="1">
      <alignment horizontal="distributed" vertical="center"/>
    </xf>
    <xf numFmtId="0" fontId="13" fillId="0" borderId="68" xfId="93" applyFont="1" applyBorder="1" applyAlignment="1">
      <alignment horizontal="distributed" vertical="center"/>
    </xf>
    <xf numFmtId="0" fontId="13" fillId="0" borderId="48" xfId="93" applyFont="1" applyBorder="1" applyAlignment="1">
      <alignment horizontal="distributed" vertical="center"/>
    </xf>
    <xf numFmtId="0" fontId="13" fillId="0" borderId="31" xfId="93" applyFont="1" applyBorder="1" applyAlignment="1">
      <alignment horizontal="distributed" vertical="center"/>
    </xf>
    <xf numFmtId="0" fontId="13" fillId="0" borderId="77" xfId="93" applyFont="1" applyBorder="1" applyAlignment="1">
      <alignment horizontal="distributed" vertical="center"/>
    </xf>
    <xf numFmtId="0" fontId="12" fillId="0" borderId="0" xfId="94" applyFont="1" applyAlignment="1">
      <alignment horizontal="right" vertical="center" shrinkToFit="1"/>
    </xf>
    <xf numFmtId="0" fontId="13" fillId="0" borderId="106" xfId="93" applyFont="1" applyBorder="1" applyAlignment="1">
      <alignment horizontal="center" vertical="distributed" textRotation="255" justifyLastLine="1"/>
    </xf>
    <xf numFmtId="0" fontId="13" fillId="0" borderId="72" xfId="93" applyFont="1" applyBorder="1" applyAlignment="1">
      <alignment horizontal="center" vertical="distributed" textRotation="255" justifyLastLine="1"/>
    </xf>
    <xf numFmtId="0" fontId="12" fillId="0" borderId="0" xfId="93" applyAlignment="1">
      <alignment horizontal="center" vertical="distributed" textRotation="255" justifyLastLine="1"/>
    </xf>
    <xf numFmtId="0" fontId="13" fillId="0" borderId="75" xfId="93" applyFont="1" applyBorder="1" applyAlignment="1">
      <alignment horizontal="distributed" vertical="center" wrapText="1"/>
    </xf>
    <xf numFmtId="0" fontId="13" fillId="0" borderId="59" xfId="93" applyFont="1" applyBorder="1" applyAlignment="1">
      <alignment horizontal="distributed" vertical="center" wrapText="1"/>
    </xf>
    <xf numFmtId="0" fontId="13" fillId="0" borderId="74" xfId="93" applyFont="1" applyBorder="1" applyAlignment="1">
      <alignment horizontal="distributed" vertical="center" wrapText="1"/>
    </xf>
    <xf numFmtId="0" fontId="13" fillId="0" borderId="76" xfId="93" applyFont="1" applyBorder="1" applyAlignment="1">
      <alignment horizontal="distributed" vertical="center" wrapText="1"/>
    </xf>
    <xf numFmtId="0" fontId="13" fillId="0" borderId="0" xfId="93" applyFont="1" applyAlignment="1">
      <alignment horizontal="distributed" vertical="center" wrapText="1"/>
    </xf>
    <xf numFmtId="0" fontId="13" fillId="0" borderId="68" xfId="93" applyFont="1" applyBorder="1" applyAlignment="1">
      <alignment horizontal="distributed" vertical="center" wrapText="1"/>
    </xf>
    <xf numFmtId="0" fontId="13" fillId="0" borderId="48" xfId="93" applyFont="1" applyBorder="1" applyAlignment="1">
      <alignment horizontal="distributed" vertical="center" wrapText="1"/>
    </xf>
    <xf numFmtId="0" fontId="13" fillId="0" borderId="31" xfId="93" applyFont="1" applyBorder="1" applyAlignment="1">
      <alignment horizontal="distributed" vertical="center" wrapText="1"/>
    </xf>
    <xf numFmtId="0" fontId="13" fillId="0" borderId="77" xfId="93" applyFont="1" applyBorder="1" applyAlignment="1">
      <alignment horizontal="distributed" vertical="center" wrapText="1"/>
    </xf>
    <xf numFmtId="0" fontId="8" fillId="0" borderId="0" xfId="93" applyFont="1" applyAlignment="1">
      <alignment vertical="center"/>
    </xf>
    <xf numFmtId="0" fontId="13" fillId="0" borderId="54" xfId="93" applyFont="1" applyBorder="1" applyAlignment="1">
      <alignment horizontal="distributed" vertical="center"/>
    </xf>
    <xf numFmtId="49" fontId="33" fillId="0" borderId="110" xfId="94" applyNumberFormat="1" applyFont="1" applyBorder="1" applyAlignment="1">
      <alignment horizontal="right" vertical="center" shrinkToFit="1"/>
    </xf>
    <xf numFmtId="49" fontId="33" fillId="0" borderId="176" xfId="94" applyNumberFormat="1" applyFont="1" applyBorder="1" applyAlignment="1">
      <alignment horizontal="right" vertical="center" shrinkToFit="1"/>
    </xf>
    <xf numFmtId="49" fontId="33" fillId="0" borderId="170" xfId="94" applyNumberFormat="1" applyFont="1" applyBorder="1" applyAlignment="1">
      <alignment horizontal="right" vertical="center" shrinkToFit="1"/>
    </xf>
    <xf numFmtId="49" fontId="33" fillId="6" borderId="115" xfId="94" applyNumberFormat="1" applyFont="1" applyFill="1" applyBorder="1" applyAlignment="1">
      <alignment horizontal="right" vertical="center" shrinkToFit="1"/>
    </xf>
    <xf numFmtId="49" fontId="33" fillId="6" borderId="140" xfId="94" applyNumberFormat="1" applyFont="1" applyFill="1" applyBorder="1" applyAlignment="1">
      <alignment horizontal="right" vertical="center" shrinkToFit="1"/>
    </xf>
    <xf numFmtId="0" fontId="13" fillId="2" borderId="72" xfId="93" applyFont="1" applyFill="1" applyBorder="1" applyAlignment="1">
      <alignment horizontal="distributed" vertical="center"/>
    </xf>
    <xf numFmtId="0" fontId="13" fillId="2" borderId="37" xfId="93" applyFont="1" applyFill="1" applyBorder="1" applyAlignment="1">
      <alignment horizontal="distributed" vertical="center"/>
    </xf>
    <xf numFmtId="0" fontId="13" fillId="0" borderId="21" xfId="93" applyFont="1" applyBorder="1" applyAlignment="1">
      <alignment horizontal="center" vertical="center"/>
    </xf>
    <xf numFmtId="0" fontId="13" fillId="0" borderId="17" xfId="93" applyFont="1" applyBorder="1" applyAlignment="1">
      <alignment horizontal="center" vertical="center"/>
    </xf>
    <xf numFmtId="0" fontId="13" fillId="0" borderId="15" xfId="93" applyFont="1" applyBorder="1" applyAlignment="1">
      <alignment horizontal="center" vertical="center"/>
    </xf>
    <xf numFmtId="49" fontId="33" fillId="0" borderId="148" xfId="94" applyNumberFormat="1" applyFont="1" applyBorder="1" applyAlignment="1">
      <alignment horizontal="right" vertical="center" shrinkToFit="1"/>
    </xf>
    <xf numFmtId="0" fontId="14" fillId="0" borderId="72" xfId="89" applyFont="1" applyBorder="1" applyAlignment="1">
      <alignment horizontal="distributed" vertical="center"/>
    </xf>
    <xf numFmtId="0" fontId="14" fillId="0" borderId="37" xfId="89" applyFont="1" applyBorder="1" applyAlignment="1">
      <alignment horizontal="distributed" vertical="center"/>
    </xf>
    <xf numFmtId="49" fontId="33" fillId="6" borderId="71" xfId="94" applyNumberFormat="1" applyFont="1" applyFill="1" applyBorder="1" applyAlignment="1">
      <alignment horizontal="right" vertical="center" shrinkToFit="1"/>
    </xf>
    <xf numFmtId="49" fontId="33" fillId="0" borderId="120" xfId="94" applyNumberFormat="1" applyFont="1" applyBorder="1" applyAlignment="1">
      <alignment horizontal="right" vertical="center" shrinkToFit="1"/>
    </xf>
    <xf numFmtId="0" fontId="13" fillId="0" borderId="37" xfId="93" applyFont="1" applyBorder="1" applyAlignment="1">
      <alignment horizontal="center" vertical="center"/>
    </xf>
    <xf numFmtId="0" fontId="13" fillId="0" borderId="84" xfId="93" applyFont="1" applyBorder="1" applyAlignment="1">
      <alignment horizontal="center" vertical="center" textRotation="255"/>
    </xf>
    <xf numFmtId="0" fontId="13" fillId="0" borderId="47" xfId="93" applyFont="1" applyBorder="1" applyAlignment="1">
      <alignment horizontal="center" vertical="center" textRotation="255"/>
    </xf>
    <xf numFmtId="0" fontId="13" fillId="0" borderId="106" xfId="93" applyFont="1" applyBorder="1" applyAlignment="1">
      <alignment horizontal="center" vertical="center" textRotation="255"/>
    </xf>
    <xf numFmtId="0" fontId="13" fillId="0" borderId="72" xfId="93" applyFont="1" applyBorder="1" applyAlignment="1">
      <alignment horizontal="center" vertical="center" textRotation="255"/>
    </xf>
    <xf numFmtId="0" fontId="13" fillId="0" borderId="47" xfId="93" applyFont="1" applyBorder="1" applyAlignment="1">
      <alignment horizontal="center" vertical="center"/>
    </xf>
    <xf numFmtId="0" fontId="13" fillId="0" borderId="47" xfId="93" applyFont="1" applyBorder="1" applyAlignment="1">
      <alignment horizontal="distributed" vertical="center"/>
    </xf>
    <xf numFmtId="49" fontId="33" fillId="0" borderId="96" xfId="94" applyNumberFormat="1" applyFont="1" applyBorder="1" applyAlignment="1" applyProtection="1">
      <alignment horizontal="right" vertical="center" shrinkToFit="1"/>
      <protection locked="0"/>
    </xf>
    <xf numFmtId="49" fontId="33" fillId="0" borderId="47" xfId="94" applyNumberFormat="1" applyFont="1" applyBorder="1" applyAlignment="1" applyProtection="1">
      <alignment horizontal="right" vertical="center" shrinkToFit="1"/>
      <protection locked="0"/>
    </xf>
    <xf numFmtId="49" fontId="33" fillId="6" borderId="47" xfId="94" applyNumberFormat="1" applyFont="1" applyFill="1" applyBorder="1" applyAlignment="1">
      <alignment horizontal="right" vertical="center" shrinkToFit="1"/>
    </xf>
    <xf numFmtId="49" fontId="33" fillId="6" borderId="48" xfId="94" applyNumberFormat="1" applyFont="1" applyFill="1" applyBorder="1" applyAlignment="1">
      <alignment horizontal="right" vertical="center" shrinkToFit="1"/>
    </xf>
    <xf numFmtId="49" fontId="33" fillId="6" borderId="96" xfId="94" applyNumberFormat="1" applyFont="1" applyFill="1" applyBorder="1" applyAlignment="1">
      <alignment horizontal="right" vertical="center" shrinkToFit="1"/>
    </xf>
    <xf numFmtId="49" fontId="33" fillId="6" borderId="143" xfId="94" applyNumberFormat="1" applyFont="1" applyFill="1" applyBorder="1" applyAlignment="1">
      <alignment horizontal="right" vertical="center" shrinkToFit="1"/>
    </xf>
    <xf numFmtId="0" fontId="32" fillId="0" borderId="51" xfId="93" applyFont="1" applyBorder="1" applyAlignment="1">
      <alignment horizontal="left" vertical="center"/>
    </xf>
    <xf numFmtId="0" fontId="32" fillId="0" borderId="50" xfId="93" applyFont="1" applyBorder="1" applyAlignment="1">
      <alignment horizontal="left" vertical="center"/>
    </xf>
    <xf numFmtId="0" fontId="32" fillId="0" borderId="60" xfId="93" applyFont="1" applyBorder="1" applyAlignment="1">
      <alignment horizontal="left" vertical="center"/>
    </xf>
    <xf numFmtId="0" fontId="12" fillId="0" borderId="174" xfId="93" applyBorder="1" applyAlignment="1">
      <alignment vertical="center"/>
    </xf>
    <xf numFmtId="0" fontId="12" fillId="0" borderId="175" xfId="93" applyBorder="1" applyAlignment="1">
      <alignment vertical="center"/>
    </xf>
    <xf numFmtId="0" fontId="12" fillId="0" borderId="165" xfId="93" applyBorder="1" applyAlignment="1">
      <alignment vertical="center"/>
    </xf>
    <xf numFmtId="0" fontId="12" fillId="0" borderId="132" xfId="93" applyBorder="1" applyAlignment="1">
      <alignment vertical="center"/>
    </xf>
    <xf numFmtId="0" fontId="12" fillId="0" borderId="126" xfId="93" applyBorder="1" applyAlignment="1">
      <alignment vertical="center"/>
    </xf>
    <xf numFmtId="0" fontId="12" fillId="0" borderId="125" xfId="93" applyBorder="1" applyAlignment="1">
      <alignment vertical="center"/>
    </xf>
    <xf numFmtId="0" fontId="13" fillId="0" borderId="96" xfId="93" applyFont="1" applyBorder="1" applyAlignment="1">
      <alignment horizontal="center" vertical="center"/>
    </xf>
    <xf numFmtId="0" fontId="13" fillId="0" borderId="48" xfId="93" applyFont="1" applyBorder="1" applyAlignment="1">
      <alignment horizontal="center" vertical="center"/>
    </xf>
    <xf numFmtId="0" fontId="13" fillId="0" borderId="26" xfId="93" applyFont="1" applyBorder="1" applyAlignment="1">
      <alignment horizontal="center" vertical="center"/>
    </xf>
    <xf numFmtId="0" fontId="13" fillId="0" borderId="27" xfId="93" applyFont="1" applyBorder="1" applyAlignment="1">
      <alignment horizontal="center" vertical="center"/>
    </xf>
    <xf numFmtId="0" fontId="13" fillId="0" borderId="57" xfId="93" applyFont="1" applyBorder="1" applyAlignment="1">
      <alignment horizontal="center" vertical="center"/>
    </xf>
    <xf numFmtId="0" fontId="13" fillId="0" borderId="119" xfId="93" applyFont="1" applyBorder="1" applyAlignment="1">
      <alignment horizontal="distributed" vertical="center" justifyLastLine="1"/>
    </xf>
    <xf numFmtId="0" fontId="13" fillId="0" borderId="101" xfId="93" applyFont="1" applyBorder="1" applyAlignment="1">
      <alignment horizontal="distributed" vertical="center" justifyLastLine="1"/>
    </xf>
    <xf numFmtId="0" fontId="13" fillId="0" borderId="67" xfId="93" applyFont="1" applyBorder="1" applyAlignment="1">
      <alignment horizontal="distributed" vertical="center" justifyLastLine="1"/>
    </xf>
    <xf numFmtId="0" fontId="13" fillId="0" borderId="145" xfId="93" applyFont="1" applyBorder="1" applyAlignment="1">
      <alignment horizontal="distributed" vertical="center" justifyLastLine="1"/>
    </xf>
    <xf numFmtId="0" fontId="12" fillId="0" borderId="115" xfId="93" applyBorder="1" applyAlignment="1">
      <alignment horizontal="center" vertical="center" wrapText="1"/>
    </xf>
    <xf numFmtId="0" fontId="12" fillId="0" borderId="140" xfId="93" applyBorder="1" applyAlignment="1">
      <alignment horizontal="center" vertical="center" wrapText="1"/>
    </xf>
    <xf numFmtId="1" fontId="33" fillId="0" borderId="169" xfId="93" applyNumberFormat="1" applyFont="1" applyBorder="1" applyAlignment="1">
      <alignment horizontal="center" vertical="center" shrinkToFit="1"/>
    </xf>
    <xf numFmtId="1" fontId="33" fillId="0" borderId="17" xfId="93" applyNumberFormat="1" applyFont="1" applyBorder="1" applyAlignment="1">
      <alignment horizontal="center" vertical="center" shrinkToFit="1"/>
    </xf>
    <xf numFmtId="1" fontId="33" fillId="0" borderId="46" xfId="93" applyNumberFormat="1" applyFont="1" applyBorder="1" applyAlignment="1">
      <alignment horizontal="center" vertical="center" shrinkToFit="1"/>
    </xf>
    <xf numFmtId="1" fontId="13" fillId="5" borderId="59" xfId="93" applyNumberFormat="1" applyFont="1" applyFill="1" applyBorder="1" applyAlignment="1">
      <alignment horizontal="center" vertical="center" shrinkToFit="1"/>
    </xf>
    <xf numFmtId="1" fontId="13" fillId="5" borderId="74" xfId="93" applyNumberFormat="1" applyFont="1" applyFill="1" applyBorder="1" applyAlignment="1">
      <alignment horizontal="center" vertical="center" shrinkToFit="1"/>
    </xf>
    <xf numFmtId="0" fontId="13" fillId="5" borderId="17" xfId="93" applyFont="1" applyFill="1" applyBorder="1" applyAlignment="1">
      <alignment horizontal="center" vertical="center" shrinkToFit="1"/>
    </xf>
    <xf numFmtId="0" fontId="13" fillId="5" borderId="46" xfId="93" applyFont="1" applyFill="1" applyBorder="1" applyAlignment="1">
      <alignment horizontal="center" vertical="center" shrinkToFit="1"/>
    </xf>
    <xf numFmtId="0" fontId="12" fillId="0" borderId="137" xfId="93" applyBorder="1" applyAlignment="1">
      <alignment horizontal="center" vertical="center" shrinkToFit="1"/>
    </xf>
    <xf numFmtId="0" fontId="12" fillId="0" borderId="138" xfId="93" applyBorder="1" applyAlignment="1">
      <alignment horizontal="center" vertical="center" shrinkToFit="1"/>
    </xf>
    <xf numFmtId="0" fontId="12" fillId="0" borderId="137" xfId="93" applyBorder="1" applyAlignment="1">
      <alignment horizontal="distributed" vertical="center" wrapText="1" justifyLastLine="1" shrinkToFit="1"/>
    </xf>
    <xf numFmtId="0" fontId="13" fillId="0" borderId="183" xfId="93" applyFont="1" applyBorder="1" applyAlignment="1">
      <alignment horizontal="distributed" vertical="center" justifyLastLine="1"/>
    </xf>
    <xf numFmtId="0" fontId="13" fillId="0" borderId="188" xfId="93" applyFont="1" applyBorder="1" applyAlignment="1">
      <alignment horizontal="distributed" vertical="center" justifyLastLine="1"/>
    </xf>
    <xf numFmtId="0" fontId="13" fillId="0" borderId="189" xfId="93" applyFont="1" applyBorder="1" applyAlignment="1">
      <alignment horizontal="distributed" vertical="center" justifyLastLine="1"/>
    </xf>
    <xf numFmtId="0" fontId="13" fillId="0" borderId="137" xfId="93" applyFont="1" applyBorder="1" applyAlignment="1">
      <alignment horizontal="distributed" vertical="center" justifyLastLine="1"/>
    </xf>
    <xf numFmtId="0" fontId="13" fillId="0" borderId="137" xfId="96" applyFont="1" applyBorder="1" applyAlignment="1">
      <alignment horizontal="distributed" vertical="center" justifyLastLine="1" shrinkToFit="1"/>
    </xf>
    <xf numFmtId="1" fontId="13" fillId="5" borderId="39" xfId="93" applyNumberFormat="1" applyFont="1" applyFill="1" applyBorder="1" applyAlignment="1">
      <alignment horizontal="center" vertical="center" shrinkToFit="1"/>
    </xf>
    <xf numFmtId="1" fontId="13" fillId="5" borderId="66" xfId="93" applyNumberFormat="1" applyFont="1" applyFill="1" applyBorder="1" applyAlignment="1">
      <alignment horizontal="center" vertical="center" shrinkToFit="1"/>
    </xf>
    <xf numFmtId="181" fontId="33" fillId="0" borderId="21" xfId="93" applyNumberFormat="1" applyFont="1" applyBorder="1" applyAlignment="1">
      <alignment horizontal="right" vertical="center" shrinkToFit="1"/>
    </xf>
    <xf numFmtId="181" fontId="33" fillId="0" borderId="17" xfId="93" applyNumberFormat="1" applyFont="1" applyBorder="1" applyAlignment="1">
      <alignment horizontal="right" vertical="center" shrinkToFit="1"/>
    </xf>
    <xf numFmtId="181" fontId="33" fillId="0" borderId="46" xfId="93" applyNumberFormat="1" applyFont="1" applyBorder="1" applyAlignment="1">
      <alignment horizontal="right" vertical="center" shrinkToFit="1"/>
    </xf>
    <xf numFmtId="182" fontId="33" fillId="0" borderId="21" xfId="93" applyNumberFormat="1" applyFont="1" applyBorder="1" applyAlignment="1">
      <alignment horizontal="right" vertical="center" shrinkToFit="1"/>
    </xf>
    <xf numFmtId="182" fontId="33" fillId="0" borderId="17" xfId="93" applyNumberFormat="1" applyFont="1" applyBorder="1" applyAlignment="1">
      <alignment horizontal="right" vertical="center" shrinkToFit="1"/>
    </xf>
    <xf numFmtId="182" fontId="33" fillId="0" borderId="46" xfId="93" applyNumberFormat="1" applyFont="1" applyBorder="1" applyAlignment="1">
      <alignment horizontal="right" vertical="center" shrinkToFit="1"/>
    </xf>
    <xf numFmtId="0" fontId="13" fillId="0" borderId="11" xfId="97" applyFont="1" applyBorder="1" applyAlignment="1">
      <alignment horizontal="left" vertical="center"/>
    </xf>
    <xf numFmtId="0" fontId="13" fillId="0" borderId="10" xfId="93" applyFont="1" applyBorder="1" applyAlignment="1">
      <alignment horizontal="center" vertical="center"/>
    </xf>
    <xf numFmtId="0" fontId="13" fillId="0" borderId="187" xfId="93" applyFont="1" applyBorder="1" applyAlignment="1">
      <alignment horizontal="distributed" vertical="center" justifyLastLine="1"/>
    </xf>
    <xf numFmtId="0" fontId="13" fillId="0" borderId="183" xfId="93" applyFont="1" applyBorder="1" applyAlignment="1">
      <alignment horizontal="distributed" vertical="center"/>
    </xf>
    <xf numFmtId="0" fontId="13" fillId="0" borderId="188" xfId="93" applyFont="1" applyBorder="1" applyAlignment="1">
      <alignment horizontal="distributed" vertical="center"/>
    </xf>
    <xf numFmtId="0" fontId="13" fillId="0" borderId="189" xfId="93" applyFont="1" applyBorder="1" applyAlignment="1">
      <alignment horizontal="distributed" vertical="center"/>
    </xf>
    <xf numFmtId="0" fontId="13" fillId="0" borderId="11" xfId="97" applyFont="1" applyBorder="1" applyAlignment="1">
      <alignment horizontal="center" vertical="center"/>
    </xf>
    <xf numFmtId="0" fontId="32" fillId="0" borderId="51" xfId="94" applyFont="1" applyBorder="1" applyAlignment="1" applyProtection="1">
      <alignment horizontal="left" vertical="center" shrinkToFit="1"/>
      <protection locked="0"/>
    </xf>
    <xf numFmtId="0" fontId="32" fillId="0" borderId="50" xfId="94" applyFont="1" applyBorder="1" applyAlignment="1" applyProtection="1">
      <alignment horizontal="left" vertical="center" shrinkToFit="1"/>
      <protection locked="0"/>
    </xf>
    <xf numFmtId="0" fontId="32" fillId="0" borderId="60" xfId="94" applyFont="1" applyBorder="1" applyAlignment="1" applyProtection="1">
      <alignment horizontal="left" vertical="center" shrinkToFit="1"/>
      <protection locked="0"/>
    </xf>
    <xf numFmtId="49" fontId="13" fillId="0" borderId="82" xfId="94" applyNumberFormat="1" applyFont="1" applyBorder="1" applyAlignment="1" applyProtection="1">
      <alignment horizontal="left" vertical="center" shrinkToFit="1"/>
      <protection locked="0"/>
    </xf>
    <xf numFmtId="49" fontId="13" fillId="0" borderId="31" xfId="94" applyNumberFormat="1" applyFont="1" applyBorder="1" applyAlignment="1" applyProtection="1">
      <alignment horizontal="left" vertical="center" shrinkToFit="1"/>
      <protection locked="0"/>
    </xf>
    <xf numFmtId="49" fontId="13" fillId="0" borderId="77" xfId="94" applyNumberFormat="1" applyFont="1" applyBorder="1" applyAlignment="1" applyProtection="1">
      <alignment horizontal="left" vertical="center" shrinkToFit="1"/>
      <protection locked="0"/>
    </xf>
    <xf numFmtId="49" fontId="33" fillId="0" borderId="48" xfId="94" applyNumberFormat="1" applyFont="1" applyBorder="1" applyAlignment="1" applyProtection="1">
      <alignment horizontal="right" vertical="center" shrinkToFit="1"/>
      <protection locked="0"/>
    </xf>
    <xf numFmtId="49" fontId="33" fillId="0" borderId="31" xfId="94" applyNumberFormat="1" applyFont="1" applyBorder="1" applyAlignment="1" applyProtection="1">
      <alignment horizontal="right" vertical="center" shrinkToFit="1"/>
      <protection locked="0"/>
    </xf>
    <xf numFmtId="49" fontId="33" fillId="0" borderId="154" xfId="94" applyNumberFormat="1" applyFont="1" applyBorder="1" applyAlignment="1" applyProtection="1">
      <alignment horizontal="right" vertical="center" shrinkToFit="1"/>
      <protection locked="0"/>
    </xf>
    <xf numFmtId="49" fontId="13" fillId="0" borderId="58" xfId="94" applyNumberFormat="1" applyFont="1" applyBorder="1" applyAlignment="1" applyProtection="1">
      <alignment horizontal="left" vertical="center" shrinkToFit="1"/>
      <protection locked="0"/>
    </xf>
    <xf numFmtId="49" fontId="13" fillId="0" borderId="27" xfId="94" applyNumberFormat="1" applyFont="1" applyBorder="1" applyAlignment="1" applyProtection="1">
      <alignment horizontal="left" vertical="center" shrinkToFit="1"/>
      <protection locked="0"/>
    </xf>
    <xf numFmtId="49" fontId="13" fillId="0" borderId="61" xfId="94" applyNumberFormat="1" applyFont="1" applyBorder="1" applyAlignment="1" applyProtection="1">
      <alignment horizontal="left" vertical="center" shrinkToFit="1"/>
      <protection locked="0"/>
    </xf>
    <xf numFmtId="49" fontId="33" fillId="0" borderId="62" xfId="94" applyNumberFormat="1" applyFont="1" applyBorder="1" applyAlignment="1" applyProtection="1">
      <alignment horizontal="right" vertical="center" shrinkToFit="1"/>
      <protection locked="0"/>
    </xf>
    <xf numFmtId="49" fontId="33" fillId="0" borderId="27" xfId="94" applyNumberFormat="1" applyFont="1" applyBorder="1" applyAlignment="1" applyProtection="1">
      <alignment horizontal="right" vertical="center" shrinkToFit="1"/>
      <protection locked="0"/>
    </xf>
    <xf numFmtId="49" fontId="33" fillId="0" borderId="57" xfId="94" applyNumberFormat="1" applyFont="1" applyBorder="1" applyAlignment="1" applyProtection="1">
      <alignment horizontal="right" vertical="center" shrinkToFit="1"/>
      <protection locked="0"/>
    </xf>
    <xf numFmtId="0" fontId="32" fillId="0" borderId="51" xfId="93" applyFont="1" applyBorder="1" applyAlignment="1">
      <alignment vertical="center"/>
    </xf>
    <xf numFmtId="0" fontId="32" fillId="0" borderId="50" xfId="93" applyFont="1" applyBorder="1" applyAlignment="1">
      <alignment vertical="center"/>
    </xf>
    <xf numFmtId="0" fontId="32" fillId="0" borderId="60" xfId="93" applyFont="1" applyBorder="1" applyAlignment="1">
      <alignment vertical="center"/>
    </xf>
    <xf numFmtId="0" fontId="12" fillId="0" borderId="93" xfId="93" applyBorder="1" applyAlignment="1">
      <alignment vertical="center"/>
    </xf>
    <xf numFmtId="0" fontId="12" fillId="0" borderId="92" xfId="93" applyBorder="1" applyAlignment="1">
      <alignment vertical="center"/>
    </xf>
    <xf numFmtId="0" fontId="13" fillId="0" borderId="127" xfId="93" applyFont="1" applyBorder="1" applyAlignment="1">
      <alignment horizontal="center" vertical="center"/>
    </xf>
    <xf numFmtId="0" fontId="13" fillId="0" borderId="122" xfId="93" applyFont="1" applyBorder="1" applyAlignment="1">
      <alignment horizontal="center" vertical="center"/>
    </xf>
    <xf numFmtId="0" fontId="13" fillId="0" borderId="177" xfId="93" applyFont="1" applyBorder="1" applyAlignment="1">
      <alignment horizontal="center" vertical="center"/>
    </xf>
    <xf numFmtId="0" fontId="13" fillId="0" borderId="44" xfId="93" applyFont="1" applyBorder="1" applyAlignment="1">
      <alignment horizontal="center" vertical="distributed" textRotation="255" justifyLastLine="1"/>
    </xf>
    <xf numFmtId="0" fontId="13" fillId="0" borderId="190" xfId="93" applyFont="1" applyBorder="1" applyAlignment="1">
      <alignment horizontal="center" vertical="distributed" textRotation="255" justifyLastLine="1"/>
    </xf>
    <xf numFmtId="0" fontId="13" fillId="0" borderId="43" xfId="93" applyFont="1" applyBorder="1" applyAlignment="1">
      <alignment horizontal="center" vertical="distributed" textRotation="255" justifyLastLine="1"/>
    </xf>
    <xf numFmtId="0" fontId="13" fillId="0" borderId="68" xfId="93" applyFont="1" applyBorder="1" applyAlignment="1">
      <alignment horizontal="center" vertical="distributed" textRotation="255" justifyLastLine="1"/>
    </xf>
    <xf numFmtId="0" fontId="13" fillId="0" borderId="82" xfId="93" applyFont="1" applyBorder="1" applyAlignment="1">
      <alignment horizontal="center" vertical="distributed" textRotation="255" justifyLastLine="1"/>
    </xf>
    <xf numFmtId="0" fontId="13" fillId="0" borderId="77" xfId="93" applyFont="1" applyBorder="1" applyAlignment="1">
      <alignment horizontal="center" vertical="distributed" textRotation="255" justifyLastLine="1"/>
    </xf>
    <xf numFmtId="0" fontId="13" fillId="0" borderId="103" xfId="93" applyFont="1" applyBorder="1" applyAlignment="1">
      <alignment horizontal="distributed" vertical="center"/>
    </xf>
    <xf numFmtId="0" fontId="13" fillId="0" borderId="62" xfId="93" applyFont="1" applyBorder="1" applyAlignment="1">
      <alignment horizontal="distributed" vertical="center"/>
    </xf>
    <xf numFmtId="49" fontId="33" fillId="0" borderId="191" xfId="94" applyNumberFormat="1" applyFont="1" applyBorder="1" applyAlignment="1">
      <alignment horizontal="right" vertical="center" shrinkToFit="1"/>
    </xf>
    <xf numFmtId="49" fontId="33" fillId="0" borderId="28" xfId="94" applyNumberFormat="1" applyFont="1" applyBorder="1" applyAlignment="1">
      <alignment horizontal="right" vertical="center" shrinkToFit="1"/>
    </xf>
    <xf numFmtId="49" fontId="33" fillId="0" borderId="192" xfId="94" applyNumberFormat="1" applyFont="1" applyBorder="1" applyAlignment="1">
      <alignment horizontal="right" vertical="center" shrinkToFit="1"/>
    </xf>
    <xf numFmtId="49" fontId="33" fillId="0" borderId="61" xfId="94" applyNumberFormat="1" applyFont="1" applyBorder="1" applyAlignment="1" applyProtection="1">
      <alignment horizontal="right" vertical="center" shrinkToFit="1"/>
      <protection locked="0"/>
    </xf>
    <xf numFmtId="49" fontId="33" fillId="6" borderId="62" xfId="94" applyNumberFormat="1" applyFont="1" applyFill="1" applyBorder="1" applyAlignment="1">
      <alignment horizontal="right" vertical="center" shrinkToFit="1"/>
    </xf>
    <xf numFmtId="49" fontId="33" fillId="6" borderId="27" xfId="94" applyNumberFormat="1" applyFont="1" applyFill="1" applyBorder="1" applyAlignment="1">
      <alignment horizontal="right" vertical="center" shrinkToFit="1"/>
    </xf>
    <xf numFmtId="49" fontId="33" fillId="6" borderId="57" xfId="94" applyNumberFormat="1" applyFont="1" applyFill="1" applyBorder="1" applyAlignment="1">
      <alignment horizontal="right" vertical="center" shrinkToFit="1"/>
    </xf>
    <xf numFmtId="0" fontId="13" fillId="0" borderId="115" xfId="93" applyFont="1" applyBorder="1" applyAlignment="1">
      <alignment horizontal="distributed" vertical="center"/>
    </xf>
    <xf numFmtId="0" fontId="13" fillId="0" borderId="21" xfId="93" applyFont="1" applyBorder="1" applyAlignment="1">
      <alignment horizontal="distributed" vertical="center"/>
    </xf>
    <xf numFmtId="49" fontId="33" fillId="0" borderId="162" xfId="94" applyNumberFormat="1" applyFont="1" applyBorder="1" applyAlignment="1">
      <alignment horizontal="right" vertical="center" shrinkToFit="1"/>
    </xf>
    <xf numFmtId="49" fontId="33" fillId="0" borderId="181" xfId="94" applyNumberFormat="1" applyFont="1" applyBorder="1" applyAlignment="1">
      <alignment horizontal="right" vertical="center" shrinkToFit="1"/>
    </xf>
    <xf numFmtId="49" fontId="33" fillId="0" borderId="46" xfId="94" applyNumberFormat="1" applyFont="1" applyBorder="1" applyAlignment="1" applyProtection="1">
      <alignment horizontal="right" vertical="center" shrinkToFit="1"/>
      <protection locked="0"/>
    </xf>
    <xf numFmtId="49" fontId="33" fillId="6" borderId="21" xfId="94" applyNumberFormat="1" applyFont="1" applyFill="1" applyBorder="1" applyAlignment="1">
      <alignment horizontal="right" vertical="center" shrinkToFit="1"/>
    </xf>
    <xf numFmtId="49" fontId="33" fillId="6" borderId="17" xfId="94" applyNumberFormat="1" applyFont="1" applyFill="1" applyBorder="1" applyAlignment="1">
      <alignment horizontal="right" vertical="center" shrinkToFit="1"/>
    </xf>
    <xf numFmtId="49" fontId="33" fillId="6" borderId="18" xfId="94" applyNumberFormat="1" applyFont="1" applyFill="1" applyBorder="1" applyAlignment="1">
      <alignment horizontal="right" vertical="center" shrinkToFit="1"/>
    </xf>
    <xf numFmtId="0" fontId="13" fillId="0" borderId="95" xfId="93" applyFont="1" applyBorder="1" applyAlignment="1">
      <alignment horizontal="center" vertical="distributed" textRotation="255" justifyLastLine="1"/>
    </xf>
    <xf numFmtId="0" fontId="13" fillId="0" borderId="74" xfId="93" applyFont="1" applyBorder="1" applyAlignment="1">
      <alignment horizontal="center" vertical="distributed" textRotation="255" justifyLastLine="1"/>
    </xf>
    <xf numFmtId="0" fontId="13" fillId="0" borderId="75" xfId="93" applyFont="1" applyBorder="1" applyAlignment="1">
      <alignment horizontal="distributed" vertical="center" wrapText="1" shrinkToFit="1"/>
    </xf>
    <xf numFmtId="0" fontId="13" fillId="0" borderId="59" xfId="93" applyFont="1" applyBorder="1" applyAlignment="1">
      <alignment horizontal="distributed" vertical="center" wrapText="1" shrinkToFit="1"/>
    </xf>
    <xf numFmtId="0" fontId="13" fillId="0" borderId="74" xfId="93" applyFont="1" applyBorder="1" applyAlignment="1">
      <alignment horizontal="distributed" vertical="center" wrapText="1" shrinkToFit="1"/>
    </xf>
    <xf numFmtId="0" fontId="13" fillId="0" borderId="76" xfId="93" applyFont="1" applyBorder="1" applyAlignment="1">
      <alignment horizontal="distributed" vertical="center" wrapText="1" shrinkToFit="1"/>
    </xf>
    <xf numFmtId="0" fontId="13" fillId="0" borderId="0" xfId="93" applyFont="1" applyAlignment="1">
      <alignment horizontal="distributed" vertical="center" wrapText="1" shrinkToFit="1"/>
    </xf>
    <xf numFmtId="0" fontId="13" fillId="0" borderId="68" xfId="93" applyFont="1" applyBorder="1" applyAlignment="1">
      <alignment horizontal="distributed" vertical="center" wrapText="1" shrinkToFit="1"/>
    </xf>
    <xf numFmtId="0" fontId="13" fillId="0" borderId="48" xfId="93" applyFont="1" applyBorder="1" applyAlignment="1">
      <alignment horizontal="distributed" vertical="center" wrapText="1" shrinkToFit="1"/>
    </xf>
    <xf numFmtId="0" fontId="13" fillId="0" borderId="31" xfId="93" applyFont="1" applyBorder="1" applyAlignment="1">
      <alignment horizontal="distributed" vertical="center" wrapText="1" shrinkToFit="1"/>
    </xf>
    <xf numFmtId="0" fontId="13" fillId="0" borderId="77" xfId="93" applyFont="1" applyBorder="1" applyAlignment="1">
      <alignment horizontal="distributed" vertical="center" wrapText="1" shrinkToFit="1"/>
    </xf>
    <xf numFmtId="0" fontId="13" fillId="0" borderId="104" xfId="93" applyFont="1" applyBorder="1" applyAlignment="1">
      <alignment horizontal="distributed" vertical="center"/>
    </xf>
    <xf numFmtId="0" fontId="13" fillId="0" borderId="37" xfId="93" applyFont="1" applyBorder="1" applyAlignment="1">
      <alignment horizontal="distributed" vertical="center" wrapText="1"/>
    </xf>
  </cellXfs>
  <cellStyles count="98">
    <cellStyle name="Normal 2" xfId="22" xr:uid="{00000000-0005-0000-0000-000000000000}"/>
    <cellStyle name="Normal 4" xfId="94" xr:uid="{00000000-0005-0000-0000-000001000000}"/>
    <cellStyle name="Normal 7" xfId="87" xr:uid="{00000000-0005-0000-0000-000002000000}"/>
    <cellStyle name="Normal 9" xfId="95" xr:uid="{00000000-0005-0000-0000-000003000000}"/>
    <cellStyle name="Percent 2" xfId="88" xr:uid="{00000000-0005-0000-0000-000004000000}"/>
    <cellStyle name="スタイル 1" xfId="8" xr:uid="{00000000-0005-0000-0000-000005000000}"/>
    <cellStyle name="パーセント 2" xfId="9" xr:uid="{00000000-0005-0000-0000-000006000000}"/>
    <cellStyle name="パーセント 3" xfId="20" xr:uid="{00000000-0005-0000-0000-000007000000}"/>
    <cellStyle name="桁区切り 2" xfId="17" xr:uid="{00000000-0005-0000-0000-000008000000}"/>
    <cellStyle name="常规_Sheet1" xfId="10" xr:uid="{00000000-0005-0000-0000-000009000000}"/>
    <cellStyle name="標準" xfId="0" builtinId="0"/>
    <cellStyle name="標準 10" xfId="23" xr:uid="{00000000-0005-0000-0000-00000B000000}"/>
    <cellStyle name="標準 10 2" xfId="4" xr:uid="{00000000-0005-0000-0000-00000C000000}"/>
    <cellStyle name="標準 11" xfId="24" xr:uid="{00000000-0005-0000-0000-00000D000000}"/>
    <cellStyle name="標準 11 2" xfId="25" xr:uid="{00000000-0005-0000-0000-00000E000000}"/>
    <cellStyle name="標準 12" xfId="26" xr:uid="{00000000-0005-0000-0000-00000F000000}"/>
    <cellStyle name="標準 12 2" xfId="27" xr:uid="{00000000-0005-0000-0000-000010000000}"/>
    <cellStyle name="標準 13" xfId="28" xr:uid="{00000000-0005-0000-0000-000011000000}"/>
    <cellStyle name="標準 13 2" xfId="29" xr:uid="{00000000-0005-0000-0000-000012000000}"/>
    <cellStyle name="標準 14" xfId="30" xr:uid="{00000000-0005-0000-0000-000013000000}"/>
    <cellStyle name="標準 14 2" xfId="31" xr:uid="{00000000-0005-0000-0000-000014000000}"/>
    <cellStyle name="標準 15" xfId="32" xr:uid="{00000000-0005-0000-0000-000015000000}"/>
    <cellStyle name="標準 15 2" xfId="33" xr:uid="{00000000-0005-0000-0000-000016000000}"/>
    <cellStyle name="標準 16" xfId="34" xr:uid="{00000000-0005-0000-0000-000017000000}"/>
    <cellStyle name="標準 16 2" xfId="35" xr:uid="{00000000-0005-0000-0000-000018000000}"/>
    <cellStyle name="標準 17" xfId="36" xr:uid="{00000000-0005-0000-0000-000019000000}"/>
    <cellStyle name="標準 18" xfId="37" xr:uid="{00000000-0005-0000-0000-00001A000000}"/>
    <cellStyle name="標準 19" xfId="38" xr:uid="{00000000-0005-0000-0000-00001B000000}"/>
    <cellStyle name="標準 2" xfId="1" xr:uid="{00000000-0005-0000-0000-00001C000000}"/>
    <cellStyle name="標準 2 2" xfId="2" xr:uid="{00000000-0005-0000-0000-00001D000000}"/>
    <cellStyle name="標準 2 2 2" xfId="13" xr:uid="{00000000-0005-0000-0000-00001E000000}"/>
    <cellStyle name="標準 2 2 3" xfId="85" xr:uid="{00000000-0005-0000-0000-00001F000000}"/>
    <cellStyle name="標準 2 3" xfId="6" xr:uid="{00000000-0005-0000-0000-000020000000}"/>
    <cellStyle name="標準 2 3 2" xfId="16" xr:uid="{00000000-0005-0000-0000-000021000000}"/>
    <cellStyle name="標準 2 4" xfId="19" xr:uid="{00000000-0005-0000-0000-000022000000}"/>
    <cellStyle name="標準 2 4 2" xfId="91" xr:uid="{00000000-0005-0000-0000-000023000000}"/>
    <cellStyle name="標準 2 5" xfId="89" xr:uid="{00000000-0005-0000-0000-000024000000}"/>
    <cellStyle name="標準 20" xfId="39" xr:uid="{00000000-0005-0000-0000-000025000000}"/>
    <cellStyle name="標準 21" xfId="40" xr:uid="{00000000-0005-0000-0000-000026000000}"/>
    <cellStyle name="標準 22" xfId="41" xr:uid="{00000000-0005-0000-0000-000027000000}"/>
    <cellStyle name="標準 23" xfId="42" xr:uid="{00000000-0005-0000-0000-000028000000}"/>
    <cellStyle name="標準 24" xfId="43" xr:uid="{00000000-0005-0000-0000-000029000000}"/>
    <cellStyle name="標準 25" xfId="44" xr:uid="{00000000-0005-0000-0000-00002A000000}"/>
    <cellStyle name="標準 26" xfId="45" xr:uid="{00000000-0005-0000-0000-00002B000000}"/>
    <cellStyle name="標準 27" xfId="46" xr:uid="{00000000-0005-0000-0000-00002C000000}"/>
    <cellStyle name="標準 28" xfId="47" xr:uid="{00000000-0005-0000-0000-00002D000000}"/>
    <cellStyle name="標準 29" xfId="48" xr:uid="{00000000-0005-0000-0000-00002E000000}"/>
    <cellStyle name="標準 3" xfId="5" xr:uid="{00000000-0005-0000-0000-00002F000000}"/>
    <cellStyle name="標準 3 2" xfId="7" xr:uid="{00000000-0005-0000-0000-000030000000}"/>
    <cellStyle name="標準 3 2 2" xfId="92" xr:uid="{00000000-0005-0000-0000-000031000000}"/>
    <cellStyle name="標準 3 3" xfId="3" xr:uid="{00000000-0005-0000-0000-000032000000}"/>
    <cellStyle name="標準 30" xfId="49" xr:uid="{00000000-0005-0000-0000-000033000000}"/>
    <cellStyle name="標準 31" xfId="50" xr:uid="{00000000-0005-0000-0000-000034000000}"/>
    <cellStyle name="標準 32" xfId="51" xr:uid="{00000000-0005-0000-0000-000035000000}"/>
    <cellStyle name="標準 33" xfId="52" xr:uid="{00000000-0005-0000-0000-000036000000}"/>
    <cellStyle name="標準 34" xfId="53" xr:uid="{00000000-0005-0000-0000-000037000000}"/>
    <cellStyle name="標準 35" xfId="54" xr:uid="{00000000-0005-0000-0000-000038000000}"/>
    <cellStyle name="標準 36" xfId="55" xr:uid="{00000000-0005-0000-0000-000039000000}"/>
    <cellStyle name="標準 37" xfId="56" xr:uid="{00000000-0005-0000-0000-00003A000000}"/>
    <cellStyle name="標準 38" xfId="57" xr:uid="{00000000-0005-0000-0000-00003B000000}"/>
    <cellStyle name="標準 39" xfId="58" xr:uid="{00000000-0005-0000-0000-00003C000000}"/>
    <cellStyle name="標準 4" xfId="11" xr:uid="{00000000-0005-0000-0000-00003D000000}"/>
    <cellStyle name="標準 4 2" xfId="18" xr:uid="{00000000-0005-0000-0000-00003E000000}"/>
    <cellStyle name="標準 40" xfId="59" xr:uid="{00000000-0005-0000-0000-00003F000000}"/>
    <cellStyle name="標準 41" xfId="60" xr:uid="{00000000-0005-0000-0000-000040000000}"/>
    <cellStyle name="標準 42" xfId="61" xr:uid="{00000000-0005-0000-0000-000041000000}"/>
    <cellStyle name="標準 43" xfId="62" xr:uid="{00000000-0005-0000-0000-000042000000}"/>
    <cellStyle name="標準 44" xfId="63" xr:uid="{00000000-0005-0000-0000-000043000000}"/>
    <cellStyle name="標準 45" xfId="64" xr:uid="{00000000-0005-0000-0000-000044000000}"/>
    <cellStyle name="標準 46" xfId="65" xr:uid="{00000000-0005-0000-0000-000045000000}"/>
    <cellStyle name="標準 47" xfId="66" xr:uid="{00000000-0005-0000-0000-000046000000}"/>
    <cellStyle name="標準 48" xfId="67" xr:uid="{00000000-0005-0000-0000-000047000000}"/>
    <cellStyle name="標準 49" xfId="68" xr:uid="{00000000-0005-0000-0000-000048000000}"/>
    <cellStyle name="標準 5" xfId="12" xr:uid="{00000000-0005-0000-0000-000049000000}"/>
    <cellStyle name="標準 50" xfId="69" xr:uid="{00000000-0005-0000-0000-00004A000000}"/>
    <cellStyle name="標準 51" xfId="70" xr:uid="{00000000-0005-0000-0000-00004B000000}"/>
    <cellStyle name="標準 52" xfId="71" xr:uid="{00000000-0005-0000-0000-00004C000000}"/>
    <cellStyle name="標準 53" xfId="72" xr:uid="{00000000-0005-0000-0000-00004D000000}"/>
    <cellStyle name="標準 54" xfId="73" xr:uid="{00000000-0005-0000-0000-00004E000000}"/>
    <cellStyle name="標準 55" xfId="74" xr:uid="{00000000-0005-0000-0000-00004F000000}"/>
    <cellStyle name="標準 56" xfId="75" xr:uid="{00000000-0005-0000-0000-000050000000}"/>
    <cellStyle name="標準 57" xfId="76" xr:uid="{00000000-0005-0000-0000-000051000000}"/>
    <cellStyle name="標準 58" xfId="77" xr:uid="{00000000-0005-0000-0000-000052000000}"/>
    <cellStyle name="標準 59" xfId="78" xr:uid="{00000000-0005-0000-0000-000053000000}"/>
    <cellStyle name="標準 6" xfId="15" xr:uid="{00000000-0005-0000-0000-000054000000}"/>
    <cellStyle name="標準 6 2" xfId="90" xr:uid="{00000000-0005-0000-0000-000055000000}"/>
    <cellStyle name="標準 60" xfId="79" xr:uid="{00000000-0005-0000-0000-000056000000}"/>
    <cellStyle name="標準 61" xfId="80" xr:uid="{00000000-0005-0000-0000-000057000000}"/>
    <cellStyle name="標準 62" xfId="86" xr:uid="{00000000-0005-0000-0000-000058000000}"/>
    <cellStyle name="標準 63" xfId="14" xr:uid="{00000000-0005-0000-0000-000059000000}"/>
    <cellStyle name="標準 7" xfId="21" xr:uid="{00000000-0005-0000-0000-00005A000000}"/>
    <cellStyle name="標準 7 2" xfId="81" xr:uid="{00000000-0005-0000-0000-00005B000000}"/>
    <cellStyle name="標準 8" xfId="82" xr:uid="{00000000-0005-0000-0000-00005C000000}"/>
    <cellStyle name="標準 8 2" xfId="83" xr:uid="{00000000-0005-0000-0000-00005D000000}"/>
    <cellStyle name="標準 9" xfId="84" xr:uid="{00000000-0005-0000-0000-00005E000000}"/>
    <cellStyle name="標準_BDA1S0T05201" xfId="93" xr:uid="{00000000-0005-0000-0000-00005F000000}"/>
    <cellStyle name="標準_BDA1S0T06201" xfId="96" xr:uid="{00000000-0005-0000-0000-000060000000}"/>
    <cellStyle name="標準_BDA1S0T07201" xfId="97" xr:uid="{00000000-0005-0000-0000-000061000000}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2"/>
  <sheetViews>
    <sheetView showGridLines="0" tabSelected="1" view="pageBreakPreview" zoomScale="130" zoomScaleNormal="100" zoomScaleSheetLayoutView="130" zoomScalePageLayoutView="55" workbookViewId="0"/>
  </sheetViews>
  <sheetFormatPr defaultColWidth="8" defaultRowHeight="12"/>
  <cols>
    <col min="1" max="1" width="2.625" style="5" customWidth="1"/>
    <col min="2" max="61" width="1.625" style="5" customWidth="1"/>
    <col min="62" max="62" width="1.75" style="5" customWidth="1"/>
    <col min="63" max="85" width="1.625" style="5" customWidth="1"/>
    <col min="86" max="86" width="1" style="5" customWidth="1"/>
    <col min="87" max="87" width="2.875" style="5" customWidth="1"/>
    <col min="88" max="93" width="2.375" style="5" customWidth="1"/>
    <col min="94" max="16384" width="8" style="5"/>
  </cols>
  <sheetData>
    <row r="1" spans="1:93" ht="13.7" customHeight="1">
      <c r="A1" s="1"/>
      <c r="B1" s="2" t="str">
        <f>B5&amp;"年産　農業経営統計調査（米生産費統計（組織法人経営体））　集計結果表№１"</f>
        <v>年産　農業経営統計調査（米生産費統計（組織法人経営体））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N1" s="356"/>
      <c r="CO1" s="356"/>
    </row>
    <row r="2" spans="1:93" ht="9.75" customHeight="1" thickBot="1">
      <c r="A2" s="1"/>
      <c r="B2" s="372" t="s">
        <v>420</v>
      </c>
      <c r="C2" s="372"/>
      <c r="D2" s="372"/>
      <c r="E2" s="372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</row>
    <row r="3" spans="1:93" ht="9.75" customHeight="1" thickBot="1">
      <c r="B3" s="6" t="s">
        <v>247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57"/>
      <c r="U3" s="357"/>
      <c r="V3" s="357"/>
      <c r="W3" s="357"/>
      <c r="X3" s="357"/>
      <c r="Y3" s="35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93" ht="9.75" customHeight="1">
      <c r="A4" s="12">
        <v>1</v>
      </c>
      <c r="B4" s="358" t="s">
        <v>0</v>
      </c>
      <c r="C4" s="154"/>
      <c r="D4" s="154"/>
      <c r="E4" s="154"/>
      <c r="F4" s="154"/>
      <c r="G4" s="359"/>
      <c r="H4" s="360" t="s">
        <v>243</v>
      </c>
      <c r="I4" s="361"/>
      <c r="J4" s="361"/>
      <c r="K4" s="361"/>
      <c r="L4" s="361"/>
      <c r="M4" s="362"/>
      <c r="N4" s="153" t="s">
        <v>352</v>
      </c>
      <c r="O4" s="154"/>
      <c r="P4" s="154"/>
      <c r="Q4" s="154"/>
      <c r="R4" s="154"/>
      <c r="S4" s="154"/>
      <c r="T4" s="153" t="s">
        <v>83</v>
      </c>
      <c r="U4" s="154"/>
      <c r="V4" s="154"/>
      <c r="W4" s="154"/>
      <c r="X4" s="154"/>
      <c r="Y4" s="154"/>
      <c r="Z4" s="153" t="s">
        <v>353</v>
      </c>
      <c r="AA4" s="154"/>
      <c r="AB4" s="154"/>
      <c r="AC4" s="154"/>
      <c r="AD4" s="154"/>
      <c r="AE4" s="359"/>
      <c r="AF4" s="363" t="s">
        <v>279</v>
      </c>
      <c r="AG4" s="363"/>
      <c r="AH4" s="363"/>
      <c r="AI4" s="363"/>
      <c r="AJ4" s="363"/>
      <c r="AK4" s="363"/>
      <c r="AL4" s="153" t="s">
        <v>339</v>
      </c>
      <c r="AM4" s="154"/>
      <c r="AN4" s="154"/>
      <c r="AO4" s="154"/>
      <c r="AP4" s="154"/>
      <c r="AQ4" s="359"/>
      <c r="AR4" s="153" t="s">
        <v>244</v>
      </c>
      <c r="AS4" s="154"/>
      <c r="AT4" s="154"/>
      <c r="AU4" s="154"/>
      <c r="AV4" s="154"/>
      <c r="AW4" s="359"/>
      <c r="AX4" s="363" t="s">
        <v>354</v>
      </c>
      <c r="AY4" s="363"/>
      <c r="AZ4" s="363"/>
      <c r="BA4" s="363"/>
      <c r="BB4" s="363"/>
      <c r="BC4" s="363"/>
      <c r="BD4" s="397" t="s">
        <v>342</v>
      </c>
      <c r="BE4" s="397"/>
      <c r="BF4" s="397"/>
      <c r="BG4" s="397"/>
      <c r="BH4" s="397"/>
      <c r="BI4" s="397"/>
      <c r="BJ4" s="350"/>
      <c r="BK4" s="350"/>
      <c r="BL4" s="350"/>
      <c r="BM4" s="350"/>
      <c r="BN4" s="350"/>
      <c r="BO4" s="350"/>
      <c r="BP4" s="376"/>
      <c r="BQ4" s="376"/>
      <c r="BR4" s="376"/>
      <c r="BS4" s="376"/>
      <c r="BT4" s="376"/>
      <c r="BU4" s="376"/>
      <c r="BV4" s="363"/>
      <c r="BW4" s="363"/>
      <c r="BX4" s="363"/>
      <c r="BY4" s="363"/>
      <c r="BZ4" s="363"/>
      <c r="CA4" s="363"/>
      <c r="CB4" s="350"/>
      <c r="CC4" s="350"/>
      <c r="CD4" s="350"/>
      <c r="CE4" s="350"/>
      <c r="CF4" s="350"/>
      <c r="CG4" s="377"/>
    </row>
    <row r="5" spans="1:93" ht="9.75" customHeight="1" thickBot="1">
      <c r="A5" s="12">
        <v>2</v>
      </c>
      <c r="B5" s="385"/>
      <c r="C5" s="386"/>
      <c r="D5" s="386"/>
      <c r="E5" s="386"/>
      <c r="F5" s="386"/>
      <c r="G5" s="387"/>
      <c r="H5" s="13"/>
      <c r="I5" s="351" t="str">
        <f>IF(H5&lt;&gt;"",DGET(リスト!A2:B71,"都道府県番号",リスト!B73:B74),"")</f>
        <v/>
      </c>
      <c r="J5" s="351"/>
      <c r="K5" s="351"/>
      <c r="L5" s="351"/>
      <c r="M5" s="352"/>
      <c r="N5" s="14"/>
      <c r="O5" s="370" t="str">
        <f>IF(N5&gt;0,DGET(リスト!S2:T4,"経営種類",リスト!T6:T7),"")</f>
        <v/>
      </c>
      <c r="P5" s="370"/>
      <c r="Q5" s="370"/>
      <c r="R5" s="370"/>
      <c r="S5" s="371"/>
      <c r="T5" s="14"/>
      <c r="U5" s="370" t="str">
        <f>IF(N5&gt;0,DGET(リスト!D2:E3,"生産費区分",リスト!XDY15:XDY16),"")</f>
        <v/>
      </c>
      <c r="V5" s="370"/>
      <c r="W5" s="370"/>
      <c r="X5" s="370"/>
      <c r="Y5" s="371"/>
      <c r="Z5" s="15"/>
      <c r="AA5" s="351" t="str">
        <f>IF(Z5&lt;&gt;"",DGET(リスト!J3:K17,"規模階層",リスト!K19:K20),"")</f>
        <v/>
      </c>
      <c r="AB5" s="351"/>
      <c r="AC5" s="351"/>
      <c r="AD5" s="351"/>
      <c r="AE5" s="352"/>
      <c r="AF5" s="16"/>
      <c r="AG5" s="351" t="str">
        <f>IF(AF5&lt;&gt;"",DGET(リスト!M2:N7,"平均値種類",リスト!N9:N10),"")</f>
        <v/>
      </c>
      <c r="AH5" s="351"/>
      <c r="AI5" s="351"/>
      <c r="AJ5" s="351"/>
      <c r="AK5" s="352"/>
      <c r="AL5" s="364"/>
      <c r="AM5" s="365"/>
      <c r="AN5" s="365"/>
      <c r="AO5" s="365"/>
      <c r="AP5" s="365"/>
      <c r="AQ5" s="366"/>
      <c r="AR5" s="367"/>
      <c r="AS5" s="368"/>
      <c r="AT5" s="368"/>
      <c r="AU5" s="368"/>
      <c r="AV5" s="368"/>
      <c r="AW5" s="369"/>
      <c r="AX5" s="17"/>
      <c r="AY5" s="351" t="str">
        <f>IF(AX5&gt;0,DGET(リスト!P2:Q4,"加重・総和の別",リスト!Q6:Q7),"")</f>
        <v/>
      </c>
      <c r="AZ5" s="351"/>
      <c r="BA5" s="351"/>
      <c r="BB5" s="351"/>
      <c r="BC5" s="352"/>
      <c r="BD5" s="16"/>
      <c r="BE5" s="351" t="str">
        <f>IF(BD5&gt;0,DGET(リスト!G2:H7,"集計区分",リスト!H9:H10),"")</f>
        <v/>
      </c>
      <c r="BF5" s="351"/>
      <c r="BG5" s="351"/>
      <c r="BH5" s="351"/>
      <c r="BI5" s="352"/>
      <c r="BJ5" s="395"/>
      <c r="BK5" s="395"/>
      <c r="BL5" s="395"/>
      <c r="BM5" s="395"/>
      <c r="BN5" s="395"/>
      <c r="BO5" s="395"/>
      <c r="BP5" s="396"/>
      <c r="BQ5" s="396"/>
      <c r="BR5" s="396"/>
      <c r="BS5" s="396"/>
      <c r="BT5" s="396"/>
      <c r="BU5" s="396"/>
      <c r="BV5" s="384"/>
      <c r="BW5" s="384"/>
      <c r="BX5" s="384"/>
      <c r="BY5" s="384"/>
      <c r="BZ5" s="384"/>
      <c r="CA5" s="384"/>
      <c r="CB5" s="384"/>
      <c r="CC5" s="384"/>
      <c r="CD5" s="384"/>
      <c r="CE5" s="384"/>
      <c r="CF5" s="384"/>
      <c r="CG5" s="394"/>
    </row>
    <row r="6" spans="1:93" ht="9.75" customHeight="1">
      <c r="A6" s="12">
        <v>3</v>
      </c>
      <c r="B6" s="347" t="s">
        <v>359</v>
      </c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8"/>
      <c r="AK6" s="348"/>
      <c r="AL6" s="348"/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348"/>
      <c r="AY6" s="348"/>
      <c r="AZ6" s="348"/>
      <c r="BA6" s="348"/>
      <c r="BB6" s="348"/>
      <c r="BC6" s="348"/>
      <c r="BD6" s="18"/>
      <c r="BE6" s="8"/>
      <c r="BF6" s="8"/>
      <c r="BG6" s="8"/>
      <c r="BH6" s="8"/>
      <c r="BI6" s="8"/>
      <c r="BJ6" s="19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G6" s="21"/>
    </row>
    <row r="7" spans="1:93" ht="9.75" customHeight="1">
      <c r="A7" s="12">
        <v>4</v>
      </c>
      <c r="B7" s="378"/>
      <c r="C7" s="379"/>
      <c r="D7" s="379"/>
      <c r="E7" s="379"/>
      <c r="F7" s="379"/>
      <c r="G7" s="380"/>
      <c r="H7" s="390" t="s">
        <v>271</v>
      </c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205"/>
      <c r="AF7" s="257" t="s">
        <v>272</v>
      </c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9"/>
      <c r="BD7" s="391"/>
      <c r="BE7" s="392"/>
      <c r="BF7" s="392"/>
      <c r="BG7" s="392"/>
      <c r="BH7" s="392"/>
      <c r="BI7" s="298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353"/>
      <c r="CC7" s="354"/>
      <c r="CD7" s="354"/>
      <c r="CE7" s="354"/>
      <c r="CF7" s="354"/>
      <c r="CG7" s="355"/>
    </row>
    <row r="8" spans="1:93" ht="9.75" customHeight="1" thickBot="1">
      <c r="A8" s="12">
        <v>5</v>
      </c>
      <c r="B8" s="381"/>
      <c r="C8" s="382"/>
      <c r="D8" s="382"/>
      <c r="E8" s="382"/>
      <c r="F8" s="382"/>
      <c r="G8" s="383"/>
      <c r="H8" s="303" t="s">
        <v>82</v>
      </c>
      <c r="I8" s="304"/>
      <c r="J8" s="304"/>
      <c r="K8" s="304"/>
      <c r="L8" s="304"/>
      <c r="M8" s="304"/>
      <c r="N8" s="304" t="s">
        <v>278</v>
      </c>
      <c r="O8" s="304"/>
      <c r="P8" s="304"/>
      <c r="Q8" s="304"/>
      <c r="R8" s="304"/>
      <c r="S8" s="304"/>
      <c r="T8" s="304" t="s">
        <v>81</v>
      </c>
      <c r="U8" s="304"/>
      <c r="V8" s="304"/>
      <c r="W8" s="304"/>
      <c r="X8" s="304"/>
      <c r="Y8" s="304"/>
      <c r="Z8" s="304" t="s">
        <v>1</v>
      </c>
      <c r="AA8" s="304"/>
      <c r="AB8" s="304"/>
      <c r="AC8" s="304"/>
      <c r="AD8" s="304"/>
      <c r="AE8" s="374"/>
      <c r="AF8" s="303" t="s">
        <v>82</v>
      </c>
      <c r="AG8" s="304"/>
      <c r="AH8" s="304"/>
      <c r="AI8" s="304"/>
      <c r="AJ8" s="304"/>
      <c r="AK8" s="304"/>
      <c r="AL8" s="304" t="s">
        <v>278</v>
      </c>
      <c r="AM8" s="304"/>
      <c r="AN8" s="304"/>
      <c r="AO8" s="304"/>
      <c r="AP8" s="304"/>
      <c r="AQ8" s="304"/>
      <c r="AR8" s="304" t="s">
        <v>81</v>
      </c>
      <c r="AS8" s="304"/>
      <c r="AT8" s="304"/>
      <c r="AU8" s="304"/>
      <c r="AV8" s="304"/>
      <c r="AW8" s="304"/>
      <c r="AX8" s="304" t="s">
        <v>1</v>
      </c>
      <c r="AY8" s="304"/>
      <c r="AZ8" s="304"/>
      <c r="BA8" s="304"/>
      <c r="BB8" s="304"/>
      <c r="BC8" s="305"/>
      <c r="BD8" s="393"/>
      <c r="BE8" s="392"/>
      <c r="BF8" s="392"/>
      <c r="BG8" s="392"/>
      <c r="BH8" s="392"/>
      <c r="BI8" s="298"/>
      <c r="BJ8" s="22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388"/>
      <c r="CC8" s="388"/>
      <c r="CD8" s="388"/>
      <c r="CE8" s="388"/>
      <c r="CF8" s="388"/>
      <c r="CG8" s="389"/>
    </row>
    <row r="9" spans="1:93" ht="9.75" customHeight="1">
      <c r="A9" s="12">
        <v>6</v>
      </c>
      <c r="B9" s="375" t="s">
        <v>80</v>
      </c>
      <c r="C9" s="329"/>
      <c r="D9" s="329"/>
      <c r="E9" s="329"/>
      <c r="F9" s="329"/>
      <c r="G9" s="276"/>
      <c r="H9" s="216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2"/>
      <c r="AF9" s="216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186"/>
      <c r="AY9" s="186"/>
      <c r="AZ9" s="186"/>
      <c r="BA9" s="186"/>
      <c r="BB9" s="186"/>
      <c r="BC9" s="187"/>
      <c r="BD9" s="288"/>
      <c r="BE9" s="289"/>
      <c r="BF9" s="289"/>
      <c r="BG9" s="289"/>
      <c r="BH9" s="289"/>
      <c r="BI9" s="290"/>
      <c r="BJ9" s="347" t="s">
        <v>360</v>
      </c>
      <c r="BK9" s="348"/>
      <c r="BL9" s="348"/>
      <c r="BM9" s="348"/>
      <c r="BN9" s="348"/>
      <c r="BO9" s="348"/>
      <c r="BP9" s="348"/>
      <c r="BQ9" s="348"/>
      <c r="BR9" s="348"/>
      <c r="BS9" s="348"/>
      <c r="BT9" s="348"/>
      <c r="BU9" s="348"/>
      <c r="BV9" s="348"/>
      <c r="BW9" s="348"/>
      <c r="BX9" s="348"/>
      <c r="BY9" s="348"/>
      <c r="BZ9" s="348"/>
      <c r="CA9" s="348"/>
      <c r="CB9" s="348"/>
      <c r="CC9" s="348"/>
      <c r="CD9" s="348"/>
      <c r="CE9" s="348"/>
      <c r="CF9" s="348"/>
      <c r="CG9" s="349"/>
    </row>
    <row r="10" spans="1:93" ht="9.75" customHeight="1">
      <c r="A10" s="12">
        <v>7</v>
      </c>
      <c r="B10" s="23"/>
      <c r="C10" s="172" t="s">
        <v>79</v>
      </c>
      <c r="D10" s="172"/>
      <c r="E10" s="172"/>
      <c r="F10" s="172"/>
      <c r="G10" s="238"/>
      <c r="H10" s="169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6"/>
      <c r="U10" s="156"/>
      <c r="V10" s="156"/>
      <c r="W10" s="156"/>
      <c r="X10" s="156"/>
      <c r="Y10" s="156"/>
      <c r="Z10" s="157"/>
      <c r="AA10" s="157"/>
      <c r="AB10" s="157"/>
      <c r="AC10" s="157"/>
      <c r="AD10" s="157"/>
      <c r="AE10" s="221"/>
      <c r="AF10" s="169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6"/>
      <c r="AS10" s="156"/>
      <c r="AT10" s="156"/>
      <c r="AU10" s="156"/>
      <c r="AV10" s="156"/>
      <c r="AW10" s="156"/>
      <c r="AX10" s="157"/>
      <c r="AY10" s="157"/>
      <c r="AZ10" s="157"/>
      <c r="BA10" s="157"/>
      <c r="BB10" s="157"/>
      <c r="BC10" s="158"/>
      <c r="BD10" s="288"/>
      <c r="BE10" s="289"/>
      <c r="BF10" s="289"/>
      <c r="BG10" s="289"/>
      <c r="BH10" s="289"/>
      <c r="BI10" s="290"/>
      <c r="BJ10" s="344"/>
      <c r="BK10" s="345"/>
      <c r="BL10" s="345"/>
      <c r="BM10" s="345"/>
      <c r="BN10" s="345"/>
      <c r="BO10" s="345"/>
      <c r="BP10" s="346" t="s">
        <v>78</v>
      </c>
      <c r="BQ10" s="342"/>
      <c r="BR10" s="342"/>
      <c r="BS10" s="342"/>
      <c r="BT10" s="342"/>
      <c r="BU10" s="342"/>
      <c r="BV10" s="342" t="s">
        <v>47</v>
      </c>
      <c r="BW10" s="342"/>
      <c r="BX10" s="342"/>
      <c r="BY10" s="342"/>
      <c r="BZ10" s="342"/>
      <c r="CA10" s="342"/>
      <c r="CB10" s="342" t="s">
        <v>1</v>
      </c>
      <c r="CC10" s="342"/>
      <c r="CD10" s="342"/>
      <c r="CE10" s="342"/>
      <c r="CF10" s="342"/>
      <c r="CG10" s="343"/>
    </row>
    <row r="11" spans="1:93" ht="9.75" customHeight="1">
      <c r="A11" s="12">
        <v>8</v>
      </c>
      <c r="B11" s="23"/>
      <c r="C11" s="172" t="s">
        <v>77</v>
      </c>
      <c r="D11" s="172"/>
      <c r="E11" s="172"/>
      <c r="F11" s="172"/>
      <c r="G11" s="238"/>
      <c r="H11" s="169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6"/>
      <c r="U11" s="156"/>
      <c r="V11" s="156"/>
      <c r="W11" s="156"/>
      <c r="X11" s="156"/>
      <c r="Y11" s="156"/>
      <c r="Z11" s="157"/>
      <c r="AA11" s="157"/>
      <c r="AB11" s="157"/>
      <c r="AC11" s="157"/>
      <c r="AD11" s="157"/>
      <c r="AE11" s="221"/>
      <c r="AF11" s="169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6"/>
      <c r="AS11" s="156"/>
      <c r="AT11" s="156"/>
      <c r="AU11" s="156"/>
      <c r="AV11" s="156"/>
      <c r="AW11" s="156"/>
      <c r="AX11" s="157"/>
      <c r="AY11" s="157"/>
      <c r="AZ11" s="157"/>
      <c r="BA11" s="157"/>
      <c r="BB11" s="157"/>
      <c r="BC11" s="158"/>
      <c r="BD11" s="288"/>
      <c r="BE11" s="289"/>
      <c r="BF11" s="289"/>
      <c r="BG11" s="289"/>
      <c r="BH11" s="289"/>
      <c r="BI11" s="290"/>
      <c r="BJ11" s="339" t="s">
        <v>76</v>
      </c>
      <c r="BK11" s="340"/>
      <c r="BL11" s="340"/>
      <c r="BM11" s="340"/>
      <c r="BN11" s="340"/>
      <c r="BO11" s="341"/>
      <c r="BP11" s="331"/>
      <c r="BQ11" s="210"/>
      <c r="BR11" s="210"/>
      <c r="BS11" s="210"/>
      <c r="BT11" s="210"/>
      <c r="BU11" s="210"/>
      <c r="BV11" s="210"/>
      <c r="BW11" s="210"/>
      <c r="BX11" s="210"/>
      <c r="BY11" s="210"/>
      <c r="BZ11" s="210"/>
      <c r="CA11" s="210"/>
      <c r="CB11" s="211"/>
      <c r="CC11" s="211"/>
      <c r="CD11" s="211"/>
      <c r="CE11" s="211"/>
      <c r="CF11" s="211"/>
      <c r="CG11" s="252"/>
    </row>
    <row r="12" spans="1:93" ht="9.75" customHeight="1">
      <c r="A12" s="12">
        <v>9</v>
      </c>
      <c r="B12" s="23"/>
      <c r="C12" s="172" t="s">
        <v>75</v>
      </c>
      <c r="D12" s="172"/>
      <c r="E12" s="172"/>
      <c r="F12" s="172"/>
      <c r="G12" s="238"/>
      <c r="H12" s="169"/>
      <c r="I12" s="157"/>
      <c r="J12" s="157"/>
      <c r="K12" s="157"/>
      <c r="L12" s="157"/>
      <c r="M12" s="157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7"/>
      <c r="AA12" s="157"/>
      <c r="AB12" s="157"/>
      <c r="AC12" s="157"/>
      <c r="AD12" s="157"/>
      <c r="AE12" s="221"/>
      <c r="AF12" s="169"/>
      <c r="AG12" s="157"/>
      <c r="AH12" s="157"/>
      <c r="AI12" s="157"/>
      <c r="AJ12" s="157"/>
      <c r="AK12" s="157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7"/>
      <c r="AY12" s="157"/>
      <c r="AZ12" s="157"/>
      <c r="BA12" s="157"/>
      <c r="BB12" s="157"/>
      <c r="BC12" s="158"/>
      <c r="BD12" s="288"/>
      <c r="BE12" s="289"/>
      <c r="BF12" s="289"/>
      <c r="BG12" s="289"/>
      <c r="BH12" s="289"/>
      <c r="BI12" s="290"/>
      <c r="BJ12" s="336" t="s">
        <v>259</v>
      </c>
      <c r="BK12" s="337"/>
      <c r="BL12" s="337"/>
      <c r="BM12" s="337"/>
      <c r="BN12" s="337"/>
      <c r="BO12" s="338"/>
      <c r="BP12" s="224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157"/>
      <c r="CC12" s="157"/>
      <c r="CD12" s="157"/>
      <c r="CE12" s="157"/>
      <c r="CF12" s="157"/>
      <c r="CG12" s="158"/>
    </row>
    <row r="13" spans="1:93" ht="9.75" customHeight="1">
      <c r="A13" s="12">
        <v>10</v>
      </c>
      <c r="B13" s="23"/>
      <c r="C13" s="172" t="s">
        <v>74</v>
      </c>
      <c r="D13" s="172"/>
      <c r="E13" s="172"/>
      <c r="F13" s="172"/>
      <c r="G13" s="238"/>
      <c r="H13" s="169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6"/>
      <c r="U13" s="156"/>
      <c r="V13" s="156"/>
      <c r="W13" s="156"/>
      <c r="X13" s="156"/>
      <c r="Y13" s="156"/>
      <c r="Z13" s="157"/>
      <c r="AA13" s="157"/>
      <c r="AB13" s="157"/>
      <c r="AC13" s="157"/>
      <c r="AD13" s="157"/>
      <c r="AE13" s="221"/>
      <c r="AF13" s="169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6"/>
      <c r="AS13" s="156"/>
      <c r="AT13" s="156"/>
      <c r="AU13" s="156"/>
      <c r="AV13" s="156"/>
      <c r="AW13" s="156"/>
      <c r="AX13" s="157"/>
      <c r="AY13" s="157"/>
      <c r="AZ13" s="157"/>
      <c r="BA13" s="157"/>
      <c r="BB13" s="157"/>
      <c r="BC13" s="158"/>
      <c r="BD13" s="288"/>
      <c r="BE13" s="289"/>
      <c r="BF13" s="289"/>
      <c r="BG13" s="289"/>
      <c r="BH13" s="289"/>
      <c r="BI13" s="290"/>
      <c r="BJ13" s="336" t="s">
        <v>260</v>
      </c>
      <c r="BK13" s="337"/>
      <c r="BL13" s="337"/>
      <c r="BM13" s="337"/>
      <c r="BN13" s="337"/>
      <c r="BO13" s="338"/>
      <c r="BP13" s="224"/>
      <c r="BQ13" s="225"/>
      <c r="BR13" s="225"/>
      <c r="BS13" s="225"/>
      <c r="BT13" s="225"/>
      <c r="BU13" s="225"/>
      <c r="BV13" s="225"/>
      <c r="BW13" s="225"/>
      <c r="BX13" s="225"/>
      <c r="BY13" s="225"/>
      <c r="BZ13" s="225"/>
      <c r="CA13" s="225"/>
      <c r="CB13" s="157"/>
      <c r="CC13" s="157"/>
      <c r="CD13" s="157"/>
      <c r="CE13" s="157"/>
      <c r="CF13" s="157"/>
      <c r="CG13" s="158"/>
    </row>
    <row r="14" spans="1:93" ht="9.75" customHeight="1">
      <c r="A14" s="12">
        <v>11</v>
      </c>
      <c r="B14" s="23"/>
      <c r="C14" s="167" t="s">
        <v>73</v>
      </c>
      <c r="D14" s="167"/>
      <c r="E14" s="167"/>
      <c r="F14" s="167"/>
      <c r="G14" s="302"/>
      <c r="H14" s="169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6"/>
      <c r="U14" s="156"/>
      <c r="V14" s="156"/>
      <c r="W14" s="156"/>
      <c r="X14" s="156"/>
      <c r="Y14" s="156"/>
      <c r="Z14" s="157"/>
      <c r="AA14" s="157"/>
      <c r="AB14" s="157"/>
      <c r="AC14" s="157"/>
      <c r="AD14" s="157"/>
      <c r="AE14" s="221"/>
      <c r="AF14" s="169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6"/>
      <c r="AS14" s="156"/>
      <c r="AT14" s="156"/>
      <c r="AU14" s="156"/>
      <c r="AV14" s="156"/>
      <c r="AW14" s="156"/>
      <c r="AX14" s="157"/>
      <c r="AY14" s="157"/>
      <c r="AZ14" s="157"/>
      <c r="BA14" s="157"/>
      <c r="BB14" s="157"/>
      <c r="BC14" s="158"/>
      <c r="BD14" s="288"/>
      <c r="BE14" s="289"/>
      <c r="BF14" s="289"/>
      <c r="BG14" s="289"/>
      <c r="BH14" s="289"/>
      <c r="BI14" s="290"/>
      <c r="BJ14" s="336" t="s">
        <v>72</v>
      </c>
      <c r="BK14" s="337"/>
      <c r="BL14" s="337"/>
      <c r="BM14" s="337"/>
      <c r="BN14" s="337"/>
      <c r="BO14" s="338"/>
      <c r="BP14" s="224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157"/>
      <c r="CC14" s="157"/>
      <c r="CD14" s="157"/>
      <c r="CE14" s="157"/>
      <c r="CF14" s="157"/>
      <c r="CG14" s="158"/>
    </row>
    <row r="15" spans="1:93" ht="9.75" customHeight="1" thickBot="1">
      <c r="A15" s="12">
        <v>12</v>
      </c>
      <c r="B15" s="23"/>
      <c r="C15" s="167" t="s">
        <v>415</v>
      </c>
      <c r="D15" s="167"/>
      <c r="E15" s="167"/>
      <c r="F15" s="167"/>
      <c r="G15" s="302"/>
      <c r="H15" s="169"/>
      <c r="I15" s="157"/>
      <c r="J15" s="157"/>
      <c r="K15" s="157"/>
      <c r="L15" s="157"/>
      <c r="M15" s="157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7"/>
      <c r="AA15" s="157"/>
      <c r="AB15" s="157"/>
      <c r="AC15" s="157"/>
      <c r="AD15" s="157"/>
      <c r="AE15" s="221"/>
      <c r="AF15" s="169"/>
      <c r="AG15" s="157"/>
      <c r="AH15" s="157"/>
      <c r="AI15" s="157"/>
      <c r="AJ15" s="157"/>
      <c r="AK15" s="157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7"/>
      <c r="AY15" s="157"/>
      <c r="AZ15" s="157"/>
      <c r="BA15" s="157"/>
      <c r="BB15" s="157"/>
      <c r="BC15" s="158"/>
      <c r="BD15" s="288"/>
      <c r="BE15" s="289"/>
      <c r="BF15" s="289"/>
      <c r="BG15" s="289"/>
      <c r="BH15" s="289"/>
      <c r="BI15" s="290"/>
      <c r="BJ15" s="333" t="s">
        <v>1</v>
      </c>
      <c r="BK15" s="334"/>
      <c r="BL15" s="334"/>
      <c r="BM15" s="334"/>
      <c r="BN15" s="334"/>
      <c r="BO15" s="335"/>
      <c r="BP15" s="188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2"/>
    </row>
    <row r="16" spans="1:93" ht="9.75" customHeight="1">
      <c r="A16" s="12">
        <v>13</v>
      </c>
      <c r="B16" s="23"/>
      <c r="C16" s="167" t="s">
        <v>71</v>
      </c>
      <c r="D16" s="167"/>
      <c r="E16" s="167"/>
      <c r="F16" s="167"/>
      <c r="G16" s="302"/>
      <c r="H16" s="169"/>
      <c r="I16" s="157"/>
      <c r="J16" s="157"/>
      <c r="K16" s="157"/>
      <c r="L16" s="157"/>
      <c r="M16" s="157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7"/>
      <c r="AA16" s="157"/>
      <c r="AB16" s="157"/>
      <c r="AC16" s="157"/>
      <c r="AD16" s="157"/>
      <c r="AE16" s="221"/>
      <c r="AF16" s="169"/>
      <c r="AG16" s="157"/>
      <c r="AH16" s="157"/>
      <c r="AI16" s="157"/>
      <c r="AJ16" s="157"/>
      <c r="AK16" s="157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7"/>
      <c r="AY16" s="157"/>
      <c r="AZ16" s="157"/>
      <c r="BA16" s="157"/>
      <c r="BB16" s="157"/>
      <c r="BC16" s="158"/>
      <c r="BD16" s="288"/>
      <c r="BE16" s="289"/>
      <c r="BF16" s="289"/>
      <c r="BG16" s="289"/>
      <c r="BH16" s="289"/>
      <c r="BI16" s="290"/>
      <c r="BJ16" s="24" t="s">
        <v>361</v>
      </c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6"/>
    </row>
    <row r="17" spans="1:85" ht="9.75" customHeight="1">
      <c r="A17" s="12">
        <v>14</v>
      </c>
      <c r="B17" s="23"/>
      <c r="C17" s="167" t="s">
        <v>416</v>
      </c>
      <c r="D17" s="167"/>
      <c r="E17" s="167"/>
      <c r="F17" s="167"/>
      <c r="G17" s="302"/>
      <c r="H17" s="169"/>
      <c r="I17" s="157"/>
      <c r="J17" s="157"/>
      <c r="K17" s="157"/>
      <c r="L17" s="157"/>
      <c r="M17" s="157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7"/>
      <c r="AA17" s="157"/>
      <c r="AB17" s="157"/>
      <c r="AC17" s="157"/>
      <c r="AD17" s="157"/>
      <c r="AE17" s="221"/>
      <c r="AF17" s="169"/>
      <c r="AG17" s="157"/>
      <c r="AH17" s="157"/>
      <c r="AI17" s="157"/>
      <c r="AJ17" s="157"/>
      <c r="AK17" s="157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7"/>
      <c r="AY17" s="157"/>
      <c r="AZ17" s="157"/>
      <c r="BA17" s="157"/>
      <c r="BB17" s="157"/>
      <c r="BC17" s="158"/>
      <c r="BD17" s="288"/>
      <c r="BE17" s="289"/>
      <c r="BF17" s="289"/>
      <c r="BG17" s="289"/>
      <c r="BH17" s="289"/>
      <c r="BI17" s="290"/>
      <c r="BJ17" s="332"/>
      <c r="BK17" s="242"/>
      <c r="BL17" s="242"/>
      <c r="BM17" s="242"/>
      <c r="BN17" s="242"/>
      <c r="BO17" s="242"/>
      <c r="BP17" s="257" t="s">
        <v>264</v>
      </c>
      <c r="BQ17" s="258"/>
      <c r="BR17" s="258"/>
      <c r="BS17" s="258"/>
      <c r="BT17" s="258"/>
      <c r="BU17" s="258"/>
      <c r="BV17" s="258"/>
      <c r="BW17" s="258"/>
      <c r="BX17" s="258"/>
      <c r="BY17" s="258"/>
      <c r="BZ17" s="258"/>
      <c r="CA17" s="258"/>
      <c r="CB17" s="258"/>
      <c r="CC17" s="258"/>
      <c r="CD17" s="258"/>
      <c r="CE17" s="258"/>
      <c r="CF17" s="258"/>
      <c r="CG17" s="259"/>
    </row>
    <row r="18" spans="1:85" ht="9.75" customHeight="1">
      <c r="A18" s="12">
        <v>15</v>
      </c>
      <c r="B18" s="23"/>
      <c r="C18" s="172" t="s">
        <v>70</v>
      </c>
      <c r="D18" s="172"/>
      <c r="E18" s="172"/>
      <c r="F18" s="172"/>
      <c r="G18" s="238"/>
      <c r="H18" s="224"/>
      <c r="I18" s="225"/>
      <c r="J18" s="225"/>
      <c r="K18" s="225"/>
      <c r="L18" s="225"/>
      <c r="M18" s="225"/>
      <c r="N18" s="156"/>
      <c r="O18" s="156"/>
      <c r="P18" s="156"/>
      <c r="Q18" s="156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221"/>
      <c r="AF18" s="169"/>
      <c r="AG18" s="157"/>
      <c r="AH18" s="157"/>
      <c r="AI18" s="157"/>
      <c r="AJ18" s="157"/>
      <c r="AK18" s="157"/>
      <c r="AL18" s="156"/>
      <c r="AM18" s="156"/>
      <c r="AN18" s="156"/>
      <c r="AO18" s="156"/>
      <c r="AP18" s="156"/>
      <c r="AQ18" s="156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8"/>
      <c r="BD18" s="288"/>
      <c r="BE18" s="289"/>
      <c r="BF18" s="289"/>
      <c r="BG18" s="289"/>
      <c r="BH18" s="289"/>
      <c r="BI18" s="290"/>
      <c r="BJ18" s="243"/>
      <c r="BK18" s="244"/>
      <c r="BL18" s="244"/>
      <c r="BM18" s="244"/>
      <c r="BN18" s="244"/>
      <c r="BO18" s="244"/>
      <c r="BP18" s="303" t="s">
        <v>48</v>
      </c>
      <c r="BQ18" s="304"/>
      <c r="BR18" s="304"/>
      <c r="BS18" s="304"/>
      <c r="BT18" s="304"/>
      <c r="BU18" s="304"/>
      <c r="BV18" s="304" t="s">
        <v>47</v>
      </c>
      <c r="BW18" s="304"/>
      <c r="BX18" s="304"/>
      <c r="BY18" s="304"/>
      <c r="BZ18" s="304"/>
      <c r="CA18" s="304"/>
      <c r="CB18" s="304" t="s">
        <v>1</v>
      </c>
      <c r="CC18" s="304"/>
      <c r="CD18" s="304"/>
      <c r="CE18" s="304"/>
      <c r="CF18" s="304"/>
      <c r="CG18" s="305"/>
    </row>
    <row r="19" spans="1:85" ht="9.75" customHeight="1">
      <c r="A19" s="12">
        <v>16</v>
      </c>
      <c r="B19" s="23"/>
      <c r="C19" s="172" t="s">
        <v>68</v>
      </c>
      <c r="D19" s="172"/>
      <c r="E19" s="172"/>
      <c r="F19" s="172"/>
      <c r="G19" s="238"/>
      <c r="H19" s="224"/>
      <c r="I19" s="225"/>
      <c r="J19" s="225"/>
      <c r="K19" s="225"/>
      <c r="L19" s="225"/>
      <c r="M19" s="225"/>
      <c r="N19" s="156"/>
      <c r="O19" s="156"/>
      <c r="P19" s="156"/>
      <c r="Q19" s="156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221"/>
      <c r="AF19" s="169"/>
      <c r="AG19" s="157"/>
      <c r="AH19" s="157"/>
      <c r="AI19" s="157"/>
      <c r="AJ19" s="157"/>
      <c r="AK19" s="157"/>
      <c r="AL19" s="156"/>
      <c r="AM19" s="156"/>
      <c r="AN19" s="156"/>
      <c r="AO19" s="156"/>
      <c r="AP19" s="156"/>
      <c r="AQ19" s="156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8"/>
      <c r="BD19" s="288"/>
      <c r="BE19" s="289"/>
      <c r="BF19" s="289"/>
      <c r="BG19" s="289"/>
      <c r="BH19" s="289"/>
      <c r="BI19" s="290"/>
      <c r="BJ19" s="325" t="s">
        <v>64</v>
      </c>
      <c r="BK19" s="326"/>
      <c r="BL19" s="329" t="s">
        <v>63</v>
      </c>
      <c r="BM19" s="329"/>
      <c r="BN19" s="329"/>
      <c r="BO19" s="330"/>
      <c r="BP19" s="331"/>
      <c r="BQ19" s="210"/>
      <c r="BR19" s="210"/>
      <c r="BS19" s="210"/>
      <c r="BT19" s="210"/>
      <c r="BU19" s="210"/>
      <c r="BV19" s="210"/>
      <c r="BW19" s="210"/>
      <c r="BX19" s="210"/>
      <c r="BY19" s="210"/>
      <c r="BZ19" s="210"/>
      <c r="CA19" s="210"/>
      <c r="CB19" s="211"/>
      <c r="CC19" s="211"/>
      <c r="CD19" s="211"/>
      <c r="CE19" s="211"/>
      <c r="CF19" s="211"/>
      <c r="CG19" s="252"/>
    </row>
    <row r="20" spans="1:85" ht="9.75" customHeight="1">
      <c r="A20" s="12">
        <v>17</v>
      </c>
      <c r="B20" s="23"/>
      <c r="C20" s="172" t="s">
        <v>67</v>
      </c>
      <c r="D20" s="172"/>
      <c r="E20" s="172"/>
      <c r="F20" s="172"/>
      <c r="G20" s="238"/>
      <c r="H20" s="224"/>
      <c r="I20" s="225"/>
      <c r="J20" s="225"/>
      <c r="K20" s="225"/>
      <c r="L20" s="225"/>
      <c r="M20" s="225"/>
      <c r="N20" s="156"/>
      <c r="O20" s="156"/>
      <c r="P20" s="156"/>
      <c r="Q20" s="156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221"/>
      <c r="AF20" s="169"/>
      <c r="AG20" s="157"/>
      <c r="AH20" s="157"/>
      <c r="AI20" s="157"/>
      <c r="AJ20" s="157"/>
      <c r="AK20" s="157"/>
      <c r="AL20" s="156"/>
      <c r="AM20" s="156"/>
      <c r="AN20" s="156"/>
      <c r="AO20" s="156"/>
      <c r="AP20" s="156"/>
      <c r="AQ20" s="156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8"/>
      <c r="BD20" s="288"/>
      <c r="BE20" s="289"/>
      <c r="BF20" s="289"/>
      <c r="BG20" s="289"/>
      <c r="BH20" s="289"/>
      <c r="BI20" s="290"/>
      <c r="BJ20" s="327"/>
      <c r="BK20" s="328"/>
      <c r="BL20" s="228" t="s">
        <v>61</v>
      </c>
      <c r="BM20" s="229"/>
      <c r="BN20" s="229"/>
      <c r="BO20" s="230"/>
      <c r="BP20" s="224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157"/>
      <c r="CC20" s="157"/>
      <c r="CD20" s="157"/>
      <c r="CE20" s="157"/>
      <c r="CF20" s="157"/>
      <c r="CG20" s="158"/>
    </row>
    <row r="21" spans="1:85" ht="9.75" customHeight="1">
      <c r="A21" s="12">
        <v>18</v>
      </c>
      <c r="B21" s="27"/>
      <c r="C21" s="172" t="s">
        <v>66</v>
      </c>
      <c r="D21" s="172"/>
      <c r="E21" s="172"/>
      <c r="F21" s="172"/>
      <c r="G21" s="238"/>
      <c r="H21" s="224"/>
      <c r="I21" s="225"/>
      <c r="J21" s="225"/>
      <c r="K21" s="225"/>
      <c r="L21" s="225"/>
      <c r="M21" s="225"/>
      <c r="N21" s="156"/>
      <c r="O21" s="156"/>
      <c r="P21" s="156"/>
      <c r="Q21" s="156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221"/>
      <c r="AF21" s="169"/>
      <c r="AG21" s="157"/>
      <c r="AH21" s="157"/>
      <c r="AI21" s="157"/>
      <c r="AJ21" s="157"/>
      <c r="AK21" s="157"/>
      <c r="AL21" s="156"/>
      <c r="AM21" s="156"/>
      <c r="AN21" s="156"/>
      <c r="AO21" s="156"/>
      <c r="AP21" s="156"/>
      <c r="AQ21" s="156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8"/>
      <c r="BD21" s="288"/>
      <c r="BE21" s="289"/>
      <c r="BF21" s="289"/>
      <c r="BG21" s="289"/>
      <c r="BH21" s="289"/>
      <c r="BI21" s="290"/>
      <c r="BJ21" s="327"/>
      <c r="BK21" s="328"/>
      <c r="BL21" s="323" t="s">
        <v>59</v>
      </c>
      <c r="BM21" s="323"/>
      <c r="BN21" s="323"/>
      <c r="BO21" s="324"/>
      <c r="BP21" s="224"/>
      <c r="BQ21" s="225"/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157"/>
      <c r="CC21" s="157"/>
      <c r="CD21" s="157"/>
      <c r="CE21" s="157"/>
      <c r="CF21" s="157"/>
      <c r="CG21" s="158"/>
    </row>
    <row r="22" spans="1:85" ht="9.75" customHeight="1">
      <c r="A22" s="12">
        <v>19</v>
      </c>
      <c r="B22" s="398" t="s">
        <v>65</v>
      </c>
      <c r="C22" s="172"/>
      <c r="D22" s="172"/>
      <c r="E22" s="172"/>
      <c r="F22" s="172"/>
      <c r="G22" s="238"/>
      <c r="H22" s="169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6"/>
      <c r="U22" s="156"/>
      <c r="V22" s="156"/>
      <c r="W22" s="156"/>
      <c r="X22" s="156"/>
      <c r="Y22" s="156"/>
      <c r="Z22" s="157"/>
      <c r="AA22" s="157"/>
      <c r="AB22" s="157"/>
      <c r="AC22" s="157"/>
      <c r="AD22" s="157"/>
      <c r="AE22" s="221"/>
      <c r="AF22" s="169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6"/>
      <c r="AS22" s="156"/>
      <c r="AT22" s="156"/>
      <c r="AU22" s="156"/>
      <c r="AV22" s="156"/>
      <c r="AW22" s="156"/>
      <c r="AX22" s="157"/>
      <c r="AY22" s="157"/>
      <c r="AZ22" s="157"/>
      <c r="BA22" s="157"/>
      <c r="BB22" s="157"/>
      <c r="BC22" s="158"/>
      <c r="BD22" s="288"/>
      <c r="BE22" s="289"/>
      <c r="BF22" s="289"/>
      <c r="BG22" s="289"/>
      <c r="BH22" s="289"/>
      <c r="BI22" s="290"/>
      <c r="BJ22" s="327"/>
      <c r="BK22" s="328"/>
      <c r="BL22" s="323" t="s">
        <v>51</v>
      </c>
      <c r="BM22" s="323"/>
      <c r="BN22" s="323"/>
      <c r="BO22" s="324"/>
      <c r="BP22" s="224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157"/>
      <c r="CC22" s="157"/>
      <c r="CD22" s="157"/>
      <c r="CE22" s="157"/>
      <c r="CF22" s="157"/>
      <c r="CG22" s="158"/>
    </row>
    <row r="23" spans="1:85" ht="9.75" customHeight="1">
      <c r="A23" s="12">
        <v>20</v>
      </c>
      <c r="B23" s="23"/>
      <c r="C23" s="172" t="s">
        <v>62</v>
      </c>
      <c r="D23" s="172"/>
      <c r="E23" s="172"/>
      <c r="F23" s="172"/>
      <c r="G23" s="238"/>
      <c r="H23" s="169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6"/>
      <c r="U23" s="156"/>
      <c r="V23" s="156"/>
      <c r="W23" s="156"/>
      <c r="X23" s="156"/>
      <c r="Y23" s="156"/>
      <c r="Z23" s="157"/>
      <c r="AA23" s="157"/>
      <c r="AB23" s="157"/>
      <c r="AC23" s="157"/>
      <c r="AD23" s="157"/>
      <c r="AE23" s="221"/>
      <c r="AF23" s="169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6"/>
      <c r="AS23" s="156"/>
      <c r="AT23" s="156"/>
      <c r="AU23" s="156"/>
      <c r="AV23" s="156"/>
      <c r="AW23" s="156"/>
      <c r="AX23" s="157"/>
      <c r="AY23" s="157"/>
      <c r="AZ23" s="157"/>
      <c r="BA23" s="157"/>
      <c r="BB23" s="157"/>
      <c r="BC23" s="158"/>
      <c r="BD23" s="288"/>
      <c r="BE23" s="289"/>
      <c r="BF23" s="289"/>
      <c r="BG23" s="289"/>
      <c r="BH23" s="289"/>
      <c r="BI23" s="290"/>
      <c r="BJ23" s="319" t="s">
        <v>56</v>
      </c>
      <c r="BK23" s="320"/>
      <c r="BL23" s="323" t="s">
        <v>55</v>
      </c>
      <c r="BM23" s="323"/>
      <c r="BN23" s="323"/>
      <c r="BO23" s="324"/>
      <c r="BP23" s="224"/>
      <c r="BQ23" s="225"/>
      <c r="BR23" s="225"/>
      <c r="BS23" s="225"/>
      <c r="BT23" s="225"/>
      <c r="BU23" s="225"/>
      <c r="BV23" s="225"/>
      <c r="BW23" s="225"/>
      <c r="BX23" s="225"/>
      <c r="BY23" s="225"/>
      <c r="BZ23" s="225"/>
      <c r="CA23" s="225"/>
      <c r="CB23" s="157"/>
      <c r="CC23" s="157"/>
      <c r="CD23" s="157"/>
      <c r="CE23" s="157"/>
      <c r="CF23" s="157"/>
      <c r="CG23" s="158"/>
    </row>
    <row r="24" spans="1:85" ht="9.75" customHeight="1">
      <c r="A24" s="12">
        <v>21</v>
      </c>
      <c r="B24" s="27"/>
      <c r="C24" s="172" t="s">
        <v>60</v>
      </c>
      <c r="D24" s="172"/>
      <c r="E24" s="172"/>
      <c r="F24" s="172"/>
      <c r="G24" s="238"/>
      <c r="H24" s="399"/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156"/>
      <c r="U24" s="156"/>
      <c r="V24" s="156"/>
      <c r="W24" s="156"/>
      <c r="X24" s="156"/>
      <c r="Y24" s="156"/>
      <c r="Z24" s="157"/>
      <c r="AA24" s="157"/>
      <c r="AB24" s="157"/>
      <c r="AC24" s="157"/>
      <c r="AD24" s="157"/>
      <c r="AE24" s="221"/>
      <c r="AF24" s="169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6"/>
      <c r="AS24" s="156"/>
      <c r="AT24" s="156"/>
      <c r="AU24" s="156"/>
      <c r="AV24" s="156"/>
      <c r="AW24" s="156"/>
      <c r="AX24" s="157"/>
      <c r="AY24" s="157"/>
      <c r="AZ24" s="157"/>
      <c r="BA24" s="157"/>
      <c r="BB24" s="157"/>
      <c r="BC24" s="158"/>
      <c r="BD24" s="288"/>
      <c r="BE24" s="289"/>
      <c r="BF24" s="289"/>
      <c r="BG24" s="289"/>
      <c r="BH24" s="289"/>
      <c r="BI24" s="290"/>
      <c r="BJ24" s="319"/>
      <c r="BK24" s="320"/>
      <c r="BL24" s="172" t="s">
        <v>53</v>
      </c>
      <c r="BM24" s="172"/>
      <c r="BN24" s="172"/>
      <c r="BO24" s="173"/>
      <c r="BP24" s="224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157"/>
      <c r="CC24" s="157"/>
      <c r="CD24" s="157"/>
      <c r="CE24" s="157"/>
      <c r="CF24" s="157"/>
      <c r="CG24" s="158"/>
    </row>
    <row r="25" spans="1:85" ht="9.75" customHeight="1">
      <c r="A25" s="12">
        <v>22</v>
      </c>
      <c r="B25" s="300" t="s">
        <v>58</v>
      </c>
      <c r="C25" s="172"/>
      <c r="D25" s="172"/>
      <c r="E25" s="172"/>
      <c r="F25" s="172"/>
      <c r="G25" s="238"/>
      <c r="H25" s="169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221"/>
      <c r="AF25" s="169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8"/>
      <c r="BD25" s="288"/>
      <c r="BE25" s="289"/>
      <c r="BF25" s="289"/>
      <c r="BG25" s="289"/>
      <c r="BH25" s="289"/>
      <c r="BI25" s="290"/>
      <c r="BJ25" s="321"/>
      <c r="BK25" s="322"/>
      <c r="BL25" s="308" t="s">
        <v>51</v>
      </c>
      <c r="BM25" s="308"/>
      <c r="BN25" s="308"/>
      <c r="BO25" s="309"/>
      <c r="BP25" s="310"/>
      <c r="BQ25" s="311"/>
      <c r="BR25" s="311"/>
      <c r="BS25" s="311"/>
      <c r="BT25" s="311"/>
      <c r="BU25" s="311"/>
      <c r="BV25" s="311"/>
      <c r="BW25" s="311"/>
      <c r="BX25" s="311"/>
      <c r="BY25" s="311"/>
      <c r="BZ25" s="311"/>
      <c r="CA25" s="311"/>
      <c r="CB25" s="312"/>
      <c r="CC25" s="312"/>
      <c r="CD25" s="312"/>
      <c r="CE25" s="312"/>
      <c r="CF25" s="312"/>
      <c r="CG25" s="313"/>
    </row>
    <row r="26" spans="1:85" ht="9.75" customHeight="1">
      <c r="A26" s="12">
        <v>23</v>
      </c>
      <c r="B26" s="300" t="s">
        <v>57</v>
      </c>
      <c r="C26" s="172"/>
      <c r="D26" s="172"/>
      <c r="E26" s="172"/>
      <c r="F26" s="172"/>
      <c r="G26" s="238"/>
      <c r="H26" s="155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7"/>
      <c r="AA26" s="157"/>
      <c r="AB26" s="157"/>
      <c r="AC26" s="157"/>
      <c r="AD26" s="157"/>
      <c r="AE26" s="221"/>
      <c r="AF26" s="155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7"/>
      <c r="AY26" s="157"/>
      <c r="AZ26" s="157"/>
      <c r="BA26" s="157"/>
      <c r="BB26" s="157"/>
      <c r="BC26" s="158"/>
      <c r="BD26" s="288"/>
      <c r="BE26" s="289"/>
      <c r="BF26" s="289"/>
      <c r="BG26" s="289"/>
      <c r="BH26" s="289"/>
      <c r="BI26" s="290"/>
      <c r="BJ26" s="317"/>
      <c r="BK26" s="318"/>
      <c r="BL26" s="318"/>
      <c r="BM26" s="318"/>
      <c r="BN26" s="318"/>
      <c r="BO26" s="318"/>
      <c r="BP26" s="314" t="s">
        <v>262</v>
      </c>
      <c r="BQ26" s="315"/>
      <c r="BR26" s="315"/>
      <c r="BS26" s="315"/>
      <c r="BT26" s="315"/>
      <c r="BU26" s="315"/>
      <c r="BV26" s="315"/>
      <c r="BW26" s="315"/>
      <c r="BX26" s="315"/>
      <c r="BY26" s="315"/>
      <c r="BZ26" s="315"/>
      <c r="CA26" s="315"/>
      <c r="CB26" s="315"/>
      <c r="CC26" s="315"/>
      <c r="CD26" s="315"/>
      <c r="CE26" s="315"/>
      <c r="CF26" s="315"/>
      <c r="CG26" s="316"/>
    </row>
    <row r="27" spans="1:85" ht="9.75" customHeight="1">
      <c r="A27" s="12">
        <v>24</v>
      </c>
      <c r="B27" s="300" t="s">
        <v>54</v>
      </c>
      <c r="C27" s="172"/>
      <c r="D27" s="172"/>
      <c r="E27" s="172"/>
      <c r="F27" s="172"/>
      <c r="G27" s="238"/>
      <c r="H27" s="155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7"/>
      <c r="AA27" s="157"/>
      <c r="AB27" s="157"/>
      <c r="AC27" s="157"/>
      <c r="AD27" s="157"/>
      <c r="AE27" s="221"/>
      <c r="AF27" s="155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7"/>
      <c r="AY27" s="157"/>
      <c r="AZ27" s="157"/>
      <c r="BA27" s="157"/>
      <c r="BB27" s="157"/>
      <c r="BC27" s="158"/>
      <c r="BD27" s="288"/>
      <c r="BE27" s="289"/>
      <c r="BF27" s="289"/>
      <c r="BG27" s="289"/>
      <c r="BH27" s="289"/>
      <c r="BI27" s="290"/>
      <c r="BJ27" s="243"/>
      <c r="BK27" s="244"/>
      <c r="BL27" s="244"/>
      <c r="BM27" s="244"/>
      <c r="BN27" s="244"/>
      <c r="BO27" s="244"/>
      <c r="BP27" s="303" t="s">
        <v>48</v>
      </c>
      <c r="BQ27" s="304"/>
      <c r="BR27" s="304"/>
      <c r="BS27" s="304"/>
      <c r="BT27" s="304"/>
      <c r="BU27" s="304"/>
      <c r="BV27" s="304" t="s">
        <v>47</v>
      </c>
      <c r="BW27" s="304"/>
      <c r="BX27" s="304"/>
      <c r="BY27" s="304"/>
      <c r="BZ27" s="304"/>
      <c r="CA27" s="304"/>
      <c r="CB27" s="304" t="s">
        <v>1</v>
      </c>
      <c r="CC27" s="304"/>
      <c r="CD27" s="304"/>
      <c r="CE27" s="304"/>
      <c r="CF27" s="304"/>
      <c r="CG27" s="305"/>
    </row>
    <row r="28" spans="1:85" ht="9.75" customHeight="1">
      <c r="A28" s="12">
        <v>25</v>
      </c>
      <c r="B28" s="300" t="s">
        <v>52</v>
      </c>
      <c r="C28" s="172"/>
      <c r="D28" s="172"/>
      <c r="E28" s="172"/>
      <c r="F28" s="172"/>
      <c r="G28" s="238"/>
      <c r="H28" s="155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7"/>
      <c r="AA28" s="157"/>
      <c r="AB28" s="157"/>
      <c r="AC28" s="157"/>
      <c r="AD28" s="157"/>
      <c r="AE28" s="221"/>
      <c r="AF28" s="155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7"/>
      <c r="AY28" s="157"/>
      <c r="AZ28" s="157"/>
      <c r="BA28" s="157"/>
      <c r="BB28" s="157"/>
      <c r="BC28" s="158"/>
      <c r="BD28" s="288"/>
      <c r="BE28" s="289"/>
      <c r="BF28" s="289"/>
      <c r="BG28" s="289"/>
      <c r="BH28" s="289"/>
      <c r="BI28" s="290"/>
      <c r="BJ28" s="306" t="s">
        <v>45</v>
      </c>
      <c r="BK28" s="170"/>
      <c r="BL28" s="170"/>
      <c r="BM28" s="170"/>
      <c r="BN28" s="170"/>
      <c r="BO28" s="307"/>
      <c r="BP28" s="216"/>
      <c r="BQ28" s="211"/>
      <c r="BR28" s="211"/>
      <c r="BS28" s="211"/>
      <c r="BT28" s="211"/>
      <c r="BU28" s="211"/>
      <c r="BV28" s="211"/>
      <c r="BW28" s="211"/>
      <c r="BX28" s="211"/>
      <c r="BY28" s="211"/>
      <c r="BZ28" s="211"/>
      <c r="CA28" s="211"/>
      <c r="CB28" s="211"/>
      <c r="CC28" s="211"/>
      <c r="CD28" s="211"/>
      <c r="CE28" s="211"/>
      <c r="CF28" s="211"/>
      <c r="CG28" s="252"/>
    </row>
    <row r="29" spans="1:85" ht="9.75" customHeight="1">
      <c r="A29" s="12">
        <v>26</v>
      </c>
      <c r="B29" s="300" t="s">
        <v>50</v>
      </c>
      <c r="C29" s="172"/>
      <c r="D29" s="172"/>
      <c r="E29" s="172"/>
      <c r="F29" s="172"/>
      <c r="G29" s="238"/>
      <c r="H29" s="155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7"/>
      <c r="AA29" s="157"/>
      <c r="AB29" s="157"/>
      <c r="AC29" s="157"/>
      <c r="AD29" s="157"/>
      <c r="AE29" s="221"/>
      <c r="AF29" s="155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7"/>
      <c r="AY29" s="157"/>
      <c r="AZ29" s="157"/>
      <c r="BA29" s="157"/>
      <c r="BB29" s="157"/>
      <c r="BC29" s="158"/>
      <c r="BD29" s="288"/>
      <c r="BE29" s="289"/>
      <c r="BF29" s="289"/>
      <c r="BG29" s="289"/>
      <c r="BH29" s="289"/>
      <c r="BI29" s="290"/>
      <c r="BJ29" s="300" t="s">
        <v>43</v>
      </c>
      <c r="BK29" s="172"/>
      <c r="BL29" s="172"/>
      <c r="BM29" s="172"/>
      <c r="BN29" s="172"/>
      <c r="BO29" s="238"/>
      <c r="BP29" s="169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7"/>
      <c r="CD29" s="157"/>
      <c r="CE29" s="157"/>
      <c r="CF29" s="157"/>
      <c r="CG29" s="158"/>
    </row>
    <row r="30" spans="1:85" ht="9.75" customHeight="1" thickBot="1">
      <c r="A30" s="12">
        <v>27</v>
      </c>
      <c r="B30" s="301" t="s">
        <v>49</v>
      </c>
      <c r="C30" s="167"/>
      <c r="D30" s="167"/>
      <c r="E30" s="167"/>
      <c r="F30" s="167"/>
      <c r="G30" s="302"/>
      <c r="H30" s="155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7"/>
      <c r="AA30" s="157"/>
      <c r="AB30" s="157"/>
      <c r="AC30" s="157"/>
      <c r="AD30" s="157"/>
      <c r="AE30" s="221"/>
      <c r="AF30" s="155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7"/>
      <c r="AY30" s="157"/>
      <c r="AZ30" s="157"/>
      <c r="BA30" s="157"/>
      <c r="BB30" s="157"/>
      <c r="BC30" s="158"/>
      <c r="BD30" s="288"/>
      <c r="BE30" s="289"/>
      <c r="BF30" s="289"/>
      <c r="BG30" s="289"/>
      <c r="BH30" s="289"/>
      <c r="BI30" s="290"/>
      <c r="BJ30" s="175" t="s">
        <v>41</v>
      </c>
      <c r="BK30" s="176"/>
      <c r="BL30" s="176"/>
      <c r="BM30" s="176"/>
      <c r="BN30" s="176"/>
      <c r="BO30" s="189"/>
      <c r="BP30" s="188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2"/>
    </row>
    <row r="31" spans="1:85" ht="9.75" customHeight="1">
      <c r="A31" s="12">
        <v>28</v>
      </c>
      <c r="B31" s="300" t="s">
        <v>46</v>
      </c>
      <c r="C31" s="172"/>
      <c r="D31" s="172"/>
      <c r="E31" s="172"/>
      <c r="F31" s="172"/>
      <c r="G31" s="238"/>
      <c r="H31" s="155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7"/>
      <c r="AA31" s="157"/>
      <c r="AB31" s="157"/>
      <c r="AC31" s="157"/>
      <c r="AD31" s="157"/>
      <c r="AE31" s="221"/>
      <c r="AF31" s="155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7"/>
      <c r="AY31" s="157"/>
      <c r="AZ31" s="157"/>
      <c r="BA31" s="157"/>
      <c r="BB31" s="157"/>
      <c r="BC31" s="158"/>
      <c r="BD31" s="288"/>
      <c r="BE31" s="289"/>
      <c r="BF31" s="289"/>
      <c r="BG31" s="289"/>
      <c r="BH31" s="289"/>
      <c r="BI31" s="292"/>
      <c r="BJ31" s="28"/>
      <c r="CG31" s="29"/>
    </row>
    <row r="32" spans="1:85" ht="9.75" customHeight="1">
      <c r="A32" s="12">
        <v>29</v>
      </c>
      <c r="B32" s="300" t="s">
        <v>44</v>
      </c>
      <c r="C32" s="172"/>
      <c r="D32" s="172"/>
      <c r="E32" s="172"/>
      <c r="F32" s="172"/>
      <c r="G32" s="238"/>
      <c r="H32" s="155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7"/>
      <c r="AA32" s="157"/>
      <c r="AB32" s="157"/>
      <c r="AC32" s="157"/>
      <c r="AD32" s="157"/>
      <c r="AE32" s="221"/>
      <c r="AF32" s="155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7"/>
      <c r="AY32" s="157"/>
      <c r="AZ32" s="157"/>
      <c r="BA32" s="157"/>
      <c r="BB32" s="157"/>
      <c r="BC32" s="158"/>
      <c r="BD32" s="291"/>
      <c r="BE32" s="289"/>
      <c r="BF32" s="289"/>
      <c r="BG32" s="289"/>
      <c r="BH32" s="289"/>
      <c r="BI32" s="292"/>
      <c r="CG32" s="21"/>
    </row>
    <row r="33" spans="1:85" ht="9.75" customHeight="1" thickBot="1">
      <c r="A33" s="12">
        <v>30</v>
      </c>
      <c r="B33" s="175" t="s">
        <v>42</v>
      </c>
      <c r="C33" s="176"/>
      <c r="D33" s="176"/>
      <c r="E33" s="176"/>
      <c r="F33" s="176"/>
      <c r="G33" s="189"/>
      <c r="H33" s="159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1"/>
      <c r="AA33" s="161"/>
      <c r="AB33" s="161"/>
      <c r="AC33" s="161"/>
      <c r="AD33" s="161"/>
      <c r="AE33" s="195"/>
      <c r="AF33" s="159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1"/>
      <c r="AY33" s="161"/>
      <c r="AZ33" s="161"/>
      <c r="BA33" s="161"/>
      <c r="BB33" s="161"/>
      <c r="BC33" s="162"/>
      <c r="BD33" s="279"/>
      <c r="BE33" s="280"/>
      <c r="BF33" s="280"/>
      <c r="BG33" s="280"/>
      <c r="BH33" s="280"/>
      <c r="BI33" s="281"/>
      <c r="CG33" s="21"/>
    </row>
    <row r="34" spans="1:85" ht="9.75" customHeight="1">
      <c r="A34" s="12">
        <v>31</v>
      </c>
      <c r="B34" s="24" t="s">
        <v>362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6"/>
      <c r="BD34" s="24" t="s">
        <v>363</v>
      </c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6"/>
    </row>
    <row r="35" spans="1:85" ht="9.75" customHeight="1">
      <c r="A35" s="12">
        <v>32</v>
      </c>
      <c r="B35" s="271"/>
      <c r="C35" s="272"/>
      <c r="D35" s="272"/>
      <c r="E35" s="272"/>
      <c r="F35" s="272"/>
      <c r="G35" s="273"/>
      <c r="H35" s="270" t="s">
        <v>230</v>
      </c>
      <c r="I35" s="267"/>
      <c r="J35" s="267"/>
      <c r="K35" s="267"/>
      <c r="L35" s="267"/>
      <c r="M35" s="269"/>
      <c r="N35" s="266" t="s">
        <v>231</v>
      </c>
      <c r="O35" s="267"/>
      <c r="P35" s="267"/>
      <c r="Q35" s="267"/>
      <c r="R35" s="267"/>
      <c r="S35" s="269"/>
      <c r="T35" s="266" t="s">
        <v>1</v>
      </c>
      <c r="U35" s="267"/>
      <c r="V35" s="267"/>
      <c r="W35" s="267"/>
      <c r="X35" s="267"/>
      <c r="Y35" s="268"/>
      <c r="Z35" s="285" t="s">
        <v>273</v>
      </c>
      <c r="AA35" s="286"/>
      <c r="AB35" s="286"/>
      <c r="AC35" s="286"/>
      <c r="AD35" s="286"/>
      <c r="AE35" s="287"/>
      <c r="BD35" s="297"/>
      <c r="BE35" s="242"/>
      <c r="BF35" s="242"/>
      <c r="BG35" s="242"/>
      <c r="BH35" s="242"/>
      <c r="BI35" s="242"/>
      <c r="BJ35" s="298" t="s">
        <v>35</v>
      </c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298" t="s">
        <v>39</v>
      </c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299"/>
    </row>
    <row r="36" spans="1:85" ht="9.75" customHeight="1">
      <c r="A36" s="12">
        <v>33</v>
      </c>
      <c r="B36" s="274" t="s">
        <v>37</v>
      </c>
      <c r="C36" s="276" t="s">
        <v>36</v>
      </c>
      <c r="D36" s="277"/>
      <c r="E36" s="277"/>
      <c r="F36" s="277"/>
      <c r="G36" s="278"/>
      <c r="H36" s="207"/>
      <c r="I36" s="208"/>
      <c r="J36" s="208"/>
      <c r="K36" s="208"/>
      <c r="L36" s="208"/>
      <c r="M36" s="209"/>
      <c r="N36" s="210"/>
      <c r="O36" s="210"/>
      <c r="P36" s="210"/>
      <c r="Q36" s="210"/>
      <c r="R36" s="210"/>
      <c r="S36" s="210"/>
      <c r="T36" s="211"/>
      <c r="U36" s="211"/>
      <c r="V36" s="211"/>
      <c r="W36" s="211"/>
      <c r="X36" s="211"/>
      <c r="Y36" s="212"/>
      <c r="Z36" s="213"/>
      <c r="AA36" s="214"/>
      <c r="AB36" s="214"/>
      <c r="AC36" s="214"/>
      <c r="AD36" s="214"/>
      <c r="AE36" s="215"/>
      <c r="BD36" s="243"/>
      <c r="BE36" s="244"/>
      <c r="BF36" s="244"/>
      <c r="BG36" s="244"/>
      <c r="BH36" s="244"/>
      <c r="BI36" s="244"/>
      <c r="BJ36" s="293" t="s">
        <v>7</v>
      </c>
      <c r="BK36" s="293"/>
      <c r="BL36" s="293"/>
      <c r="BM36" s="293"/>
      <c r="BN36" s="293"/>
      <c r="BO36" s="294"/>
      <c r="BP36" s="295" t="s">
        <v>258</v>
      </c>
      <c r="BQ36" s="293"/>
      <c r="BR36" s="293"/>
      <c r="BS36" s="293"/>
      <c r="BT36" s="293"/>
      <c r="BU36" s="294"/>
      <c r="BV36" s="293" t="s">
        <v>7</v>
      </c>
      <c r="BW36" s="293"/>
      <c r="BX36" s="293"/>
      <c r="BY36" s="293"/>
      <c r="BZ36" s="293"/>
      <c r="CA36" s="294"/>
      <c r="CB36" s="295" t="s">
        <v>258</v>
      </c>
      <c r="CC36" s="293"/>
      <c r="CD36" s="293"/>
      <c r="CE36" s="293"/>
      <c r="CF36" s="293"/>
      <c r="CG36" s="296"/>
    </row>
    <row r="37" spans="1:85" ht="9.75" customHeight="1">
      <c r="A37" s="12">
        <v>34</v>
      </c>
      <c r="B37" s="275"/>
      <c r="C37" s="238" t="s">
        <v>34</v>
      </c>
      <c r="D37" s="239"/>
      <c r="E37" s="239"/>
      <c r="F37" s="239"/>
      <c r="G37" s="240"/>
      <c r="H37" s="217"/>
      <c r="I37" s="218"/>
      <c r="J37" s="218"/>
      <c r="K37" s="218"/>
      <c r="L37" s="218"/>
      <c r="M37" s="219"/>
      <c r="N37" s="225"/>
      <c r="O37" s="225"/>
      <c r="P37" s="225"/>
      <c r="Q37" s="225"/>
      <c r="R37" s="225"/>
      <c r="S37" s="225"/>
      <c r="T37" s="157"/>
      <c r="U37" s="157"/>
      <c r="V37" s="157"/>
      <c r="W37" s="157"/>
      <c r="X37" s="157"/>
      <c r="Y37" s="221"/>
      <c r="Z37" s="261"/>
      <c r="AA37" s="222"/>
      <c r="AB37" s="222"/>
      <c r="AC37" s="222"/>
      <c r="AD37" s="222"/>
      <c r="AE37" s="223"/>
      <c r="BD37" s="282" t="s">
        <v>261</v>
      </c>
      <c r="BE37" s="283"/>
      <c r="BF37" s="283"/>
      <c r="BG37" s="283"/>
      <c r="BH37" s="283"/>
      <c r="BI37" s="284"/>
      <c r="BJ37" s="216"/>
      <c r="BK37" s="211"/>
      <c r="BL37" s="211"/>
      <c r="BM37" s="211"/>
      <c r="BN37" s="211"/>
      <c r="BO37" s="211"/>
      <c r="BP37" s="211"/>
      <c r="BQ37" s="211"/>
      <c r="BR37" s="211"/>
      <c r="BS37" s="211"/>
      <c r="BT37" s="211"/>
      <c r="BU37" s="212"/>
      <c r="BV37" s="185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7"/>
    </row>
    <row r="38" spans="1:85" ht="9.75" customHeight="1">
      <c r="A38" s="12">
        <v>35</v>
      </c>
      <c r="B38" s="275"/>
      <c r="C38" s="238" t="s">
        <v>32</v>
      </c>
      <c r="D38" s="239"/>
      <c r="E38" s="239"/>
      <c r="F38" s="239"/>
      <c r="G38" s="240"/>
      <c r="H38" s="217"/>
      <c r="I38" s="218"/>
      <c r="J38" s="218"/>
      <c r="K38" s="218"/>
      <c r="L38" s="218"/>
      <c r="M38" s="219"/>
      <c r="N38" s="225"/>
      <c r="O38" s="225"/>
      <c r="P38" s="225"/>
      <c r="Q38" s="225"/>
      <c r="R38" s="225"/>
      <c r="S38" s="225"/>
      <c r="T38" s="157"/>
      <c r="U38" s="157"/>
      <c r="V38" s="157"/>
      <c r="W38" s="157"/>
      <c r="X38" s="157"/>
      <c r="Y38" s="221"/>
      <c r="Z38" s="261"/>
      <c r="AA38" s="222"/>
      <c r="AB38" s="222"/>
      <c r="AC38" s="222"/>
      <c r="AD38" s="222"/>
      <c r="AE38" s="223"/>
      <c r="BD38" s="30"/>
      <c r="BE38" s="172" t="s">
        <v>33</v>
      </c>
      <c r="BF38" s="172"/>
      <c r="BG38" s="172"/>
      <c r="BH38" s="172"/>
      <c r="BI38" s="238"/>
      <c r="BJ38" s="169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221"/>
      <c r="BV38" s="169"/>
      <c r="BW38" s="157"/>
      <c r="BX38" s="157"/>
      <c r="BY38" s="157"/>
      <c r="BZ38" s="157"/>
      <c r="CA38" s="157"/>
      <c r="CB38" s="157"/>
      <c r="CC38" s="157"/>
      <c r="CD38" s="157"/>
      <c r="CE38" s="157"/>
      <c r="CF38" s="157"/>
      <c r="CG38" s="158"/>
    </row>
    <row r="39" spans="1:85" ht="9.75" customHeight="1">
      <c r="A39" s="12">
        <v>36</v>
      </c>
      <c r="B39" s="275"/>
      <c r="C39" s="238" t="s">
        <v>30</v>
      </c>
      <c r="D39" s="239"/>
      <c r="E39" s="239"/>
      <c r="F39" s="239"/>
      <c r="G39" s="240"/>
      <c r="H39" s="217"/>
      <c r="I39" s="218"/>
      <c r="J39" s="218"/>
      <c r="K39" s="218"/>
      <c r="L39" s="218"/>
      <c r="M39" s="219"/>
      <c r="N39" s="225"/>
      <c r="O39" s="225"/>
      <c r="P39" s="225"/>
      <c r="Q39" s="225"/>
      <c r="R39" s="225"/>
      <c r="S39" s="225"/>
      <c r="T39" s="157"/>
      <c r="U39" s="157"/>
      <c r="V39" s="157"/>
      <c r="W39" s="157"/>
      <c r="X39" s="157"/>
      <c r="Y39" s="221"/>
      <c r="Z39" s="261"/>
      <c r="AA39" s="222"/>
      <c r="AB39" s="222"/>
      <c r="AC39" s="222"/>
      <c r="AD39" s="222"/>
      <c r="AE39" s="223"/>
      <c r="BD39" s="31"/>
      <c r="BE39" s="172" t="s">
        <v>31</v>
      </c>
      <c r="BF39" s="172"/>
      <c r="BG39" s="172"/>
      <c r="BH39" s="172"/>
      <c r="BI39" s="238"/>
      <c r="BJ39" s="169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221"/>
      <c r="BV39" s="165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6"/>
    </row>
    <row r="40" spans="1:85" ht="9.75" customHeight="1">
      <c r="A40" s="12">
        <v>37</v>
      </c>
      <c r="B40" s="275"/>
      <c r="C40" s="238" t="s">
        <v>27</v>
      </c>
      <c r="D40" s="239"/>
      <c r="E40" s="239"/>
      <c r="F40" s="239"/>
      <c r="G40" s="240"/>
      <c r="H40" s="217"/>
      <c r="I40" s="218"/>
      <c r="J40" s="218"/>
      <c r="K40" s="218"/>
      <c r="L40" s="218"/>
      <c r="M40" s="219"/>
      <c r="N40" s="225"/>
      <c r="O40" s="225"/>
      <c r="P40" s="225"/>
      <c r="Q40" s="225"/>
      <c r="R40" s="225"/>
      <c r="S40" s="225"/>
      <c r="T40" s="157"/>
      <c r="U40" s="157"/>
      <c r="V40" s="157"/>
      <c r="W40" s="157"/>
      <c r="X40" s="157"/>
      <c r="Y40" s="221"/>
      <c r="Z40" s="261"/>
      <c r="AA40" s="222"/>
      <c r="AB40" s="222"/>
      <c r="AC40" s="222"/>
      <c r="AD40" s="222"/>
      <c r="AE40" s="223"/>
      <c r="BD40" s="262" t="s">
        <v>29</v>
      </c>
      <c r="BE40" s="172" t="s">
        <v>28</v>
      </c>
      <c r="BF40" s="172"/>
      <c r="BG40" s="172"/>
      <c r="BH40" s="172"/>
      <c r="BI40" s="173"/>
      <c r="BJ40" s="169"/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74"/>
      <c r="BV40" s="150"/>
      <c r="BW40" s="143"/>
      <c r="BX40" s="143"/>
      <c r="BY40" s="143"/>
      <c r="BZ40" s="143"/>
      <c r="CA40" s="151"/>
      <c r="CB40" s="142"/>
      <c r="CC40" s="143"/>
      <c r="CD40" s="143"/>
      <c r="CE40" s="143"/>
      <c r="CF40" s="143"/>
      <c r="CG40" s="144"/>
    </row>
    <row r="41" spans="1:85" ht="9.75" customHeight="1">
      <c r="A41" s="12">
        <v>38</v>
      </c>
      <c r="B41" s="275"/>
      <c r="C41" s="238" t="s">
        <v>25</v>
      </c>
      <c r="D41" s="239"/>
      <c r="E41" s="239"/>
      <c r="F41" s="239"/>
      <c r="G41" s="240"/>
      <c r="H41" s="217"/>
      <c r="I41" s="218"/>
      <c r="J41" s="218"/>
      <c r="K41" s="218"/>
      <c r="L41" s="218"/>
      <c r="M41" s="219"/>
      <c r="N41" s="225"/>
      <c r="O41" s="225"/>
      <c r="P41" s="225"/>
      <c r="Q41" s="225"/>
      <c r="R41" s="225"/>
      <c r="S41" s="225"/>
      <c r="T41" s="157"/>
      <c r="U41" s="157"/>
      <c r="V41" s="157"/>
      <c r="W41" s="157"/>
      <c r="X41" s="157"/>
      <c r="Y41" s="221"/>
      <c r="Z41" s="261"/>
      <c r="AA41" s="222"/>
      <c r="AB41" s="222"/>
      <c r="AC41" s="222"/>
      <c r="AD41" s="222"/>
      <c r="AE41" s="223"/>
      <c r="BD41" s="263"/>
      <c r="BE41" s="172" t="s">
        <v>26</v>
      </c>
      <c r="BF41" s="172"/>
      <c r="BG41" s="172"/>
      <c r="BH41" s="172"/>
      <c r="BI41" s="173"/>
      <c r="BJ41" s="169"/>
      <c r="BK41" s="157"/>
      <c r="BL41" s="157"/>
      <c r="BM41" s="157"/>
      <c r="BN41" s="157"/>
      <c r="BO41" s="157"/>
      <c r="BP41" s="157"/>
      <c r="BQ41" s="157"/>
      <c r="BR41" s="157"/>
      <c r="BS41" s="157"/>
      <c r="BT41" s="157"/>
      <c r="BU41" s="174"/>
      <c r="BV41" s="150"/>
      <c r="BW41" s="143"/>
      <c r="BX41" s="143"/>
      <c r="BY41" s="143"/>
      <c r="BZ41" s="143"/>
      <c r="CA41" s="151"/>
      <c r="CB41" s="142"/>
      <c r="CC41" s="143"/>
      <c r="CD41" s="143"/>
      <c r="CE41" s="143"/>
      <c r="CF41" s="143"/>
      <c r="CG41" s="144"/>
    </row>
    <row r="42" spans="1:85" ht="9.75" customHeight="1">
      <c r="A42" s="12">
        <v>39</v>
      </c>
      <c r="B42" s="275"/>
      <c r="C42" s="238" t="s">
        <v>23</v>
      </c>
      <c r="D42" s="239"/>
      <c r="E42" s="239"/>
      <c r="F42" s="239"/>
      <c r="G42" s="240"/>
      <c r="H42" s="217"/>
      <c r="I42" s="218"/>
      <c r="J42" s="218"/>
      <c r="K42" s="218"/>
      <c r="L42" s="218"/>
      <c r="M42" s="219"/>
      <c r="N42" s="225"/>
      <c r="O42" s="225"/>
      <c r="P42" s="225"/>
      <c r="Q42" s="225"/>
      <c r="R42" s="225"/>
      <c r="S42" s="225"/>
      <c r="T42" s="157"/>
      <c r="U42" s="157"/>
      <c r="V42" s="157"/>
      <c r="W42" s="157"/>
      <c r="X42" s="157"/>
      <c r="Y42" s="221"/>
      <c r="Z42" s="261"/>
      <c r="AA42" s="222"/>
      <c r="AB42" s="222"/>
      <c r="AC42" s="222"/>
      <c r="AD42" s="222"/>
      <c r="AE42" s="223"/>
      <c r="BD42" s="263"/>
      <c r="BE42" s="265" t="s">
        <v>24</v>
      </c>
      <c r="BF42" s="172"/>
      <c r="BG42" s="172"/>
      <c r="BH42" s="172"/>
      <c r="BI42" s="173"/>
      <c r="BJ42" s="169"/>
      <c r="BK42" s="157"/>
      <c r="BL42" s="157"/>
      <c r="BM42" s="157"/>
      <c r="BN42" s="157"/>
      <c r="BO42" s="157"/>
      <c r="BP42" s="157"/>
      <c r="BQ42" s="157"/>
      <c r="BR42" s="157"/>
      <c r="BS42" s="157"/>
      <c r="BT42" s="157"/>
      <c r="BU42" s="174"/>
      <c r="BV42" s="150"/>
      <c r="BW42" s="143"/>
      <c r="BX42" s="143"/>
      <c r="BY42" s="143"/>
      <c r="BZ42" s="143"/>
      <c r="CA42" s="151"/>
      <c r="CB42" s="142"/>
      <c r="CC42" s="143"/>
      <c r="CD42" s="143"/>
      <c r="CE42" s="143"/>
      <c r="CF42" s="143"/>
      <c r="CG42" s="144"/>
    </row>
    <row r="43" spans="1:85" ht="9.75" customHeight="1">
      <c r="A43" s="12">
        <v>40</v>
      </c>
      <c r="B43" s="275"/>
      <c r="C43" s="238" t="s">
        <v>21</v>
      </c>
      <c r="D43" s="239"/>
      <c r="E43" s="239"/>
      <c r="F43" s="239"/>
      <c r="G43" s="240"/>
      <c r="H43" s="217"/>
      <c r="I43" s="218"/>
      <c r="J43" s="218"/>
      <c r="K43" s="218"/>
      <c r="L43" s="218"/>
      <c r="M43" s="219"/>
      <c r="N43" s="225"/>
      <c r="O43" s="225"/>
      <c r="P43" s="225"/>
      <c r="Q43" s="225"/>
      <c r="R43" s="225"/>
      <c r="S43" s="225"/>
      <c r="T43" s="157"/>
      <c r="U43" s="157"/>
      <c r="V43" s="157"/>
      <c r="W43" s="157"/>
      <c r="X43" s="157"/>
      <c r="Y43" s="221"/>
      <c r="Z43" s="261"/>
      <c r="AA43" s="222"/>
      <c r="AB43" s="222"/>
      <c r="AC43" s="222"/>
      <c r="AD43" s="222"/>
      <c r="AE43" s="223"/>
      <c r="BD43" s="263"/>
      <c r="BE43" s="32"/>
      <c r="BF43" s="228" t="s">
        <v>22</v>
      </c>
      <c r="BG43" s="229"/>
      <c r="BH43" s="229"/>
      <c r="BI43" s="230"/>
      <c r="BJ43" s="224"/>
      <c r="BK43" s="225"/>
      <c r="BL43" s="225"/>
      <c r="BM43" s="225"/>
      <c r="BN43" s="225"/>
      <c r="BO43" s="225"/>
      <c r="BP43" s="157"/>
      <c r="BQ43" s="157"/>
      <c r="BR43" s="157"/>
      <c r="BS43" s="157"/>
      <c r="BT43" s="157"/>
      <c r="BU43" s="174"/>
      <c r="BV43" s="150"/>
      <c r="BW43" s="143"/>
      <c r="BX43" s="143"/>
      <c r="BY43" s="143"/>
      <c r="BZ43" s="143"/>
      <c r="CA43" s="151"/>
      <c r="CB43" s="142"/>
      <c r="CC43" s="143"/>
      <c r="CD43" s="143"/>
      <c r="CE43" s="143"/>
      <c r="CF43" s="143"/>
      <c r="CG43" s="144"/>
    </row>
    <row r="44" spans="1:85" ht="9.75" customHeight="1">
      <c r="A44" s="12">
        <v>41</v>
      </c>
      <c r="B44" s="275"/>
      <c r="C44" s="238" t="s">
        <v>19</v>
      </c>
      <c r="D44" s="239"/>
      <c r="E44" s="239"/>
      <c r="F44" s="239"/>
      <c r="G44" s="240"/>
      <c r="H44" s="217"/>
      <c r="I44" s="218"/>
      <c r="J44" s="218"/>
      <c r="K44" s="218"/>
      <c r="L44" s="218"/>
      <c r="M44" s="219"/>
      <c r="N44" s="225"/>
      <c r="O44" s="225"/>
      <c r="P44" s="225"/>
      <c r="Q44" s="225"/>
      <c r="R44" s="225"/>
      <c r="S44" s="225"/>
      <c r="T44" s="157"/>
      <c r="U44" s="157"/>
      <c r="V44" s="157"/>
      <c r="W44" s="157"/>
      <c r="X44" s="157"/>
      <c r="Y44" s="221"/>
      <c r="Z44" s="261"/>
      <c r="AA44" s="222"/>
      <c r="AB44" s="222"/>
      <c r="AC44" s="222"/>
      <c r="AD44" s="222"/>
      <c r="AE44" s="223"/>
      <c r="BD44" s="263"/>
      <c r="BE44" s="32"/>
      <c r="BF44" s="228" t="s">
        <v>20</v>
      </c>
      <c r="BG44" s="229"/>
      <c r="BH44" s="229"/>
      <c r="BI44" s="230"/>
      <c r="BJ44" s="224"/>
      <c r="BK44" s="225"/>
      <c r="BL44" s="225"/>
      <c r="BM44" s="225"/>
      <c r="BN44" s="225"/>
      <c r="BO44" s="225"/>
      <c r="BP44" s="157"/>
      <c r="BQ44" s="157"/>
      <c r="BR44" s="157"/>
      <c r="BS44" s="157"/>
      <c r="BT44" s="157"/>
      <c r="BU44" s="174"/>
      <c r="BV44" s="150"/>
      <c r="BW44" s="143"/>
      <c r="BX44" s="143"/>
      <c r="BY44" s="143"/>
      <c r="BZ44" s="143"/>
      <c r="CA44" s="151"/>
      <c r="CB44" s="142"/>
      <c r="CC44" s="143"/>
      <c r="CD44" s="143"/>
      <c r="CE44" s="143"/>
      <c r="CF44" s="143"/>
      <c r="CG44" s="144"/>
    </row>
    <row r="45" spans="1:85" ht="9.75" customHeight="1">
      <c r="A45" s="12">
        <v>42</v>
      </c>
      <c r="B45" s="275"/>
      <c r="C45" s="238" t="s">
        <v>17</v>
      </c>
      <c r="D45" s="239"/>
      <c r="E45" s="239"/>
      <c r="F45" s="239"/>
      <c r="G45" s="240"/>
      <c r="H45" s="217"/>
      <c r="I45" s="218"/>
      <c r="J45" s="218"/>
      <c r="K45" s="218"/>
      <c r="L45" s="218"/>
      <c r="M45" s="219"/>
      <c r="N45" s="225"/>
      <c r="O45" s="225"/>
      <c r="P45" s="225"/>
      <c r="Q45" s="225"/>
      <c r="R45" s="225"/>
      <c r="S45" s="225"/>
      <c r="T45" s="157"/>
      <c r="U45" s="157"/>
      <c r="V45" s="157"/>
      <c r="W45" s="157"/>
      <c r="X45" s="157"/>
      <c r="Y45" s="221"/>
      <c r="Z45" s="261"/>
      <c r="AA45" s="222"/>
      <c r="AB45" s="222"/>
      <c r="AC45" s="222"/>
      <c r="AD45" s="222"/>
      <c r="AE45" s="223"/>
      <c r="BD45" s="263"/>
      <c r="BE45" s="32"/>
      <c r="BF45" s="172" t="s">
        <v>18</v>
      </c>
      <c r="BG45" s="172"/>
      <c r="BH45" s="172"/>
      <c r="BI45" s="173"/>
      <c r="BJ45" s="224"/>
      <c r="BK45" s="225"/>
      <c r="BL45" s="225"/>
      <c r="BM45" s="225"/>
      <c r="BN45" s="225"/>
      <c r="BO45" s="225"/>
      <c r="BP45" s="157"/>
      <c r="BQ45" s="157"/>
      <c r="BR45" s="157"/>
      <c r="BS45" s="157"/>
      <c r="BT45" s="157"/>
      <c r="BU45" s="174"/>
      <c r="BV45" s="150"/>
      <c r="BW45" s="143"/>
      <c r="BX45" s="143"/>
      <c r="BY45" s="143"/>
      <c r="BZ45" s="143"/>
      <c r="CA45" s="151"/>
      <c r="CB45" s="142"/>
      <c r="CC45" s="143"/>
      <c r="CD45" s="143"/>
      <c r="CE45" s="143"/>
      <c r="CF45" s="143"/>
      <c r="CG45" s="144"/>
    </row>
    <row r="46" spans="1:85" ht="9.75" customHeight="1" thickBot="1">
      <c r="A46" s="12">
        <v>43</v>
      </c>
      <c r="B46" s="275"/>
      <c r="C46" s="238" t="s">
        <v>15</v>
      </c>
      <c r="D46" s="239"/>
      <c r="E46" s="239"/>
      <c r="F46" s="239"/>
      <c r="G46" s="240"/>
      <c r="H46" s="217"/>
      <c r="I46" s="218"/>
      <c r="J46" s="218"/>
      <c r="K46" s="218"/>
      <c r="L46" s="218"/>
      <c r="M46" s="219"/>
      <c r="N46" s="225"/>
      <c r="O46" s="225"/>
      <c r="P46" s="225"/>
      <c r="Q46" s="225"/>
      <c r="R46" s="225"/>
      <c r="S46" s="225"/>
      <c r="T46" s="157"/>
      <c r="U46" s="157"/>
      <c r="V46" s="157"/>
      <c r="W46" s="157"/>
      <c r="X46" s="157"/>
      <c r="Y46" s="221"/>
      <c r="Z46" s="222"/>
      <c r="AA46" s="222"/>
      <c r="AB46" s="222"/>
      <c r="AC46" s="222"/>
      <c r="AD46" s="222"/>
      <c r="AE46" s="223"/>
      <c r="BD46" s="264"/>
      <c r="BE46" s="33"/>
      <c r="BF46" s="176" t="s">
        <v>343</v>
      </c>
      <c r="BG46" s="176"/>
      <c r="BH46" s="176"/>
      <c r="BI46" s="189"/>
      <c r="BJ46" s="226"/>
      <c r="BK46" s="227"/>
      <c r="BL46" s="227"/>
      <c r="BM46" s="227"/>
      <c r="BN46" s="227"/>
      <c r="BO46" s="227"/>
      <c r="BP46" s="161"/>
      <c r="BQ46" s="161"/>
      <c r="BR46" s="161"/>
      <c r="BS46" s="161"/>
      <c r="BT46" s="161"/>
      <c r="BU46" s="178"/>
      <c r="BV46" s="145"/>
      <c r="BW46" s="146"/>
      <c r="BX46" s="146"/>
      <c r="BY46" s="146"/>
      <c r="BZ46" s="146"/>
      <c r="CA46" s="147"/>
      <c r="CB46" s="148"/>
      <c r="CC46" s="146"/>
      <c r="CD46" s="146"/>
      <c r="CE46" s="146"/>
      <c r="CF46" s="146"/>
      <c r="CG46" s="149"/>
    </row>
    <row r="47" spans="1:85" ht="9.75" customHeight="1">
      <c r="A47" s="12">
        <v>44</v>
      </c>
      <c r="B47" s="275"/>
      <c r="C47" s="238" t="s">
        <v>14</v>
      </c>
      <c r="D47" s="239"/>
      <c r="E47" s="239"/>
      <c r="F47" s="239"/>
      <c r="G47" s="240"/>
      <c r="H47" s="217"/>
      <c r="I47" s="218"/>
      <c r="J47" s="218"/>
      <c r="K47" s="218"/>
      <c r="L47" s="218"/>
      <c r="M47" s="219"/>
      <c r="N47" s="225"/>
      <c r="O47" s="225"/>
      <c r="P47" s="225"/>
      <c r="Q47" s="225"/>
      <c r="R47" s="225"/>
      <c r="S47" s="225"/>
      <c r="T47" s="157"/>
      <c r="U47" s="157"/>
      <c r="V47" s="157"/>
      <c r="W47" s="157"/>
      <c r="X47" s="157"/>
      <c r="Y47" s="221"/>
      <c r="Z47" s="222"/>
      <c r="AA47" s="222"/>
      <c r="AB47" s="222"/>
      <c r="AC47" s="222"/>
      <c r="AD47" s="222"/>
      <c r="AE47" s="223"/>
      <c r="BD47" s="24" t="s">
        <v>364</v>
      </c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6"/>
    </row>
    <row r="48" spans="1:85" ht="9.75" customHeight="1">
      <c r="A48" s="12">
        <v>45</v>
      </c>
      <c r="B48" s="275"/>
      <c r="C48" s="238" t="s">
        <v>13</v>
      </c>
      <c r="D48" s="239"/>
      <c r="E48" s="239"/>
      <c r="F48" s="239"/>
      <c r="G48" s="240"/>
      <c r="H48" s="217"/>
      <c r="I48" s="218"/>
      <c r="J48" s="218"/>
      <c r="K48" s="218"/>
      <c r="L48" s="218"/>
      <c r="M48" s="219"/>
      <c r="N48" s="156"/>
      <c r="O48" s="156"/>
      <c r="P48" s="156"/>
      <c r="Q48" s="156"/>
      <c r="R48" s="156"/>
      <c r="S48" s="156"/>
      <c r="T48" s="157"/>
      <c r="U48" s="157"/>
      <c r="V48" s="157"/>
      <c r="W48" s="157"/>
      <c r="X48" s="157"/>
      <c r="Y48" s="221"/>
      <c r="Z48" s="222"/>
      <c r="AA48" s="222"/>
      <c r="AB48" s="222"/>
      <c r="AC48" s="222"/>
      <c r="AD48" s="222"/>
      <c r="AE48" s="223"/>
      <c r="BD48" s="241"/>
      <c r="BE48" s="242"/>
      <c r="BF48" s="242"/>
      <c r="BG48" s="242"/>
      <c r="BH48" s="242"/>
      <c r="BI48" s="242"/>
      <c r="BJ48" s="205" t="s">
        <v>88</v>
      </c>
      <c r="BK48" s="206"/>
      <c r="BL48" s="206"/>
      <c r="BM48" s="206"/>
      <c r="BN48" s="206"/>
      <c r="BO48" s="206"/>
      <c r="BP48" s="206"/>
      <c r="BQ48" s="206"/>
      <c r="BR48" s="206"/>
      <c r="BS48" s="206"/>
      <c r="BT48" s="206"/>
      <c r="BU48" s="206"/>
      <c r="BV48" s="257" t="s">
        <v>263</v>
      </c>
      <c r="BW48" s="258"/>
      <c r="BX48" s="258"/>
      <c r="BY48" s="258"/>
      <c r="BZ48" s="258"/>
      <c r="CA48" s="258"/>
      <c r="CB48" s="258"/>
      <c r="CC48" s="258"/>
      <c r="CD48" s="258"/>
      <c r="CE48" s="258"/>
      <c r="CF48" s="258"/>
      <c r="CG48" s="259"/>
    </row>
    <row r="49" spans="1:85" ht="9.75" customHeight="1">
      <c r="A49" s="12">
        <v>46</v>
      </c>
      <c r="B49" s="254" t="s">
        <v>1</v>
      </c>
      <c r="C49" s="255"/>
      <c r="D49" s="255"/>
      <c r="E49" s="255"/>
      <c r="F49" s="255"/>
      <c r="G49" s="256"/>
      <c r="H49" s="231"/>
      <c r="I49" s="232"/>
      <c r="J49" s="232"/>
      <c r="K49" s="232"/>
      <c r="L49" s="232"/>
      <c r="M49" s="233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221"/>
      <c r="Z49" s="222"/>
      <c r="AA49" s="222"/>
      <c r="AB49" s="222"/>
      <c r="AC49" s="222"/>
      <c r="AD49" s="222"/>
      <c r="AE49" s="223"/>
      <c r="BD49" s="243"/>
      <c r="BE49" s="244"/>
      <c r="BF49" s="244"/>
      <c r="BG49" s="244"/>
      <c r="BH49" s="244"/>
      <c r="BI49" s="244"/>
      <c r="BJ49" s="236" t="s">
        <v>12</v>
      </c>
      <c r="BK49" s="237"/>
      <c r="BL49" s="237"/>
      <c r="BM49" s="237"/>
      <c r="BN49" s="237"/>
      <c r="BO49" s="237"/>
      <c r="BP49" s="245" t="s">
        <v>11</v>
      </c>
      <c r="BQ49" s="237"/>
      <c r="BR49" s="237"/>
      <c r="BS49" s="237"/>
      <c r="BT49" s="237"/>
      <c r="BU49" s="260"/>
      <c r="BV49" s="236" t="s">
        <v>12</v>
      </c>
      <c r="BW49" s="237"/>
      <c r="BX49" s="237"/>
      <c r="BY49" s="237"/>
      <c r="BZ49" s="237"/>
      <c r="CA49" s="237"/>
      <c r="CB49" s="245" t="s">
        <v>11</v>
      </c>
      <c r="CC49" s="237"/>
      <c r="CD49" s="237"/>
      <c r="CE49" s="237"/>
      <c r="CF49" s="237"/>
      <c r="CG49" s="246"/>
    </row>
    <row r="50" spans="1:85" ht="9.75" customHeight="1">
      <c r="A50" s="12">
        <v>47</v>
      </c>
      <c r="B50" s="253" t="s">
        <v>9</v>
      </c>
      <c r="C50" s="248"/>
      <c r="D50" s="248"/>
      <c r="E50" s="248"/>
      <c r="F50" s="248"/>
      <c r="G50" s="249"/>
      <c r="H50" s="217"/>
      <c r="I50" s="218"/>
      <c r="J50" s="218"/>
      <c r="K50" s="218"/>
      <c r="L50" s="218"/>
      <c r="M50" s="219"/>
      <c r="N50" s="220"/>
      <c r="O50" s="220"/>
      <c r="P50" s="220"/>
      <c r="Q50" s="220"/>
      <c r="R50" s="220"/>
      <c r="S50" s="220"/>
      <c r="T50" s="157"/>
      <c r="U50" s="157"/>
      <c r="V50" s="157"/>
      <c r="W50" s="157"/>
      <c r="X50" s="157"/>
      <c r="Y50" s="221"/>
      <c r="Z50" s="222"/>
      <c r="AA50" s="222"/>
      <c r="AB50" s="222"/>
      <c r="AC50" s="222"/>
      <c r="AD50" s="222"/>
      <c r="AE50" s="223"/>
      <c r="BD50" s="234" t="s">
        <v>10</v>
      </c>
      <c r="BE50" s="170" t="s">
        <v>106</v>
      </c>
      <c r="BF50" s="170"/>
      <c r="BG50" s="170"/>
      <c r="BH50" s="170"/>
      <c r="BI50" s="171"/>
      <c r="BJ50" s="216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35"/>
      <c r="BV50" s="216"/>
      <c r="BW50" s="211"/>
      <c r="BX50" s="211"/>
      <c r="BY50" s="211"/>
      <c r="BZ50" s="211"/>
      <c r="CA50" s="211"/>
      <c r="CB50" s="211"/>
      <c r="CC50" s="211"/>
      <c r="CD50" s="211"/>
      <c r="CE50" s="211"/>
      <c r="CF50" s="211"/>
      <c r="CG50" s="252"/>
    </row>
    <row r="51" spans="1:85" ht="9.75" customHeight="1">
      <c r="A51" s="12">
        <v>48</v>
      </c>
      <c r="B51" s="247" t="s">
        <v>8</v>
      </c>
      <c r="C51" s="248"/>
      <c r="D51" s="248"/>
      <c r="E51" s="248"/>
      <c r="F51" s="248"/>
      <c r="G51" s="249"/>
      <c r="H51" s="231"/>
      <c r="I51" s="232"/>
      <c r="J51" s="232"/>
      <c r="K51" s="232"/>
      <c r="L51" s="232"/>
      <c r="M51" s="233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221"/>
      <c r="Z51" s="250"/>
      <c r="AA51" s="250"/>
      <c r="AB51" s="250"/>
      <c r="AC51" s="250"/>
      <c r="AD51" s="250"/>
      <c r="AE51" s="251"/>
      <c r="BD51" s="198"/>
      <c r="BE51" s="172" t="s">
        <v>232</v>
      </c>
      <c r="BF51" s="172"/>
      <c r="BG51" s="172"/>
      <c r="BH51" s="172"/>
      <c r="BI51" s="173"/>
      <c r="BJ51" s="169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74"/>
      <c r="BV51" s="169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  <c r="CG51" s="158"/>
    </row>
    <row r="52" spans="1:85" ht="9.75" customHeight="1" thickBot="1">
      <c r="A52" s="12">
        <v>49</v>
      </c>
      <c r="B52" s="34"/>
      <c r="C52" s="189" t="s">
        <v>245</v>
      </c>
      <c r="D52" s="190"/>
      <c r="E52" s="190"/>
      <c r="F52" s="190"/>
      <c r="G52" s="191"/>
      <c r="H52" s="192"/>
      <c r="I52" s="193"/>
      <c r="J52" s="193"/>
      <c r="K52" s="193"/>
      <c r="L52" s="193"/>
      <c r="M52" s="194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95"/>
      <c r="Z52" s="196"/>
      <c r="AA52" s="196"/>
      <c r="AB52" s="196"/>
      <c r="AC52" s="196"/>
      <c r="AD52" s="196"/>
      <c r="AE52" s="197"/>
      <c r="BD52" s="198"/>
      <c r="BE52" s="172" t="s">
        <v>1</v>
      </c>
      <c r="BF52" s="172"/>
      <c r="BG52" s="172"/>
      <c r="BH52" s="172"/>
      <c r="BI52" s="173"/>
      <c r="BJ52" s="169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74"/>
      <c r="BV52" s="169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  <c r="CG52" s="158"/>
    </row>
    <row r="53" spans="1:85" ht="9.75" customHeight="1">
      <c r="A53" s="12">
        <v>50</v>
      </c>
      <c r="B53" s="24" t="s">
        <v>344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6"/>
      <c r="N53" s="37"/>
      <c r="O53" s="37"/>
      <c r="P53" s="37"/>
      <c r="Q53" s="37"/>
      <c r="R53" s="37"/>
      <c r="S53" s="37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BD53" s="198" t="s">
        <v>6</v>
      </c>
      <c r="BE53" s="172" t="s">
        <v>5</v>
      </c>
      <c r="BF53" s="172"/>
      <c r="BG53" s="172"/>
      <c r="BH53" s="172"/>
      <c r="BI53" s="173"/>
      <c r="BJ53" s="165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4"/>
      <c r="BV53" s="165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6"/>
    </row>
    <row r="54" spans="1:85" ht="9.75" customHeight="1">
      <c r="A54" s="12">
        <v>51</v>
      </c>
      <c r="B54" s="199"/>
      <c r="C54" s="200"/>
      <c r="D54" s="200"/>
      <c r="E54" s="200"/>
      <c r="F54" s="200"/>
      <c r="G54" s="201"/>
      <c r="H54" s="202" t="s">
        <v>217</v>
      </c>
      <c r="I54" s="203"/>
      <c r="J54" s="203"/>
      <c r="K54" s="203"/>
      <c r="L54" s="203"/>
      <c r="M54" s="204"/>
      <c r="BD54" s="198"/>
      <c r="BE54" s="167" t="s">
        <v>419</v>
      </c>
      <c r="BF54" s="167"/>
      <c r="BG54" s="167"/>
      <c r="BH54" s="167"/>
      <c r="BI54" s="168"/>
      <c r="BJ54" s="165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4"/>
      <c r="BV54" s="165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6"/>
    </row>
    <row r="55" spans="1:85" ht="9.75" customHeight="1">
      <c r="A55" s="12">
        <v>52</v>
      </c>
      <c r="B55" s="179" t="s">
        <v>218</v>
      </c>
      <c r="C55" s="180"/>
      <c r="D55" s="180"/>
      <c r="E55" s="180"/>
      <c r="F55" s="180"/>
      <c r="G55" s="181"/>
      <c r="H55" s="185"/>
      <c r="I55" s="186"/>
      <c r="J55" s="186"/>
      <c r="K55" s="186"/>
      <c r="L55" s="186"/>
      <c r="M55" s="187"/>
      <c r="Z55" s="39"/>
      <c r="AA55" s="39"/>
      <c r="AB55" s="39"/>
      <c r="AC55" s="39"/>
      <c r="AD55" s="39"/>
      <c r="AE55" s="39"/>
      <c r="BD55" s="198"/>
      <c r="BE55" s="172" t="s">
        <v>1</v>
      </c>
      <c r="BF55" s="172"/>
      <c r="BG55" s="172"/>
      <c r="BH55" s="172"/>
      <c r="BI55" s="173"/>
      <c r="BJ55" s="155"/>
      <c r="BK55" s="156"/>
      <c r="BL55" s="156"/>
      <c r="BM55" s="156"/>
      <c r="BN55" s="156"/>
      <c r="BO55" s="156"/>
      <c r="BP55" s="157"/>
      <c r="BQ55" s="157"/>
      <c r="BR55" s="157"/>
      <c r="BS55" s="157"/>
      <c r="BT55" s="157"/>
      <c r="BU55" s="174"/>
      <c r="BV55" s="155"/>
      <c r="BW55" s="156"/>
      <c r="BX55" s="156"/>
      <c r="BY55" s="156"/>
      <c r="BZ55" s="156"/>
      <c r="CA55" s="156"/>
      <c r="CB55" s="157"/>
      <c r="CC55" s="157"/>
      <c r="CD55" s="157"/>
      <c r="CE55" s="157"/>
      <c r="CF55" s="157"/>
      <c r="CG55" s="158"/>
    </row>
    <row r="56" spans="1:85" ht="9.75" customHeight="1" thickBot="1">
      <c r="A56" s="12">
        <v>53</v>
      </c>
      <c r="B56" s="182" t="s">
        <v>219</v>
      </c>
      <c r="C56" s="183"/>
      <c r="D56" s="183"/>
      <c r="E56" s="183"/>
      <c r="F56" s="183"/>
      <c r="G56" s="184"/>
      <c r="H56" s="188"/>
      <c r="I56" s="161"/>
      <c r="J56" s="161"/>
      <c r="K56" s="161"/>
      <c r="L56" s="161"/>
      <c r="M56" s="162"/>
      <c r="Z56" s="39"/>
      <c r="AA56" s="39"/>
      <c r="AB56" s="39"/>
      <c r="AC56" s="39"/>
      <c r="AD56" s="39"/>
      <c r="AE56" s="39"/>
      <c r="BD56" s="175" t="s">
        <v>4</v>
      </c>
      <c r="BE56" s="176"/>
      <c r="BF56" s="176"/>
      <c r="BG56" s="176"/>
      <c r="BH56" s="176"/>
      <c r="BI56" s="177"/>
      <c r="BJ56" s="159"/>
      <c r="BK56" s="160"/>
      <c r="BL56" s="160"/>
      <c r="BM56" s="160"/>
      <c r="BN56" s="160"/>
      <c r="BO56" s="160"/>
      <c r="BP56" s="161"/>
      <c r="BQ56" s="161"/>
      <c r="BR56" s="161"/>
      <c r="BS56" s="161"/>
      <c r="BT56" s="161"/>
      <c r="BU56" s="178"/>
      <c r="BV56" s="159"/>
      <c r="BW56" s="160"/>
      <c r="BX56" s="160"/>
      <c r="BY56" s="160"/>
      <c r="BZ56" s="160"/>
      <c r="CA56" s="160"/>
      <c r="CB56" s="161"/>
      <c r="CC56" s="161"/>
      <c r="CD56" s="161"/>
      <c r="CE56" s="161"/>
      <c r="CF56" s="161"/>
      <c r="CG56" s="162"/>
    </row>
    <row r="57" spans="1:85" ht="9.75" customHeight="1">
      <c r="A57" s="12">
        <v>54</v>
      </c>
      <c r="B57" s="40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Z57" s="39"/>
      <c r="AA57" s="39"/>
      <c r="AB57" s="39"/>
      <c r="AC57" s="39"/>
      <c r="AD57" s="39"/>
      <c r="AE57" s="39"/>
      <c r="AF57" s="43"/>
      <c r="AG57" s="43"/>
      <c r="AH57" s="43"/>
      <c r="AI57" s="43"/>
      <c r="AJ57" s="43"/>
      <c r="AK57" s="43"/>
      <c r="AL57" s="44"/>
      <c r="AM57" s="44"/>
      <c r="AN57" s="44"/>
      <c r="AO57" s="44"/>
      <c r="AP57" s="44"/>
      <c r="AQ57" s="44"/>
      <c r="AS57" s="45"/>
      <c r="AT57" s="45"/>
      <c r="AU57" s="45"/>
      <c r="AV57" s="45"/>
      <c r="AW57" s="45"/>
      <c r="AX57" s="44"/>
      <c r="AY57" s="44"/>
      <c r="AZ57" s="44"/>
      <c r="BA57" s="44"/>
      <c r="BB57" s="44"/>
      <c r="BC57" s="44"/>
      <c r="BD57" s="45"/>
      <c r="BE57" s="45"/>
      <c r="BF57" s="45"/>
      <c r="BH57" s="45"/>
      <c r="BI57" s="45"/>
      <c r="CG57" s="21"/>
    </row>
    <row r="58" spans="1:85" ht="9.75" customHeight="1" thickBot="1">
      <c r="A58" s="12">
        <v>55</v>
      </c>
      <c r="B58" s="4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8"/>
      <c r="AA58" s="48"/>
      <c r="AB58" s="48"/>
      <c r="AC58" s="48"/>
      <c r="AD58" s="48"/>
      <c r="AE58" s="48"/>
      <c r="AF58" s="49"/>
      <c r="AG58" s="49"/>
      <c r="AH58" s="49"/>
      <c r="AI58" s="49"/>
      <c r="AJ58" s="49"/>
      <c r="AK58" s="49"/>
      <c r="AL58" s="50"/>
      <c r="AM58" s="50"/>
      <c r="AN58" s="50"/>
      <c r="AO58" s="50"/>
      <c r="AP58" s="50"/>
      <c r="AQ58" s="50"/>
      <c r="AR58" s="51"/>
      <c r="AS58" s="51"/>
      <c r="AT58" s="51"/>
      <c r="AU58" s="51"/>
      <c r="AV58" s="51"/>
      <c r="AW58" s="51"/>
      <c r="AX58" s="50"/>
      <c r="AY58" s="50"/>
      <c r="AZ58" s="50"/>
      <c r="BA58" s="50"/>
      <c r="BB58" s="50"/>
      <c r="BC58" s="50"/>
      <c r="BD58" s="47"/>
      <c r="BE58" s="51"/>
      <c r="BF58" s="51"/>
      <c r="BG58" s="51"/>
      <c r="BH58" s="51"/>
      <c r="BI58" s="51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52"/>
    </row>
    <row r="59" spans="1:85" ht="9.75" customHeight="1">
      <c r="B59" s="152">
        <v>1</v>
      </c>
      <c r="C59" s="152"/>
      <c r="D59" s="152"/>
      <c r="E59" s="152"/>
      <c r="F59" s="152"/>
      <c r="G59" s="152"/>
      <c r="H59" s="152">
        <v>2</v>
      </c>
      <c r="I59" s="152"/>
      <c r="J59" s="152"/>
      <c r="K59" s="152"/>
      <c r="L59" s="152"/>
      <c r="M59" s="152"/>
      <c r="N59" s="152">
        <v>3</v>
      </c>
      <c r="O59" s="152"/>
      <c r="P59" s="152"/>
      <c r="Q59" s="152"/>
      <c r="R59" s="152"/>
      <c r="S59" s="152"/>
      <c r="T59" s="152">
        <v>4</v>
      </c>
      <c r="U59" s="152"/>
      <c r="V59" s="152"/>
      <c r="W59" s="152"/>
      <c r="X59" s="152"/>
      <c r="Y59" s="152"/>
      <c r="Z59" s="152">
        <v>5</v>
      </c>
      <c r="AA59" s="152"/>
      <c r="AB59" s="152"/>
      <c r="AC59" s="152"/>
      <c r="AD59" s="152"/>
      <c r="AE59" s="152"/>
      <c r="AF59" s="152">
        <v>6</v>
      </c>
      <c r="AG59" s="152"/>
      <c r="AH59" s="152"/>
      <c r="AI59" s="152"/>
      <c r="AJ59" s="152"/>
      <c r="AK59" s="152"/>
      <c r="AL59" s="152">
        <v>7</v>
      </c>
      <c r="AM59" s="152"/>
      <c r="AN59" s="152"/>
      <c r="AO59" s="152"/>
      <c r="AP59" s="152"/>
      <c r="AQ59" s="152"/>
      <c r="AR59" s="152">
        <v>8</v>
      </c>
      <c r="AS59" s="152"/>
      <c r="AT59" s="152"/>
      <c r="AU59" s="152"/>
      <c r="AV59" s="152"/>
      <c r="AW59" s="152"/>
      <c r="AX59" s="152">
        <v>9</v>
      </c>
      <c r="AY59" s="152"/>
      <c r="AZ59" s="152"/>
      <c r="BA59" s="152"/>
      <c r="BB59" s="152"/>
      <c r="BC59" s="152"/>
      <c r="BD59" s="152">
        <v>10</v>
      </c>
      <c r="BE59" s="152"/>
      <c r="BF59" s="152"/>
      <c r="BG59" s="152"/>
      <c r="BH59" s="152"/>
      <c r="BI59" s="152"/>
      <c r="BJ59" s="152">
        <v>11</v>
      </c>
      <c r="BK59" s="152"/>
      <c r="BL59" s="152"/>
      <c r="BM59" s="152"/>
      <c r="BN59" s="152"/>
      <c r="BO59" s="152"/>
      <c r="BP59" s="152">
        <v>12</v>
      </c>
      <c r="BQ59" s="152"/>
      <c r="BR59" s="152"/>
      <c r="BS59" s="152"/>
      <c r="BT59" s="152"/>
      <c r="BU59" s="152"/>
      <c r="BV59" s="152">
        <v>13</v>
      </c>
      <c r="BW59" s="152"/>
      <c r="BX59" s="152"/>
      <c r="BY59" s="152"/>
      <c r="BZ59" s="152"/>
      <c r="CA59" s="152"/>
      <c r="CB59" s="152">
        <v>14</v>
      </c>
      <c r="CC59" s="152"/>
      <c r="CD59" s="152"/>
      <c r="CE59" s="152"/>
      <c r="CF59" s="152"/>
      <c r="CG59" s="152"/>
    </row>
    <row r="60" spans="1:85" ht="17.45" customHeight="1"/>
    <row r="61" spans="1:85" ht="17.45" customHeight="1"/>
    <row r="62" spans="1:85" ht="17.45" customHeight="1"/>
  </sheetData>
  <mergeCells count="587">
    <mergeCell ref="B22:G22"/>
    <mergeCell ref="H22:M22"/>
    <mergeCell ref="N22:S22"/>
    <mergeCell ref="T22:Y22"/>
    <mergeCell ref="C23:G23"/>
    <mergeCell ref="H23:M23"/>
    <mergeCell ref="N23:S23"/>
    <mergeCell ref="T23:Y23"/>
    <mergeCell ref="C24:G24"/>
    <mergeCell ref="H24:M24"/>
    <mergeCell ref="N24:S24"/>
    <mergeCell ref="T24:Y24"/>
    <mergeCell ref="H8:M8"/>
    <mergeCell ref="N8:S8"/>
    <mergeCell ref="T8:Y8"/>
    <mergeCell ref="Z8:AE8"/>
    <mergeCell ref="B9:G9"/>
    <mergeCell ref="BP4:BU4"/>
    <mergeCell ref="BV4:CA4"/>
    <mergeCell ref="CB4:CG4"/>
    <mergeCell ref="B7:G8"/>
    <mergeCell ref="BV5:CA5"/>
    <mergeCell ref="B5:G5"/>
    <mergeCell ref="AF8:AK8"/>
    <mergeCell ref="AL8:AQ8"/>
    <mergeCell ref="AR8:AW8"/>
    <mergeCell ref="AX8:BC8"/>
    <mergeCell ref="CB8:CG8"/>
    <mergeCell ref="H7:AE7"/>
    <mergeCell ref="AF7:BC7"/>
    <mergeCell ref="BD7:BI8"/>
    <mergeCell ref="CB5:CG5"/>
    <mergeCell ref="BJ5:BO5"/>
    <mergeCell ref="BP5:BU5"/>
    <mergeCell ref="BD4:BI4"/>
    <mergeCell ref="Z9:AE9"/>
    <mergeCell ref="BJ4:BO4"/>
    <mergeCell ref="AA5:AE5"/>
    <mergeCell ref="CB7:CG7"/>
    <mergeCell ref="B6:BC6"/>
    <mergeCell ref="CN1:CO1"/>
    <mergeCell ref="T3:Y3"/>
    <mergeCell ref="B4:G4"/>
    <mergeCell ref="H4:M4"/>
    <mergeCell ref="Z4:AE4"/>
    <mergeCell ref="AF4:AK4"/>
    <mergeCell ref="AL4:AQ4"/>
    <mergeCell ref="AR4:AW4"/>
    <mergeCell ref="AX4:BC4"/>
    <mergeCell ref="AY5:BC5"/>
    <mergeCell ref="BE5:BI5"/>
    <mergeCell ref="AG5:AK5"/>
    <mergeCell ref="AL5:AQ5"/>
    <mergeCell ref="AR5:AW5"/>
    <mergeCell ref="I5:M5"/>
    <mergeCell ref="O5:S5"/>
    <mergeCell ref="U5:Y5"/>
    <mergeCell ref="B2:E2"/>
    <mergeCell ref="F2:CG2"/>
    <mergeCell ref="AR9:AW9"/>
    <mergeCell ref="AX9:BC9"/>
    <mergeCell ref="BD9:BI9"/>
    <mergeCell ref="BJ9:CG9"/>
    <mergeCell ref="C10:G10"/>
    <mergeCell ref="H10:M10"/>
    <mergeCell ref="N10:S10"/>
    <mergeCell ref="T10:Y10"/>
    <mergeCell ref="Z10:AE10"/>
    <mergeCell ref="AF10:AK10"/>
    <mergeCell ref="AF9:AK9"/>
    <mergeCell ref="AL9:AQ9"/>
    <mergeCell ref="H9:M9"/>
    <mergeCell ref="N9:S9"/>
    <mergeCell ref="T9:Y9"/>
    <mergeCell ref="AX11:BC11"/>
    <mergeCell ref="BD11:BI11"/>
    <mergeCell ref="BJ11:BO11"/>
    <mergeCell ref="BP11:BU11"/>
    <mergeCell ref="BV11:CA11"/>
    <mergeCell ref="CB11:CG11"/>
    <mergeCell ref="BV10:CA10"/>
    <mergeCell ref="CB10:CG10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X10:BC10"/>
    <mergeCell ref="BD10:BI10"/>
    <mergeCell ref="BJ10:BO10"/>
    <mergeCell ref="BP10:BU10"/>
    <mergeCell ref="CB13:CG13"/>
    <mergeCell ref="BV12:CA12"/>
    <mergeCell ref="CB12:CG12"/>
    <mergeCell ref="AX12:BC12"/>
    <mergeCell ref="BD12:BI12"/>
    <mergeCell ref="BJ12:BO12"/>
    <mergeCell ref="BP12:BU12"/>
    <mergeCell ref="AX13:BC13"/>
    <mergeCell ref="BD13:BI13"/>
    <mergeCell ref="BP13:BU13"/>
    <mergeCell ref="BV13:CA13"/>
    <mergeCell ref="BJ13:BO13"/>
    <mergeCell ref="AR12:AW12"/>
    <mergeCell ref="C12:G12"/>
    <mergeCell ref="H12:M12"/>
    <mergeCell ref="N12:S12"/>
    <mergeCell ref="T12:Y12"/>
    <mergeCell ref="Z12:AE12"/>
    <mergeCell ref="AF12:AK12"/>
    <mergeCell ref="AL10:AQ10"/>
    <mergeCell ref="AR10:AW10"/>
    <mergeCell ref="AL12:AQ12"/>
    <mergeCell ref="AR13:AW13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L14:AQ14"/>
    <mergeCell ref="AR14:AW14"/>
    <mergeCell ref="C14:G14"/>
    <mergeCell ref="H14:M14"/>
    <mergeCell ref="N14:S14"/>
    <mergeCell ref="T14:Y14"/>
    <mergeCell ref="Z14:AE14"/>
    <mergeCell ref="AF14:AK14"/>
    <mergeCell ref="C13:G13"/>
    <mergeCell ref="H13:M13"/>
    <mergeCell ref="N13:S13"/>
    <mergeCell ref="T13:Y13"/>
    <mergeCell ref="Z13:AE13"/>
    <mergeCell ref="AF13:AK13"/>
    <mergeCell ref="AL13:AQ13"/>
    <mergeCell ref="BD17:BI17"/>
    <mergeCell ref="AX15:BC15"/>
    <mergeCell ref="BD15:BI15"/>
    <mergeCell ref="BJ15:BO15"/>
    <mergeCell ref="BP15:BU15"/>
    <mergeCell ref="BV15:CA15"/>
    <mergeCell ref="CB15:CG15"/>
    <mergeCell ref="BV14:CA14"/>
    <mergeCell ref="CB14:CG14"/>
    <mergeCell ref="AX14:BC14"/>
    <mergeCell ref="BD14:BI14"/>
    <mergeCell ref="BJ14:BO14"/>
    <mergeCell ref="BP14:BU14"/>
    <mergeCell ref="AX18:BC18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AR16:AW16"/>
    <mergeCell ref="AX16:BC16"/>
    <mergeCell ref="BD16:BI16"/>
    <mergeCell ref="C16:G16"/>
    <mergeCell ref="H16:M16"/>
    <mergeCell ref="N16:S16"/>
    <mergeCell ref="T16:Y16"/>
    <mergeCell ref="Z16:AE16"/>
    <mergeCell ref="AF16:AK16"/>
    <mergeCell ref="AL16:AQ16"/>
    <mergeCell ref="BD18:BI18"/>
    <mergeCell ref="BJ17:BO18"/>
    <mergeCell ref="BP17:CG17"/>
    <mergeCell ref="C19:G19"/>
    <mergeCell ref="H19:M19"/>
    <mergeCell ref="N19:S19"/>
    <mergeCell ref="T19:Y19"/>
    <mergeCell ref="Z19:AE19"/>
    <mergeCell ref="AF19:AK19"/>
    <mergeCell ref="CB18:CG18"/>
    <mergeCell ref="AL19:AQ19"/>
    <mergeCell ref="AR19:AW19"/>
    <mergeCell ref="AX19:BC19"/>
    <mergeCell ref="BD19:BI19"/>
    <mergeCell ref="BP18:BU18"/>
    <mergeCell ref="BV18:CA18"/>
    <mergeCell ref="C18:G18"/>
    <mergeCell ref="H18:M18"/>
    <mergeCell ref="N18:S18"/>
    <mergeCell ref="T18:Y18"/>
    <mergeCell ref="Z18:AE18"/>
    <mergeCell ref="AF18:AK18"/>
    <mergeCell ref="AL18:AQ18"/>
    <mergeCell ref="AR18:AW18"/>
    <mergeCell ref="BV19:CA19"/>
    <mergeCell ref="CB19:CG19"/>
    <mergeCell ref="BV20:CA20"/>
    <mergeCell ref="CB20:CG20"/>
    <mergeCell ref="BV21:CA21"/>
    <mergeCell ref="CB21:CG21"/>
    <mergeCell ref="BV22:CA22"/>
    <mergeCell ref="CB22:CG22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BL20:BO20"/>
    <mergeCell ref="BP20:BU20"/>
    <mergeCell ref="C21:G21"/>
    <mergeCell ref="H21:M21"/>
    <mergeCell ref="N21:S21"/>
    <mergeCell ref="T21:Y21"/>
    <mergeCell ref="Z21:AE21"/>
    <mergeCell ref="BD20:BI20"/>
    <mergeCell ref="BJ19:BK22"/>
    <mergeCell ref="BL19:BO19"/>
    <mergeCell ref="BP19:BU19"/>
    <mergeCell ref="AX22:BC22"/>
    <mergeCell ref="BD22:BI22"/>
    <mergeCell ref="BL21:BO21"/>
    <mergeCell ref="BP21:BU21"/>
    <mergeCell ref="BD21:BI21"/>
    <mergeCell ref="Z22:AE22"/>
    <mergeCell ref="AF22:AK22"/>
    <mergeCell ref="AL21:AQ21"/>
    <mergeCell ref="AR21:AW21"/>
    <mergeCell ref="AX21:BC21"/>
    <mergeCell ref="AF21:AK21"/>
    <mergeCell ref="BV24:CA24"/>
    <mergeCell ref="CB24:CG24"/>
    <mergeCell ref="AX23:BC23"/>
    <mergeCell ref="BD23:BI23"/>
    <mergeCell ref="BL22:BO22"/>
    <mergeCell ref="BP22:BU22"/>
    <mergeCell ref="Z23:AE23"/>
    <mergeCell ref="AF23:AK23"/>
    <mergeCell ref="Z24:AE24"/>
    <mergeCell ref="AF24:AK24"/>
    <mergeCell ref="AL24:AQ24"/>
    <mergeCell ref="AR24:AW24"/>
    <mergeCell ref="AL23:AQ23"/>
    <mergeCell ref="AR23:AW23"/>
    <mergeCell ref="AL22:AQ22"/>
    <mergeCell ref="AR22:AW22"/>
    <mergeCell ref="Z26:AE26"/>
    <mergeCell ref="AF26:AK26"/>
    <mergeCell ref="AL26:AQ26"/>
    <mergeCell ref="AR26:AW26"/>
    <mergeCell ref="AX26:BC26"/>
    <mergeCell ref="CB23:CG23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X25:BC25"/>
    <mergeCell ref="AX24:BC24"/>
    <mergeCell ref="BD24:BI24"/>
    <mergeCell ref="BJ23:BK25"/>
    <mergeCell ref="BL23:BO23"/>
    <mergeCell ref="BP23:BU23"/>
    <mergeCell ref="BV23:CA23"/>
    <mergeCell ref="BD25:BI25"/>
    <mergeCell ref="BL24:BO24"/>
    <mergeCell ref="BP24:BU24"/>
    <mergeCell ref="AL28:AQ28"/>
    <mergeCell ref="AR28:AW28"/>
    <mergeCell ref="AX28:BC28"/>
    <mergeCell ref="BD26:BI26"/>
    <mergeCell ref="BL25:BO25"/>
    <mergeCell ref="BP25:BU25"/>
    <mergeCell ref="BV25:CA25"/>
    <mergeCell ref="CB25:CG25"/>
    <mergeCell ref="B27:G27"/>
    <mergeCell ref="H27:M27"/>
    <mergeCell ref="N27:S27"/>
    <mergeCell ref="T27:Y27"/>
    <mergeCell ref="Z27:AE27"/>
    <mergeCell ref="BP26:CG26"/>
    <mergeCell ref="AF27:AK27"/>
    <mergeCell ref="AL27:AQ27"/>
    <mergeCell ref="AR27:AW27"/>
    <mergeCell ref="AX27:BC27"/>
    <mergeCell ref="BD27:BI27"/>
    <mergeCell ref="BJ26:BO27"/>
    <mergeCell ref="B26:G26"/>
    <mergeCell ref="H26:M26"/>
    <mergeCell ref="N26:S26"/>
    <mergeCell ref="T26:Y26"/>
    <mergeCell ref="BD28:BI28"/>
    <mergeCell ref="BP27:BU27"/>
    <mergeCell ref="BV27:CA27"/>
    <mergeCell ref="CB27:CG27"/>
    <mergeCell ref="B29:G29"/>
    <mergeCell ref="H29:M29"/>
    <mergeCell ref="N29:S29"/>
    <mergeCell ref="T29:Y29"/>
    <mergeCell ref="Z29:AE29"/>
    <mergeCell ref="AF29:AK29"/>
    <mergeCell ref="AL29:AQ29"/>
    <mergeCell ref="CB28:CG28"/>
    <mergeCell ref="AR29:AW29"/>
    <mergeCell ref="AX29:BC29"/>
    <mergeCell ref="BD29:BI29"/>
    <mergeCell ref="BJ28:BO28"/>
    <mergeCell ref="BP28:BU28"/>
    <mergeCell ref="BV28:CA28"/>
    <mergeCell ref="B28:G28"/>
    <mergeCell ref="H28:M28"/>
    <mergeCell ref="N28:S28"/>
    <mergeCell ref="T28:Y28"/>
    <mergeCell ref="Z28:AE28"/>
    <mergeCell ref="AF28:AK28"/>
    <mergeCell ref="BJ29:BO29"/>
    <mergeCell ref="BP29:BU29"/>
    <mergeCell ref="BV29:CA29"/>
    <mergeCell ref="CB29:CG29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BP30:BU30"/>
    <mergeCell ref="BV30:CA30"/>
    <mergeCell ref="CB30:CG30"/>
    <mergeCell ref="AR31:AW31"/>
    <mergeCell ref="AX31:BC31"/>
    <mergeCell ref="BD31:BI31"/>
    <mergeCell ref="B32:G32"/>
    <mergeCell ref="H32:M32"/>
    <mergeCell ref="N32:S32"/>
    <mergeCell ref="T32:Y32"/>
    <mergeCell ref="Z32:AE32"/>
    <mergeCell ref="AF32:AK32"/>
    <mergeCell ref="AL32:AQ32"/>
    <mergeCell ref="AF31:AK31"/>
    <mergeCell ref="AL31:AQ31"/>
    <mergeCell ref="BJ30:BO30"/>
    <mergeCell ref="AR32:AW32"/>
    <mergeCell ref="AX32:BC32"/>
    <mergeCell ref="BD30:BI30"/>
    <mergeCell ref="BD32:BI32"/>
    <mergeCell ref="BJ36:BO36"/>
    <mergeCell ref="BP36:BU36"/>
    <mergeCell ref="BV36:CA36"/>
    <mergeCell ref="CB36:CG36"/>
    <mergeCell ref="BD35:BI36"/>
    <mergeCell ref="BJ35:BU35"/>
    <mergeCell ref="BV35:CG35"/>
    <mergeCell ref="CB38:CG38"/>
    <mergeCell ref="BJ37:BO37"/>
    <mergeCell ref="BP37:BU37"/>
    <mergeCell ref="BV37:CA37"/>
    <mergeCell ref="CB37:CG37"/>
    <mergeCell ref="Z37:AE37"/>
    <mergeCell ref="BJ38:BO38"/>
    <mergeCell ref="AX33:BC33"/>
    <mergeCell ref="BD33:BI33"/>
    <mergeCell ref="BD37:BI37"/>
    <mergeCell ref="Z35:AE35"/>
    <mergeCell ref="BP38:BU38"/>
    <mergeCell ref="C37:G37"/>
    <mergeCell ref="H37:M37"/>
    <mergeCell ref="N37:S37"/>
    <mergeCell ref="T37:Y37"/>
    <mergeCell ref="BE38:BI38"/>
    <mergeCell ref="N33:S33"/>
    <mergeCell ref="T33:Y33"/>
    <mergeCell ref="Z33:AE33"/>
    <mergeCell ref="AF33:AK33"/>
    <mergeCell ref="AL33:AQ33"/>
    <mergeCell ref="AR33:AW33"/>
    <mergeCell ref="T35:Y35"/>
    <mergeCell ref="N35:S35"/>
    <mergeCell ref="H35:M35"/>
    <mergeCell ref="B35:G35"/>
    <mergeCell ref="B33:G33"/>
    <mergeCell ref="H33:M33"/>
    <mergeCell ref="B36:B48"/>
    <mergeCell ref="C36:G36"/>
    <mergeCell ref="BF43:BI43"/>
    <mergeCell ref="C43:G43"/>
    <mergeCell ref="H43:M43"/>
    <mergeCell ref="N43:S43"/>
    <mergeCell ref="T43:Y43"/>
    <mergeCell ref="BJ39:BO39"/>
    <mergeCell ref="BP39:BU39"/>
    <mergeCell ref="BE41:BI41"/>
    <mergeCell ref="N42:S42"/>
    <mergeCell ref="T42:Y42"/>
    <mergeCell ref="BJ41:BO41"/>
    <mergeCell ref="BP41:BU41"/>
    <mergeCell ref="C41:G41"/>
    <mergeCell ref="H41:M41"/>
    <mergeCell ref="N41:S41"/>
    <mergeCell ref="T41:Y41"/>
    <mergeCell ref="Z41:AE41"/>
    <mergeCell ref="BE42:BI42"/>
    <mergeCell ref="BJ42:BO42"/>
    <mergeCell ref="BP42:BU42"/>
    <mergeCell ref="Z42:AE42"/>
    <mergeCell ref="Z43:AE43"/>
    <mergeCell ref="CB39:CG39"/>
    <mergeCell ref="C38:G38"/>
    <mergeCell ref="H38:M38"/>
    <mergeCell ref="N38:S38"/>
    <mergeCell ref="T38:Y38"/>
    <mergeCell ref="Z38:AE38"/>
    <mergeCell ref="BE39:BI39"/>
    <mergeCell ref="BE40:BI40"/>
    <mergeCell ref="BJ40:BO40"/>
    <mergeCell ref="BP40:BU40"/>
    <mergeCell ref="C40:G40"/>
    <mergeCell ref="H40:M40"/>
    <mergeCell ref="N40:S40"/>
    <mergeCell ref="T40:Y40"/>
    <mergeCell ref="Z40:AE40"/>
    <mergeCell ref="C39:G39"/>
    <mergeCell ref="H39:M39"/>
    <mergeCell ref="N39:S39"/>
    <mergeCell ref="T39:Y39"/>
    <mergeCell ref="Z39:AE39"/>
    <mergeCell ref="BD40:BD46"/>
    <mergeCell ref="C42:G42"/>
    <mergeCell ref="H42:M42"/>
    <mergeCell ref="C44:G44"/>
    <mergeCell ref="H44:M44"/>
    <mergeCell ref="N44:S44"/>
    <mergeCell ref="T44:Y44"/>
    <mergeCell ref="Z44:AE44"/>
    <mergeCell ref="C46:G46"/>
    <mergeCell ref="H46:M46"/>
    <mergeCell ref="N46:S46"/>
    <mergeCell ref="T46:Y46"/>
    <mergeCell ref="Z46:AE46"/>
    <mergeCell ref="C45:G45"/>
    <mergeCell ref="H45:M45"/>
    <mergeCell ref="N45:S45"/>
    <mergeCell ref="T45:Y45"/>
    <mergeCell ref="Z45:AE45"/>
    <mergeCell ref="C47:G47"/>
    <mergeCell ref="H47:M47"/>
    <mergeCell ref="N47:S47"/>
    <mergeCell ref="T47:Y47"/>
    <mergeCell ref="Z47:AE47"/>
    <mergeCell ref="BD48:BI49"/>
    <mergeCell ref="CB49:CG49"/>
    <mergeCell ref="B51:G51"/>
    <mergeCell ref="H51:M51"/>
    <mergeCell ref="N51:S51"/>
    <mergeCell ref="T51:Y51"/>
    <mergeCell ref="Z51:AE51"/>
    <mergeCell ref="CB50:CG50"/>
    <mergeCell ref="B50:G50"/>
    <mergeCell ref="CB51:CG51"/>
    <mergeCell ref="B49:G49"/>
    <mergeCell ref="BV48:CG48"/>
    <mergeCell ref="C48:G48"/>
    <mergeCell ref="H48:M48"/>
    <mergeCell ref="N48:S48"/>
    <mergeCell ref="T48:Y48"/>
    <mergeCell ref="Z48:AE48"/>
    <mergeCell ref="BJ49:BO49"/>
    <mergeCell ref="BP49:BU49"/>
    <mergeCell ref="BE51:BI51"/>
    <mergeCell ref="BJ51:BO51"/>
    <mergeCell ref="BP51:BU51"/>
    <mergeCell ref="BV51:CA51"/>
    <mergeCell ref="H49:M49"/>
    <mergeCell ref="N49:S49"/>
    <mergeCell ref="T49:Y49"/>
    <mergeCell ref="Z49:AE49"/>
    <mergeCell ref="BD50:BD52"/>
    <mergeCell ref="BJ50:BO50"/>
    <mergeCell ref="BP50:BU50"/>
    <mergeCell ref="BV49:CA49"/>
    <mergeCell ref="BJ48:BU48"/>
    <mergeCell ref="H36:M36"/>
    <mergeCell ref="N36:S36"/>
    <mergeCell ref="T36:Y36"/>
    <mergeCell ref="Z36:AE36"/>
    <mergeCell ref="BV50:CA50"/>
    <mergeCell ref="H50:M50"/>
    <mergeCell ref="N50:S50"/>
    <mergeCell ref="T50:Y50"/>
    <mergeCell ref="Z50:AE50"/>
    <mergeCell ref="BF45:BI45"/>
    <mergeCell ref="BJ45:BO45"/>
    <mergeCell ref="BP45:BU45"/>
    <mergeCell ref="BJ46:BO46"/>
    <mergeCell ref="BP46:BU46"/>
    <mergeCell ref="BF46:BI46"/>
    <mergeCell ref="BJ43:BO43"/>
    <mergeCell ref="BP43:BU43"/>
    <mergeCell ref="BV39:CA39"/>
    <mergeCell ref="BV38:CA38"/>
    <mergeCell ref="BV45:CA45"/>
    <mergeCell ref="BF44:BI44"/>
    <mergeCell ref="BJ44:BO44"/>
    <mergeCell ref="BP44:BU44"/>
    <mergeCell ref="C52:G52"/>
    <mergeCell ref="H52:M52"/>
    <mergeCell ref="N52:S52"/>
    <mergeCell ref="T52:Y52"/>
    <mergeCell ref="Z52:AE52"/>
    <mergeCell ref="BD53:BD55"/>
    <mergeCell ref="BE53:BI53"/>
    <mergeCell ref="BJ53:BO53"/>
    <mergeCell ref="CB54:CG54"/>
    <mergeCell ref="B54:G54"/>
    <mergeCell ref="H54:M54"/>
    <mergeCell ref="BE52:BI52"/>
    <mergeCell ref="BJ52:BO52"/>
    <mergeCell ref="BP52:BU52"/>
    <mergeCell ref="B59:G59"/>
    <mergeCell ref="H59:M59"/>
    <mergeCell ref="N59:S59"/>
    <mergeCell ref="T59:Y59"/>
    <mergeCell ref="Z59:AE59"/>
    <mergeCell ref="AF59:AK59"/>
    <mergeCell ref="BE55:BI55"/>
    <mergeCell ref="BJ55:BO55"/>
    <mergeCell ref="BP55:BU55"/>
    <mergeCell ref="BD56:BI56"/>
    <mergeCell ref="BJ56:BO56"/>
    <mergeCell ref="BP56:BU56"/>
    <mergeCell ref="B55:G55"/>
    <mergeCell ref="B56:G56"/>
    <mergeCell ref="H55:M55"/>
    <mergeCell ref="H56:M56"/>
    <mergeCell ref="BV59:CA59"/>
    <mergeCell ref="CB59:CG59"/>
    <mergeCell ref="N4:S4"/>
    <mergeCell ref="T4:Y4"/>
    <mergeCell ref="AL59:AQ59"/>
    <mergeCell ref="AR59:AW59"/>
    <mergeCell ref="AX59:BC59"/>
    <mergeCell ref="BD59:BI59"/>
    <mergeCell ref="BJ59:BO59"/>
    <mergeCell ref="BP59:BU59"/>
    <mergeCell ref="BV55:CA55"/>
    <mergeCell ref="CB55:CG55"/>
    <mergeCell ref="BV56:CA56"/>
    <mergeCell ref="CB56:CG56"/>
    <mergeCell ref="BP53:BU53"/>
    <mergeCell ref="BV53:CA53"/>
    <mergeCell ref="CB53:CG53"/>
    <mergeCell ref="BE54:BI54"/>
    <mergeCell ref="BJ54:BO54"/>
    <mergeCell ref="BP54:BU54"/>
    <mergeCell ref="BV54:CA54"/>
    <mergeCell ref="BV52:CA52"/>
    <mergeCell ref="CB52:CG52"/>
    <mergeCell ref="BE50:BI50"/>
    <mergeCell ref="CB45:CG45"/>
    <mergeCell ref="BV46:CA46"/>
    <mergeCell ref="CB46:CG46"/>
    <mergeCell ref="BV40:CA40"/>
    <mergeCell ref="CB40:CG40"/>
    <mergeCell ref="BV41:CA41"/>
    <mergeCell ref="CB41:CG41"/>
    <mergeCell ref="BV42:CA42"/>
    <mergeCell ref="CB42:CG42"/>
    <mergeCell ref="BV43:CA43"/>
    <mergeCell ref="CB43:CG43"/>
    <mergeCell ref="BV44:CA44"/>
    <mergeCell ref="CB44:CG44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96"/>
  <sheetViews>
    <sheetView showGridLines="0" view="pageBreakPreview" zoomScale="130" zoomScaleNormal="55" zoomScaleSheetLayoutView="130" zoomScalePageLayoutView="55" workbookViewId="0"/>
  </sheetViews>
  <sheetFormatPr defaultColWidth="8" defaultRowHeight="12"/>
  <cols>
    <col min="1" max="1" width="2.625" style="5" customWidth="1"/>
    <col min="2" max="85" width="1.625" style="5" customWidth="1"/>
    <col min="86" max="86" width="1" style="5" customWidth="1"/>
    <col min="87" max="16384" width="8" style="5"/>
  </cols>
  <sheetData>
    <row r="1" spans="1:86" ht="13.7" customHeight="1">
      <c r="B1" s="53" t="str">
        <f>B5&amp;"年産　農業経営統計調査（米生産費統計（組織法人経営体））　集計結果表№２"</f>
        <v>年産　農業経営統計調査（米生産費統計（組織法人経営体））　集計結果表№２</v>
      </c>
      <c r="C1" s="5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372" t="s">
        <v>420</v>
      </c>
      <c r="C2" s="372"/>
      <c r="D2" s="372"/>
      <c r="E2" s="372"/>
      <c r="F2" s="627" t="str">
        <f>IF('No1'!F2&lt;&gt;"",'No1'!F2,"")</f>
        <v/>
      </c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7"/>
      <c r="AD2" s="627"/>
      <c r="AE2" s="627"/>
      <c r="AF2" s="627"/>
      <c r="AG2" s="627"/>
      <c r="AH2" s="627"/>
      <c r="AI2" s="627"/>
      <c r="AJ2" s="627"/>
      <c r="AK2" s="627"/>
      <c r="AL2" s="627"/>
      <c r="AM2" s="627"/>
      <c r="AN2" s="627"/>
      <c r="AO2" s="627"/>
      <c r="AP2" s="627"/>
      <c r="AQ2" s="627"/>
      <c r="AR2" s="627"/>
      <c r="AS2" s="627"/>
      <c r="AT2" s="627"/>
      <c r="AU2" s="627"/>
      <c r="AV2" s="627"/>
      <c r="AW2" s="627"/>
      <c r="AX2" s="627"/>
      <c r="AY2" s="627"/>
      <c r="AZ2" s="627"/>
      <c r="BA2" s="627"/>
      <c r="BB2" s="627"/>
      <c r="BC2" s="627"/>
      <c r="BD2" s="627"/>
      <c r="BE2" s="627"/>
      <c r="BF2" s="627"/>
      <c r="BG2" s="627"/>
      <c r="BH2" s="627"/>
      <c r="BI2" s="627"/>
      <c r="BJ2" s="627"/>
      <c r="BK2" s="627"/>
      <c r="BL2" s="627"/>
      <c r="BM2" s="627"/>
      <c r="BN2" s="627"/>
      <c r="BO2" s="627"/>
      <c r="BP2" s="627"/>
      <c r="BQ2" s="627"/>
      <c r="BR2" s="627"/>
      <c r="BS2" s="627"/>
      <c r="BT2" s="627"/>
      <c r="BU2" s="627"/>
      <c r="BV2" s="627"/>
      <c r="BW2" s="627"/>
      <c r="BX2" s="627"/>
      <c r="BY2" s="627"/>
      <c r="BZ2" s="627"/>
      <c r="CA2" s="627"/>
      <c r="CB2" s="627"/>
      <c r="CC2" s="627"/>
      <c r="CD2" s="627"/>
      <c r="CE2" s="627"/>
      <c r="CF2" s="627"/>
      <c r="CG2" s="627"/>
    </row>
    <row r="3" spans="1:86" ht="9.75" customHeight="1" thickBot="1">
      <c r="B3" s="6" t="s">
        <v>247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57"/>
      <c r="U3" s="357"/>
      <c r="V3" s="357"/>
      <c r="W3" s="357"/>
      <c r="X3" s="357"/>
      <c r="Y3" s="35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ht="9.75" customHeight="1">
      <c r="A4" s="12">
        <v>1</v>
      </c>
      <c r="B4" s="358" t="s">
        <v>0</v>
      </c>
      <c r="C4" s="154"/>
      <c r="D4" s="154"/>
      <c r="E4" s="154"/>
      <c r="F4" s="154"/>
      <c r="G4" s="359"/>
      <c r="H4" s="360" t="s">
        <v>243</v>
      </c>
      <c r="I4" s="361"/>
      <c r="J4" s="361"/>
      <c r="K4" s="361"/>
      <c r="L4" s="361"/>
      <c r="M4" s="362"/>
      <c r="N4" s="153" t="s">
        <v>352</v>
      </c>
      <c r="O4" s="154"/>
      <c r="P4" s="154"/>
      <c r="Q4" s="154"/>
      <c r="R4" s="154"/>
      <c r="S4" s="154"/>
      <c r="T4" s="153" t="s">
        <v>83</v>
      </c>
      <c r="U4" s="154"/>
      <c r="V4" s="154"/>
      <c r="W4" s="154"/>
      <c r="X4" s="154"/>
      <c r="Y4" s="154"/>
      <c r="Z4" s="153" t="s">
        <v>353</v>
      </c>
      <c r="AA4" s="154"/>
      <c r="AB4" s="154"/>
      <c r="AC4" s="154"/>
      <c r="AD4" s="154"/>
      <c r="AE4" s="359"/>
      <c r="AF4" s="363" t="s">
        <v>279</v>
      </c>
      <c r="AG4" s="363"/>
      <c r="AH4" s="363"/>
      <c r="AI4" s="363"/>
      <c r="AJ4" s="363"/>
      <c r="AK4" s="363"/>
      <c r="AL4" s="153" t="s">
        <v>339</v>
      </c>
      <c r="AM4" s="154"/>
      <c r="AN4" s="154"/>
      <c r="AO4" s="154"/>
      <c r="AP4" s="154"/>
      <c r="AQ4" s="359"/>
      <c r="AR4" s="153" t="s">
        <v>244</v>
      </c>
      <c r="AS4" s="154"/>
      <c r="AT4" s="154"/>
      <c r="AU4" s="154"/>
      <c r="AV4" s="154"/>
      <c r="AW4" s="359"/>
      <c r="AX4" s="363" t="s">
        <v>354</v>
      </c>
      <c r="AY4" s="363"/>
      <c r="AZ4" s="363"/>
      <c r="BA4" s="363"/>
      <c r="BB4" s="363"/>
      <c r="BC4" s="363"/>
      <c r="BD4" s="397" t="s">
        <v>342</v>
      </c>
      <c r="BE4" s="397"/>
      <c r="BF4" s="397"/>
      <c r="BG4" s="397"/>
      <c r="BH4" s="397"/>
      <c r="BI4" s="397"/>
      <c r="BJ4" s="605"/>
      <c r="BK4" s="605"/>
      <c r="BL4" s="605"/>
      <c r="BM4" s="605"/>
      <c r="BN4" s="605"/>
      <c r="BO4" s="605"/>
      <c r="BP4" s="605"/>
      <c r="BQ4" s="605"/>
      <c r="BR4" s="605"/>
      <c r="BS4" s="605"/>
      <c r="BT4" s="605"/>
      <c r="BU4" s="605"/>
      <c r="BV4" s="605"/>
      <c r="BW4" s="605"/>
      <c r="BX4" s="605"/>
      <c r="BY4" s="605"/>
      <c r="BZ4" s="605"/>
      <c r="CA4" s="605"/>
      <c r="CB4" s="605"/>
      <c r="CC4" s="605"/>
      <c r="CD4" s="605"/>
      <c r="CE4" s="605"/>
      <c r="CF4" s="605"/>
      <c r="CG4" s="606"/>
    </row>
    <row r="5" spans="1:86" ht="9.75" customHeight="1" thickBot="1">
      <c r="A5" s="12">
        <v>2</v>
      </c>
      <c r="B5" s="385" t="str">
        <f>IF('No1'!B5&lt;&gt;"",'No1'!B5,"")</f>
        <v/>
      </c>
      <c r="C5" s="386"/>
      <c r="D5" s="386"/>
      <c r="E5" s="386"/>
      <c r="F5" s="386"/>
      <c r="G5" s="387"/>
      <c r="H5" s="13" t="str">
        <f>IF('No1'!H5&lt;&gt;"",'No1'!H5,"")</f>
        <v/>
      </c>
      <c r="I5" s="609" t="str">
        <f>'No1'!I5</f>
        <v/>
      </c>
      <c r="J5" s="609"/>
      <c r="K5" s="609"/>
      <c r="L5" s="609"/>
      <c r="M5" s="610"/>
      <c r="N5" s="14" t="str">
        <f>IF('No1'!N5&lt;&gt;"",'No1'!N5,"")</f>
        <v/>
      </c>
      <c r="O5" s="370" t="str">
        <f>'No1'!O5</f>
        <v/>
      </c>
      <c r="P5" s="370"/>
      <c r="Q5" s="370"/>
      <c r="R5" s="370"/>
      <c r="S5" s="371"/>
      <c r="T5" s="14" t="str">
        <f>IF('No1'!T5&lt;&gt;"",'No1'!T5,"")</f>
        <v/>
      </c>
      <c r="U5" s="370" t="str">
        <f>'No1'!U5</f>
        <v/>
      </c>
      <c r="V5" s="370"/>
      <c r="W5" s="370"/>
      <c r="X5" s="370"/>
      <c r="Y5" s="371"/>
      <c r="Z5" s="15" t="str">
        <f>IF('No1'!Z5&lt;&gt;"",'No1'!Z5,"")</f>
        <v/>
      </c>
      <c r="AA5" s="607" t="str">
        <f>'No1'!AA5</f>
        <v/>
      </c>
      <c r="AB5" s="607"/>
      <c r="AC5" s="607"/>
      <c r="AD5" s="607"/>
      <c r="AE5" s="608"/>
      <c r="AF5" s="16" t="str">
        <f>IF('No1'!AF5&lt;&gt;"",'No1'!AF5,"")</f>
        <v/>
      </c>
      <c r="AG5" s="607" t="str">
        <f>'No1'!AG5</f>
        <v/>
      </c>
      <c r="AH5" s="607"/>
      <c r="AI5" s="607"/>
      <c r="AJ5" s="607"/>
      <c r="AK5" s="608"/>
      <c r="AL5" s="364" t="str">
        <f>IF('No1'!AL5&lt;&gt;"",'No1'!AL5,"")</f>
        <v/>
      </c>
      <c r="AM5" s="365"/>
      <c r="AN5" s="365"/>
      <c r="AO5" s="365"/>
      <c r="AP5" s="365"/>
      <c r="AQ5" s="366"/>
      <c r="AR5" s="367" t="str">
        <f>IF('No1'!AR5&lt;&gt;"",'No1'!AR5,"")</f>
        <v/>
      </c>
      <c r="AS5" s="368"/>
      <c r="AT5" s="368"/>
      <c r="AU5" s="368"/>
      <c r="AV5" s="368"/>
      <c r="AW5" s="369"/>
      <c r="AX5" s="17" t="str">
        <f>IF('No1'!AX5&lt;&gt;"",'No1'!AX5,"")</f>
        <v/>
      </c>
      <c r="AY5" s="607" t="str">
        <f>'No1'!AY5</f>
        <v/>
      </c>
      <c r="AZ5" s="607"/>
      <c r="BA5" s="607"/>
      <c r="BB5" s="607"/>
      <c r="BC5" s="608"/>
      <c r="BD5" s="16" t="str">
        <f>IF('No1'!BD5&lt;&gt;"",'No1'!BD5,"")</f>
        <v/>
      </c>
      <c r="BE5" s="607" t="str">
        <f>'No1'!BE5</f>
        <v/>
      </c>
      <c r="BF5" s="607"/>
      <c r="BG5" s="607"/>
      <c r="BH5" s="607"/>
      <c r="BI5" s="608"/>
      <c r="BJ5" s="384"/>
      <c r="BK5" s="384"/>
      <c r="BL5" s="384"/>
      <c r="BM5" s="384"/>
      <c r="BN5" s="384"/>
      <c r="BO5" s="384"/>
      <c r="BP5" s="384"/>
      <c r="BQ5" s="384"/>
      <c r="BR5" s="384"/>
      <c r="BS5" s="384"/>
      <c r="BT5" s="384"/>
      <c r="BU5" s="384"/>
      <c r="BV5" s="384"/>
      <c r="BW5" s="384"/>
      <c r="BX5" s="384"/>
      <c r="BY5" s="384"/>
      <c r="BZ5" s="384"/>
      <c r="CA5" s="384"/>
      <c r="CB5" s="384"/>
      <c r="CC5" s="384"/>
      <c r="CD5" s="384"/>
      <c r="CE5" s="384"/>
      <c r="CF5" s="384"/>
      <c r="CG5" s="394"/>
    </row>
    <row r="6" spans="1:86" ht="9.75" customHeight="1">
      <c r="A6" s="12">
        <v>3</v>
      </c>
      <c r="B6" s="453" t="s">
        <v>345</v>
      </c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  <c r="O6" s="454"/>
      <c r="P6" s="454"/>
      <c r="Q6" s="454"/>
      <c r="R6" s="454"/>
      <c r="S6" s="454"/>
      <c r="T6" s="454"/>
      <c r="U6" s="454"/>
      <c r="V6" s="454"/>
      <c r="W6" s="454"/>
      <c r="X6" s="454"/>
      <c r="Y6" s="454"/>
      <c r="Z6" s="454"/>
      <c r="AA6" s="454"/>
      <c r="AB6" s="454"/>
      <c r="AC6" s="454"/>
      <c r="AD6" s="454"/>
      <c r="AE6" s="454"/>
      <c r="AF6" s="454"/>
      <c r="AG6" s="454"/>
      <c r="AH6" s="454"/>
      <c r="AI6" s="454"/>
      <c r="AJ6" s="454"/>
      <c r="AK6" s="455"/>
      <c r="AL6" s="347" t="s">
        <v>366</v>
      </c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348"/>
      <c r="AY6" s="348"/>
      <c r="AZ6" s="348"/>
      <c r="BA6" s="348"/>
      <c r="BB6" s="348"/>
      <c r="BC6" s="348"/>
      <c r="BD6" s="348"/>
      <c r="BE6" s="348"/>
      <c r="BF6" s="348"/>
      <c r="BG6" s="348"/>
      <c r="BH6" s="348"/>
      <c r="BI6" s="348"/>
      <c r="BJ6" s="348"/>
      <c r="BK6" s="348"/>
      <c r="BL6" s="348"/>
      <c r="BM6" s="348"/>
      <c r="BN6" s="348"/>
      <c r="BO6" s="349"/>
      <c r="BP6" s="347" t="s">
        <v>367</v>
      </c>
      <c r="BQ6" s="348"/>
      <c r="BR6" s="348"/>
      <c r="BS6" s="348"/>
      <c r="BT6" s="348"/>
      <c r="BU6" s="348"/>
      <c r="BV6" s="348"/>
      <c r="BW6" s="348"/>
      <c r="BX6" s="348"/>
      <c r="BY6" s="348"/>
      <c r="BZ6" s="348"/>
      <c r="CA6" s="348"/>
      <c r="CB6" s="348"/>
      <c r="CC6" s="348"/>
      <c r="CD6" s="348"/>
      <c r="CE6" s="348"/>
      <c r="CF6" s="348"/>
      <c r="CG6" s="349"/>
    </row>
    <row r="7" spans="1:86" ht="9.75" customHeight="1">
      <c r="A7" s="55">
        <v>4</v>
      </c>
      <c r="B7" s="593" t="s">
        <v>275</v>
      </c>
      <c r="C7" s="543"/>
      <c r="D7" s="543"/>
      <c r="E7" s="543"/>
      <c r="F7" s="543"/>
      <c r="G7" s="543"/>
      <c r="H7" s="543"/>
      <c r="I7" s="543"/>
      <c r="J7" s="543"/>
      <c r="K7" s="543"/>
      <c r="L7" s="543"/>
      <c r="M7" s="391"/>
      <c r="N7" s="270" t="s">
        <v>265</v>
      </c>
      <c r="O7" s="267"/>
      <c r="P7" s="267"/>
      <c r="Q7" s="267"/>
      <c r="R7" s="267"/>
      <c r="S7" s="268"/>
      <c r="T7" s="267" t="s">
        <v>274</v>
      </c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8"/>
      <c r="AF7" s="270" t="s">
        <v>265</v>
      </c>
      <c r="AG7" s="267"/>
      <c r="AH7" s="267"/>
      <c r="AI7" s="267"/>
      <c r="AJ7" s="267"/>
      <c r="AK7" s="586"/>
      <c r="AL7" s="597"/>
      <c r="AM7" s="598"/>
      <c r="AN7" s="598"/>
      <c r="AO7" s="598"/>
      <c r="AP7" s="598"/>
      <c r="AQ7" s="598"/>
      <c r="AR7" s="601" t="s">
        <v>246</v>
      </c>
      <c r="AS7" s="519"/>
      <c r="AT7" s="519"/>
      <c r="AU7" s="519"/>
      <c r="AV7" s="519"/>
      <c r="AW7" s="519"/>
      <c r="AX7" s="519"/>
      <c r="AY7" s="519"/>
      <c r="AZ7" s="519"/>
      <c r="BA7" s="519"/>
      <c r="BB7" s="519"/>
      <c r="BC7" s="519"/>
      <c r="BD7" s="257" t="s">
        <v>88</v>
      </c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9"/>
      <c r="BP7" s="243"/>
      <c r="BQ7" s="244"/>
      <c r="BR7" s="244"/>
      <c r="BS7" s="244"/>
      <c r="BT7" s="244"/>
      <c r="BU7" s="244"/>
      <c r="BV7" s="434" t="s">
        <v>246</v>
      </c>
      <c r="BW7" s="435"/>
      <c r="BX7" s="435"/>
      <c r="BY7" s="435"/>
      <c r="BZ7" s="435"/>
      <c r="CA7" s="435"/>
      <c r="CB7" s="435" t="s">
        <v>7</v>
      </c>
      <c r="CC7" s="435"/>
      <c r="CD7" s="435"/>
      <c r="CE7" s="435"/>
      <c r="CF7" s="435"/>
      <c r="CG7" s="436"/>
      <c r="CH7" s="56"/>
    </row>
    <row r="8" spans="1:86" ht="9.75" customHeight="1">
      <c r="A8" s="55">
        <v>5</v>
      </c>
      <c r="B8" s="587" t="s">
        <v>240</v>
      </c>
      <c r="C8" s="588"/>
      <c r="D8" s="588"/>
      <c r="E8" s="588"/>
      <c r="F8" s="588"/>
      <c r="G8" s="588"/>
      <c r="H8" s="588"/>
      <c r="I8" s="588"/>
      <c r="J8" s="588"/>
      <c r="K8" s="588"/>
      <c r="L8" s="589"/>
      <c r="M8" s="57" t="s">
        <v>266</v>
      </c>
      <c r="N8" s="426"/>
      <c r="O8" s="427"/>
      <c r="P8" s="427"/>
      <c r="Q8" s="427"/>
      <c r="R8" s="427"/>
      <c r="S8" s="428"/>
      <c r="T8" s="277" t="s">
        <v>34</v>
      </c>
      <c r="U8" s="277"/>
      <c r="V8" s="277"/>
      <c r="W8" s="277"/>
      <c r="X8" s="277"/>
      <c r="Y8" s="277"/>
      <c r="Z8" s="277"/>
      <c r="AA8" s="277"/>
      <c r="AB8" s="277"/>
      <c r="AC8" s="277"/>
      <c r="AD8" s="437"/>
      <c r="AE8" s="57" t="s">
        <v>266</v>
      </c>
      <c r="AF8" s="426"/>
      <c r="AG8" s="427"/>
      <c r="AH8" s="427"/>
      <c r="AI8" s="427"/>
      <c r="AJ8" s="427"/>
      <c r="AK8" s="594"/>
      <c r="AL8" s="599"/>
      <c r="AM8" s="600"/>
      <c r="AN8" s="600"/>
      <c r="AO8" s="600"/>
      <c r="AP8" s="600"/>
      <c r="AQ8" s="600"/>
      <c r="AR8" s="403" t="s">
        <v>87</v>
      </c>
      <c r="AS8" s="404"/>
      <c r="AT8" s="404"/>
      <c r="AU8" s="404"/>
      <c r="AV8" s="404"/>
      <c r="AW8" s="404"/>
      <c r="AX8" s="245" t="s">
        <v>52</v>
      </c>
      <c r="AY8" s="237"/>
      <c r="AZ8" s="237"/>
      <c r="BA8" s="237"/>
      <c r="BB8" s="237"/>
      <c r="BC8" s="237"/>
      <c r="BD8" s="403" t="s">
        <v>87</v>
      </c>
      <c r="BE8" s="404"/>
      <c r="BF8" s="404"/>
      <c r="BG8" s="404"/>
      <c r="BH8" s="404"/>
      <c r="BI8" s="404"/>
      <c r="BJ8" s="245" t="s">
        <v>52</v>
      </c>
      <c r="BK8" s="237"/>
      <c r="BL8" s="237"/>
      <c r="BM8" s="237"/>
      <c r="BN8" s="237"/>
      <c r="BO8" s="246"/>
      <c r="BP8" s="621" t="s">
        <v>138</v>
      </c>
      <c r="BQ8" s="439" t="s">
        <v>137</v>
      </c>
      <c r="BR8" s="277"/>
      <c r="BS8" s="277"/>
      <c r="BT8" s="277"/>
      <c r="BU8" s="278"/>
      <c r="BV8" s="185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7"/>
      <c r="CH8" s="58"/>
    </row>
    <row r="9" spans="1:86" ht="9.75" customHeight="1">
      <c r="A9" s="55">
        <v>6</v>
      </c>
      <c r="B9" s="450" t="s">
        <v>102</v>
      </c>
      <c r="C9" s="451"/>
      <c r="D9" s="451"/>
      <c r="E9" s="451"/>
      <c r="F9" s="451"/>
      <c r="G9" s="451"/>
      <c r="H9" s="451"/>
      <c r="I9" s="451"/>
      <c r="J9" s="451"/>
      <c r="K9" s="451"/>
      <c r="L9" s="452"/>
      <c r="M9" s="59" t="s">
        <v>266</v>
      </c>
      <c r="N9" s="422"/>
      <c r="O9" s="423"/>
      <c r="P9" s="423"/>
      <c r="Q9" s="423"/>
      <c r="R9" s="423"/>
      <c r="S9" s="424"/>
      <c r="T9" s="239" t="s">
        <v>17</v>
      </c>
      <c r="U9" s="239"/>
      <c r="V9" s="239"/>
      <c r="W9" s="239"/>
      <c r="X9" s="239"/>
      <c r="Y9" s="239"/>
      <c r="Z9" s="239"/>
      <c r="AA9" s="239"/>
      <c r="AB9" s="239"/>
      <c r="AC9" s="239"/>
      <c r="AD9" s="438"/>
      <c r="AE9" s="59" t="s">
        <v>266</v>
      </c>
      <c r="AF9" s="422"/>
      <c r="AG9" s="423"/>
      <c r="AH9" s="423"/>
      <c r="AI9" s="423"/>
      <c r="AJ9" s="423"/>
      <c r="AK9" s="425"/>
      <c r="AL9" s="405" t="s">
        <v>226</v>
      </c>
      <c r="AM9" s="406"/>
      <c r="AN9" s="406"/>
      <c r="AO9" s="307" t="s">
        <v>248</v>
      </c>
      <c r="AP9" s="406"/>
      <c r="AQ9" s="408"/>
      <c r="AR9" s="409"/>
      <c r="AS9" s="410"/>
      <c r="AT9" s="410"/>
      <c r="AU9" s="410"/>
      <c r="AV9" s="410"/>
      <c r="AW9" s="410"/>
      <c r="AX9" s="411"/>
      <c r="AY9" s="412"/>
      <c r="AZ9" s="412"/>
      <c r="BA9" s="412"/>
      <c r="BB9" s="412"/>
      <c r="BC9" s="412"/>
      <c r="BD9" s="413"/>
      <c r="BE9" s="414"/>
      <c r="BF9" s="414"/>
      <c r="BG9" s="414"/>
      <c r="BH9" s="414"/>
      <c r="BI9" s="414"/>
      <c r="BJ9" s="411"/>
      <c r="BK9" s="412"/>
      <c r="BL9" s="412"/>
      <c r="BM9" s="412"/>
      <c r="BN9" s="412"/>
      <c r="BO9" s="415"/>
      <c r="BP9" s="622"/>
      <c r="BQ9" s="60"/>
      <c r="BR9" s="238" t="s">
        <v>134</v>
      </c>
      <c r="BS9" s="239"/>
      <c r="BT9" s="239"/>
      <c r="BU9" s="240"/>
      <c r="BV9" s="224"/>
      <c r="BW9" s="225"/>
      <c r="BX9" s="225"/>
      <c r="BY9" s="225"/>
      <c r="BZ9" s="225"/>
      <c r="CA9" s="225"/>
      <c r="CB9" s="157"/>
      <c r="CC9" s="157"/>
      <c r="CD9" s="157"/>
      <c r="CE9" s="157"/>
      <c r="CF9" s="157"/>
      <c r="CG9" s="158"/>
      <c r="CH9" s="58"/>
    </row>
    <row r="10" spans="1:86" ht="9.75" customHeight="1">
      <c r="A10" s="55">
        <v>7</v>
      </c>
      <c r="B10" s="450" t="s">
        <v>34</v>
      </c>
      <c r="C10" s="451"/>
      <c r="D10" s="451"/>
      <c r="E10" s="451"/>
      <c r="F10" s="451"/>
      <c r="G10" s="451"/>
      <c r="H10" s="451"/>
      <c r="I10" s="451"/>
      <c r="J10" s="451"/>
      <c r="K10" s="451"/>
      <c r="L10" s="452"/>
      <c r="M10" s="59" t="s">
        <v>266</v>
      </c>
      <c r="N10" s="422"/>
      <c r="O10" s="423"/>
      <c r="P10" s="423"/>
      <c r="Q10" s="423"/>
      <c r="R10" s="423"/>
      <c r="S10" s="424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438"/>
      <c r="AE10" s="59"/>
      <c r="AF10" s="422"/>
      <c r="AG10" s="423"/>
      <c r="AH10" s="423"/>
      <c r="AI10" s="423"/>
      <c r="AJ10" s="423"/>
      <c r="AK10" s="425"/>
      <c r="AL10" s="407"/>
      <c r="AM10" s="239"/>
      <c r="AN10" s="239"/>
      <c r="AO10" s="238" t="s">
        <v>249</v>
      </c>
      <c r="AP10" s="239"/>
      <c r="AQ10" s="240"/>
      <c r="AR10" s="217"/>
      <c r="AS10" s="218"/>
      <c r="AT10" s="218"/>
      <c r="AU10" s="218"/>
      <c r="AV10" s="218"/>
      <c r="AW10" s="218"/>
      <c r="AX10" s="416"/>
      <c r="AY10" s="417"/>
      <c r="AZ10" s="417"/>
      <c r="BA10" s="417"/>
      <c r="BB10" s="417"/>
      <c r="BC10" s="417"/>
      <c r="BD10" s="231"/>
      <c r="BE10" s="232"/>
      <c r="BF10" s="232"/>
      <c r="BG10" s="232"/>
      <c r="BH10" s="232"/>
      <c r="BI10" s="232"/>
      <c r="BJ10" s="416"/>
      <c r="BK10" s="417"/>
      <c r="BL10" s="417"/>
      <c r="BM10" s="417"/>
      <c r="BN10" s="417"/>
      <c r="BO10" s="418"/>
      <c r="BP10" s="622"/>
      <c r="BQ10" s="61"/>
      <c r="BR10" s="172" t="s">
        <v>16</v>
      </c>
      <c r="BS10" s="172"/>
      <c r="BT10" s="172"/>
      <c r="BU10" s="238"/>
      <c r="BV10" s="224"/>
      <c r="BW10" s="225"/>
      <c r="BX10" s="225"/>
      <c r="BY10" s="225"/>
      <c r="BZ10" s="225"/>
      <c r="CA10" s="225"/>
      <c r="CB10" s="157"/>
      <c r="CC10" s="157"/>
      <c r="CD10" s="157"/>
      <c r="CE10" s="157"/>
      <c r="CF10" s="157"/>
      <c r="CG10" s="158"/>
      <c r="CH10" s="58"/>
    </row>
    <row r="11" spans="1:86" ht="9.75" customHeight="1">
      <c r="A11" s="55">
        <v>8</v>
      </c>
      <c r="B11" s="450" t="s">
        <v>25</v>
      </c>
      <c r="C11" s="451"/>
      <c r="D11" s="451"/>
      <c r="E11" s="451"/>
      <c r="F11" s="451"/>
      <c r="G11" s="451"/>
      <c r="H11" s="451"/>
      <c r="I11" s="451"/>
      <c r="J11" s="451"/>
      <c r="K11" s="451"/>
      <c r="L11" s="452"/>
      <c r="M11" s="59" t="s">
        <v>266</v>
      </c>
      <c r="N11" s="422"/>
      <c r="O11" s="423"/>
      <c r="P11" s="423"/>
      <c r="Q11" s="423"/>
      <c r="R11" s="423"/>
      <c r="S11" s="424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438"/>
      <c r="AE11" s="59"/>
      <c r="AF11" s="422"/>
      <c r="AG11" s="423"/>
      <c r="AH11" s="423"/>
      <c r="AI11" s="423"/>
      <c r="AJ11" s="423"/>
      <c r="AK11" s="425"/>
      <c r="AL11" s="407" t="s">
        <v>84</v>
      </c>
      <c r="AM11" s="239"/>
      <c r="AN11" s="239"/>
      <c r="AO11" s="239"/>
      <c r="AP11" s="239"/>
      <c r="AQ11" s="239"/>
      <c r="AR11" s="217"/>
      <c r="AS11" s="218"/>
      <c r="AT11" s="218"/>
      <c r="AU11" s="218"/>
      <c r="AV11" s="218"/>
      <c r="AW11" s="218"/>
      <c r="AX11" s="416"/>
      <c r="AY11" s="417"/>
      <c r="AZ11" s="417"/>
      <c r="BA11" s="417"/>
      <c r="BB11" s="417"/>
      <c r="BC11" s="417"/>
      <c r="BD11" s="231"/>
      <c r="BE11" s="232"/>
      <c r="BF11" s="232"/>
      <c r="BG11" s="232"/>
      <c r="BH11" s="232"/>
      <c r="BI11" s="232"/>
      <c r="BJ11" s="416"/>
      <c r="BK11" s="417"/>
      <c r="BL11" s="417"/>
      <c r="BM11" s="417"/>
      <c r="BN11" s="417"/>
      <c r="BO11" s="418"/>
      <c r="BP11" s="622"/>
      <c r="BQ11" s="307" t="s">
        <v>131</v>
      </c>
      <c r="BR11" s="239"/>
      <c r="BS11" s="239"/>
      <c r="BT11" s="239"/>
      <c r="BU11" s="240"/>
      <c r="BV11" s="224"/>
      <c r="BW11" s="225"/>
      <c r="BX11" s="225"/>
      <c r="BY11" s="225"/>
      <c r="BZ11" s="225"/>
      <c r="CA11" s="225"/>
      <c r="CB11" s="157"/>
      <c r="CC11" s="157"/>
      <c r="CD11" s="157"/>
      <c r="CE11" s="157"/>
      <c r="CF11" s="157"/>
      <c r="CG11" s="158"/>
      <c r="CH11" s="58"/>
    </row>
    <row r="12" spans="1:86" ht="9.75" customHeight="1" thickBot="1">
      <c r="A12" s="55">
        <v>9</v>
      </c>
      <c r="B12" s="450" t="s">
        <v>17</v>
      </c>
      <c r="C12" s="451"/>
      <c r="D12" s="451"/>
      <c r="E12" s="451"/>
      <c r="F12" s="451"/>
      <c r="G12" s="451"/>
      <c r="H12" s="451"/>
      <c r="I12" s="451"/>
      <c r="J12" s="451"/>
      <c r="K12" s="451"/>
      <c r="L12" s="452"/>
      <c r="M12" s="59" t="s">
        <v>266</v>
      </c>
      <c r="N12" s="422"/>
      <c r="O12" s="423"/>
      <c r="P12" s="423"/>
      <c r="Q12" s="423"/>
      <c r="R12" s="423"/>
      <c r="S12" s="424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438"/>
      <c r="AE12" s="59"/>
      <c r="AF12" s="422"/>
      <c r="AG12" s="423"/>
      <c r="AH12" s="423"/>
      <c r="AI12" s="423"/>
      <c r="AJ12" s="423"/>
      <c r="AK12" s="425"/>
      <c r="AL12" s="431" t="s">
        <v>1</v>
      </c>
      <c r="AM12" s="190"/>
      <c r="AN12" s="190"/>
      <c r="AO12" s="190"/>
      <c r="AP12" s="190"/>
      <c r="AQ12" s="190"/>
      <c r="AR12" s="192"/>
      <c r="AS12" s="193"/>
      <c r="AT12" s="193"/>
      <c r="AU12" s="193"/>
      <c r="AV12" s="193"/>
      <c r="AW12" s="193"/>
      <c r="AX12" s="432"/>
      <c r="AY12" s="433"/>
      <c r="AZ12" s="433"/>
      <c r="BA12" s="433"/>
      <c r="BB12" s="433"/>
      <c r="BC12" s="433"/>
      <c r="BD12" s="192"/>
      <c r="BE12" s="193"/>
      <c r="BF12" s="193"/>
      <c r="BG12" s="193"/>
      <c r="BH12" s="193"/>
      <c r="BI12" s="193"/>
      <c r="BJ12" s="178"/>
      <c r="BK12" s="193"/>
      <c r="BL12" s="193"/>
      <c r="BM12" s="193"/>
      <c r="BN12" s="193"/>
      <c r="BO12" s="489"/>
      <c r="BP12" s="622"/>
      <c r="BQ12" s="238" t="s">
        <v>130</v>
      </c>
      <c r="BR12" s="239"/>
      <c r="BS12" s="239"/>
      <c r="BT12" s="239"/>
      <c r="BU12" s="240"/>
      <c r="BV12" s="224"/>
      <c r="BW12" s="225"/>
      <c r="BX12" s="225"/>
      <c r="BY12" s="225"/>
      <c r="BZ12" s="225"/>
      <c r="CA12" s="225"/>
      <c r="CB12" s="157"/>
      <c r="CC12" s="157"/>
      <c r="CD12" s="157"/>
      <c r="CE12" s="157"/>
      <c r="CF12" s="157"/>
      <c r="CG12" s="158"/>
      <c r="CH12" s="58"/>
    </row>
    <row r="13" spans="1:86" ht="9.75" customHeight="1">
      <c r="A13" s="55">
        <v>10</v>
      </c>
      <c r="B13" s="450" t="s">
        <v>241</v>
      </c>
      <c r="C13" s="451"/>
      <c r="D13" s="451"/>
      <c r="E13" s="451"/>
      <c r="F13" s="451"/>
      <c r="G13" s="451"/>
      <c r="H13" s="451"/>
      <c r="I13" s="451"/>
      <c r="J13" s="451"/>
      <c r="K13" s="451"/>
      <c r="L13" s="452"/>
      <c r="M13" s="59" t="s">
        <v>266</v>
      </c>
      <c r="N13" s="422"/>
      <c r="O13" s="423"/>
      <c r="P13" s="423"/>
      <c r="Q13" s="423"/>
      <c r="R13" s="423"/>
      <c r="S13" s="424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438"/>
      <c r="AE13" s="59"/>
      <c r="AF13" s="422"/>
      <c r="AG13" s="423"/>
      <c r="AH13" s="423"/>
      <c r="AI13" s="423"/>
      <c r="AJ13" s="423"/>
      <c r="AK13" s="425"/>
      <c r="AL13" s="24" t="s">
        <v>368</v>
      </c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25"/>
      <c r="BK13" s="25"/>
      <c r="BL13" s="25"/>
      <c r="BM13" s="25"/>
      <c r="BN13" s="25"/>
      <c r="BO13" s="26"/>
      <c r="BP13" s="622"/>
      <c r="BQ13" s="238" t="s">
        <v>129</v>
      </c>
      <c r="BR13" s="239"/>
      <c r="BS13" s="239"/>
      <c r="BT13" s="239"/>
      <c r="BU13" s="240"/>
      <c r="BV13" s="224"/>
      <c r="BW13" s="225"/>
      <c r="BX13" s="225"/>
      <c r="BY13" s="225"/>
      <c r="BZ13" s="225"/>
      <c r="CA13" s="225"/>
      <c r="CB13" s="157"/>
      <c r="CC13" s="157"/>
      <c r="CD13" s="157"/>
      <c r="CE13" s="157"/>
      <c r="CF13" s="157"/>
      <c r="CG13" s="158"/>
      <c r="CH13" s="58"/>
    </row>
    <row r="14" spans="1:86" ht="9.75" customHeight="1" thickBot="1">
      <c r="A14" s="55">
        <v>11</v>
      </c>
      <c r="B14" s="590" t="s">
        <v>99</v>
      </c>
      <c r="C14" s="591"/>
      <c r="D14" s="591"/>
      <c r="E14" s="591"/>
      <c r="F14" s="591"/>
      <c r="G14" s="591"/>
      <c r="H14" s="591"/>
      <c r="I14" s="591"/>
      <c r="J14" s="591"/>
      <c r="K14" s="591"/>
      <c r="L14" s="592"/>
      <c r="M14" s="63" t="s">
        <v>267</v>
      </c>
      <c r="N14" s="578"/>
      <c r="O14" s="579"/>
      <c r="P14" s="579"/>
      <c r="Q14" s="579"/>
      <c r="R14" s="579"/>
      <c r="S14" s="579"/>
      <c r="T14" s="249"/>
      <c r="U14" s="239"/>
      <c r="V14" s="239"/>
      <c r="W14" s="239"/>
      <c r="X14" s="239"/>
      <c r="Y14" s="239"/>
      <c r="Z14" s="239"/>
      <c r="AA14" s="239"/>
      <c r="AB14" s="239"/>
      <c r="AC14" s="239"/>
      <c r="AD14" s="438"/>
      <c r="AE14" s="64"/>
      <c r="AF14" s="422"/>
      <c r="AG14" s="423"/>
      <c r="AH14" s="423"/>
      <c r="AI14" s="423"/>
      <c r="AJ14" s="423"/>
      <c r="AK14" s="425"/>
      <c r="AL14" s="297"/>
      <c r="AM14" s="242"/>
      <c r="AN14" s="242"/>
      <c r="AO14" s="242"/>
      <c r="AP14" s="242"/>
      <c r="AQ14" s="242"/>
      <c r="AR14" s="298" t="s">
        <v>246</v>
      </c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257" t="s">
        <v>88</v>
      </c>
      <c r="BE14" s="258"/>
      <c r="BF14" s="258"/>
      <c r="BG14" s="258"/>
      <c r="BH14" s="258"/>
      <c r="BI14" s="258"/>
      <c r="BJ14" s="258"/>
      <c r="BK14" s="258"/>
      <c r="BL14" s="258"/>
      <c r="BM14" s="258"/>
      <c r="BN14" s="258"/>
      <c r="BO14" s="259"/>
      <c r="BP14" s="622"/>
      <c r="BQ14" s="238" t="s">
        <v>128</v>
      </c>
      <c r="BR14" s="239"/>
      <c r="BS14" s="239"/>
      <c r="BT14" s="239"/>
      <c r="BU14" s="240"/>
      <c r="BV14" s="224"/>
      <c r="BW14" s="225"/>
      <c r="BX14" s="225"/>
      <c r="BY14" s="225"/>
      <c r="BZ14" s="225"/>
      <c r="CA14" s="225"/>
      <c r="CB14" s="157"/>
      <c r="CC14" s="157"/>
      <c r="CD14" s="157"/>
      <c r="CE14" s="157"/>
      <c r="CF14" s="157"/>
      <c r="CG14" s="158"/>
      <c r="CH14" s="65"/>
    </row>
    <row r="15" spans="1:86" ht="9.75" customHeight="1" thickBot="1">
      <c r="A15" s="12">
        <v>12</v>
      </c>
      <c r="B15" s="66"/>
      <c r="C15" s="20"/>
      <c r="D15" s="20"/>
      <c r="E15" s="20"/>
      <c r="F15" s="20"/>
      <c r="G15" s="20"/>
      <c r="N15" s="20"/>
      <c r="O15" s="20"/>
      <c r="P15" s="20"/>
      <c r="Q15" s="20"/>
      <c r="R15" s="20"/>
      <c r="S15" s="20"/>
      <c r="T15" s="431"/>
      <c r="U15" s="190"/>
      <c r="V15" s="190"/>
      <c r="W15" s="190"/>
      <c r="X15" s="190"/>
      <c r="Y15" s="190"/>
      <c r="Z15" s="190"/>
      <c r="AA15" s="190"/>
      <c r="AB15" s="190"/>
      <c r="AC15" s="190"/>
      <c r="AD15" s="620"/>
      <c r="AE15" s="63"/>
      <c r="AF15" s="578"/>
      <c r="AG15" s="579"/>
      <c r="AH15" s="579"/>
      <c r="AI15" s="579"/>
      <c r="AJ15" s="579"/>
      <c r="AK15" s="580"/>
      <c r="AL15" s="243"/>
      <c r="AM15" s="244"/>
      <c r="AN15" s="244"/>
      <c r="AO15" s="244"/>
      <c r="AP15" s="244"/>
      <c r="AQ15" s="244"/>
      <c r="AR15" s="236" t="s">
        <v>86</v>
      </c>
      <c r="AS15" s="237"/>
      <c r="AT15" s="237"/>
      <c r="AU15" s="237"/>
      <c r="AV15" s="237"/>
      <c r="AW15" s="237"/>
      <c r="AX15" s="245" t="s">
        <v>85</v>
      </c>
      <c r="AY15" s="237"/>
      <c r="AZ15" s="237"/>
      <c r="BA15" s="237"/>
      <c r="BB15" s="237"/>
      <c r="BC15" s="237"/>
      <c r="BD15" s="602" t="s">
        <v>86</v>
      </c>
      <c r="BE15" s="602"/>
      <c r="BF15" s="602"/>
      <c r="BG15" s="602"/>
      <c r="BH15" s="602"/>
      <c r="BI15" s="303"/>
      <c r="BJ15" s="237" t="s">
        <v>85</v>
      </c>
      <c r="BK15" s="237"/>
      <c r="BL15" s="237"/>
      <c r="BM15" s="237"/>
      <c r="BN15" s="237"/>
      <c r="BO15" s="246"/>
      <c r="BP15" s="622"/>
      <c r="BQ15" s="238" t="s">
        <v>127</v>
      </c>
      <c r="BR15" s="239"/>
      <c r="BS15" s="239"/>
      <c r="BT15" s="239"/>
      <c r="BU15" s="240"/>
      <c r="BV15" s="224"/>
      <c r="BW15" s="225"/>
      <c r="BX15" s="225"/>
      <c r="BY15" s="225"/>
      <c r="BZ15" s="225"/>
      <c r="CA15" s="225"/>
      <c r="CB15" s="157"/>
      <c r="CC15" s="157"/>
      <c r="CD15" s="157"/>
      <c r="CE15" s="157"/>
      <c r="CF15" s="157"/>
      <c r="CG15" s="158"/>
      <c r="CH15" s="67"/>
    </row>
    <row r="16" spans="1:86" ht="9.75" customHeight="1">
      <c r="A16" s="12">
        <v>13</v>
      </c>
      <c r="B16" s="419" t="s">
        <v>369</v>
      </c>
      <c r="C16" s="420"/>
      <c r="D16" s="420"/>
      <c r="E16" s="420"/>
      <c r="F16" s="420"/>
      <c r="G16" s="420"/>
      <c r="H16" s="420"/>
      <c r="I16" s="420"/>
      <c r="J16" s="420"/>
      <c r="K16" s="420"/>
      <c r="L16" s="420"/>
      <c r="M16" s="421"/>
      <c r="T16" s="347" t="s">
        <v>347</v>
      </c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9"/>
      <c r="AL16" s="493"/>
      <c r="AM16" s="494"/>
      <c r="AN16" s="494"/>
      <c r="AO16" s="494"/>
      <c r="AP16" s="494"/>
      <c r="AQ16" s="495"/>
      <c r="AR16" s="486"/>
      <c r="AS16" s="487"/>
      <c r="AT16" s="487"/>
      <c r="AU16" s="487"/>
      <c r="AV16" s="487"/>
      <c r="AW16" s="487"/>
      <c r="AX16" s="487"/>
      <c r="AY16" s="487"/>
      <c r="AZ16" s="487"/>
      <c r="BA16" s="487"/>
      <c r="BB16" s="487"/>
      <c r="BC16" s="488"/>
      <c r="BD16" s="402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52"/>
      <c r="BP16" s="622"/>
      <c r="BQ16" s="238" t="s">
        <v>126</v>
      </c>
      <c r="BR16" s="239"/>
      <c r="BS16" s="239"/>
      <c r="BT16" s="239"/>
      <c r="BU16" s="240"/>
      <c r="BV16" s="224"/>
      <c r="BW16" s="225"/>
      <c r="BX16" s="225"/>
      <c r="BY16" s="225"/>
      <c r="BZ16" s="225"/>
      <c r="CA16" s="225"/>
      <c r="CB16" s="157"/>
      <c r="CC16" s="157"/>
      <c r="CD16" s="157"/>
      <c r="CE16" s="157"/>
      <c r="CF16" s="157"/>
      <c r="CG16" s="158"/>
      <c r="CH16" s="68"/>
    </row>
    <row r="17" spans="1:86" ht="9.75" customHeight="1">
      <c r="A17" s="12">
        <v>14</v>
      </c>
      <c r="B17" s="243"/>
      <c r="C17" s="244"/>
      <c r="D17" s="244"/>
      <c r="E17" s="244"/>
      <c r="F17" s="244"/>
      <c r="G17" s="244"/>
      <c r="H17" s="504" t="s">
        <v>98</v>
      </c>
      <c r="I17" s="505"/>
      <c r="J17" s="505"/>
      <c r="K17" s="505"/>
      <c r="L17" s="505"/>
      <c r="M17" s="506"/>
      <c r="T17" s="595"/>
      <c r="U17" s="596"/>
      <c r="V17" s="596"/>
      <c r="W17" s="596"/>
      <c r="X17" s="596"/>
      <c r="Y17" s="596"/>
      <c r="Z17" s="270" t="s">
        <v>7</v>
      </c>
      <c r="AA17" s="267"/>
      <c r="AB17" s="267"/>
      <c r="AC17" s="267"/>
      <c r="AD17" s="267"/>
      <c r="AE17" s="586"/>
      <c r="AL17" s="493"/>
      <c r="AM17" s="494"/>
      <c r="AN17" s="494"/>
      <c r="AO17" s="494"/>
      <c r="AP17" s="494"/>
      <c r="AQ17" s="495"/>
      <c r="AR17" s="603"/>
      <c r="AS17" s="604"/>
      <c r="AT17" s="604"/>
      <c r="AU17" s="604"/>
      <c r="AV17" s="604"/>
      <c r="AW17" s="604"/>
      <c r="AX17" s="225"/>
      <c r="AY17" s="225"/>
      <c r="AZ17" s="225"/>
      <c r="BA17" s="225"/>
      <c r="BB17" s="225"/>
      <c r="BC17" s="401"/>
      <c r="BD17" s="233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8"/>
      <c r="BP17" s="622"/>
      <c r="BQ17" s="238" t="s">
        <v>124</v>
      </c>
      <c r="BR17" s="239"/>
      <c r="BS17" s="239"/>
      <c r="BT17" s="239"/>
      <c r="BU17" s="240"/>
      <c r="BV17" s="224"/>
      <c r="BW17" s="225"/>
      <c r="BX17" s="225"/>
      <c r="BY17" s="225"/>
      <c r="BZ17" s="225"/>
      <c r="CA17" s="225"/>
      <c r="CB17" s="157"/>
      <c r="CC17" s="157"/>
      <c r="CD17" s="157"/>
      <c r="CE17" s="157"/>
      <c r="CF17" s="157"/>
      <c r="CG17" s="158"/>
      <c r="CH17" s="45"/>
    </row>
    <row r="18" spans="1:86" ht="9.75" customHeight="1">
      <c r="A18" s="12">
        <v>15</v>
      </c>
      <c r="B18" s="567" t="s">
        <v>205</v>
      </c>
      <c r="C18" s="568"/>
      <c r="D18" s="568"/>
      <c r="E18" s="568"/>
      <c r="F18" s="568"/>
      <c r="G18" s="568"/>
      <c r="H18" s="409"/>
      <c r="I18" s="410"/>
      <c r="J18" s="410"/>
      <c r="K18" s="410"/>
      <c r="L18" s="410"/>
      <c r="M18" s="558"/>
      <c r="T18" s="566" t="s">
        <v>4</v>
      </c>
      <c r="U18" s="277"/>
      <c r="V18" s="277"/>
      <c r="W18" s="277"/>
      <c r="X18" s="277"/>
      <c r="Y18" s="277"/>
      <c r="Z18" s="216"/>
      <c r="AA18" s="211"/>
      <c r="AB18" s="211"/>
      <c r="AC18" s="211"/>
      <c r="AD18" s="211"/>
      <c r="AE18" s="252"/>
      <c r="AL18" s="493"/>
      <c r="AM18" s="494"/>
      <c r="AN18" s="494"/>
      <c r="AO18" s="494"/>
      <c r="AP18" s="494"/>
      <c r="AQ18" s="495"/>
      <c r="AR18" s="224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401"/>
      <c r="BD18" s="233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8"/>
      <c r="BP18" s="623"/>
      <c r="BQ18" s="238" t="s">
        <v>100</v>
      </c>
      <c r="BR18" s="239"/>
      <c r="BS18" s="239"/>
      <c r="BT18" s="239"/>
      <c r="BU18" s="240"/>
      <c r="BV18" s="231"/>
      <c r="BW18" s="232"/>
      <c r="BX18" s="232"/>
      <c r="BY18" s="232"/>
      <c r="BZ18" s="232"/>
      <c r="CA18" s="233"/>
      <c r="CB18" s="174"/>
      <c r="CC18" s="232"/>
      <c r="CD18" s="232"/>
      <c r="CE18" s="232"/>
      <c r="CF18" s="232"/>
      <c r="CG18" s="482"/>
      <c r="CH18" s="45"/>
    </row>
    <row r="19" spans="1:86" ht="9.75" customHeight="1">
      <c r="A19" s="12">
        <v>16</v>
      </c>
      <c r="B19" s="569" t="s">
        <v>208</v>
      </c>
      <c r="C19" s="570"/>
      <c r="D19" s="570"/>
      <c r="E19" s="570"/>
      <c r="F19" s="570"/>
      <c r="G19" s="570"/>
      <c r="H19" s="217"/>
      <c r="I19" s="218"/>
      <c r="J19" s="218"/>
      <c r="K19" s="218"/>
      <c r="L19" s="218"/>
      <c r="M19" s="490"/>
      <c r="T19" s="407" t="s">
        <v>123</v>
      </c>
      <c r="U19" s="239"/>
      <c r="V19" s="239"/>
      <c r="W19" s="239"/>
      <c r="X19" s="239"/>
      <c r="Y19" s="239"/>
      <c r="Z19" s="169"/>
      <c r="AA19" s="157"/>
      <c r="AB19" s="157"/>
      <c r="AC19" s="157"/>
      <c r="AD19" s="157"/>
      <c r="AE19" s="158"/>
      <c r="AL19" s="493"/>
      <c r="AM19" s="494"/>
      <c r="AN19" s="494"/>
      <c r="AO19" s="494"/>
      <c r="AP19" s="494"/>
      <c r="AQ19" s="495"/>
      <c r="AR19" s="224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401"/>
      <c r="BD19" s="233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8"/>
      <c r="BP19" s="624" t="s">
        <v>119</v>
      </c>
      <c r="BQ19" s="307" t="s">
        <v>118</v>
      </c>
      <c r="BR19" s="406"/>
      <c r="BS19" s="406"/>
      <c r="BT19" s="406"/>
      <c r="BU19" s="408"/>
      <c r="BV19" s="224"/>
      <c r="BW19" s="225"/>
      <c r="BX19" s="225"/>
      <c r="BY19" s="225"/>
      <c r="BZ19" s="225"/>
      <c r="CA19" s="225"/>
      <c r="CB19" s="157"/>
      <c r="CC19" s="157"/>
      <c r="CD19" s="157"/>
      <c r="CE19" s="157"/>
      <c r="CF19" s="157"/>
      <c r="CG19" s="158"/>
    </row>
    <row r="20" spans="1:86" ht="9.75" customHeight="1" thickBot="1">
      <c r="A20" s="12">
        <v>17</v>
      </c>
      <c r="B20" s="441" t="s">
        <v>1</v>
      </c>
      <c r="C20" s="442"/>
      <c r="D20" s="442"/>
      <c r="E20" s="442"/>
      <c r="F20" s="442"/>
      <c r="G20" s="442"/>
      <c r="H20" s="443"/>
      <c r="I20" s="443"/>
      <c r="J20" s="443"/>
      <c r="K20" s="443"/>
      <c r="L20" s="443"/>
      <c r="M20" s="444"/>
      <c r="T20" s="407" t="s">
        <v>121</v>
      </c>
      <c r="U20" s="239"/>
      <c r="V20" s="239"/>
      <c r="W20" s="239"/>
      <c r="X20" s="239"/>
      <c r="Y20" s="239"/>
      <c r="Z20" s="169"/>
      <c r="AA20" s="157"/>
      <c r="AB20" s="157"/>
      <c r="AC20" s="157"/>
      <c r="AD20" s="157"/>
      <c r="AE20" s="158"/>
      <c r="AL20" s="493"/>
      <c r="AM20" s="494"/>
      <c r="AN20" s="494"/>
      <c r="AO20" s="494"/>
      <c r="AP20" s="494"/>
      <c r="AQ20" s="495"/>
      <c r="AR20" s="224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401"/>
      <c r="BD20" s="233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8"/>
      <c r="BP20" s="625"/>
      <c r="BQ20" s="238" t="s">
        <v>114</v>
      </c>
      <c r="BR20" s="239"/>
      <c r="BS20" s="239"/>
      <c r="BT20" s="239"/>
      <c r="BU20" s="240"/>
      <c r="BV20" s="224"/>
      <c r="BW20" s="225"/>
      <c r="BX20" s="225"/>
      <c r="BY20" s="225"/>
      <c r="BZ20" s="225"/>
      <c r="CA20" s="225"/>
      <c r="CB20" s="157"/>
      <c r="CC20" s="157"/>
      <c r="CD20" s="157"/>
      <c r="CE20" s="157"/>
      <c r="CF20" s="157"/>
      <c r="CG20" s="158"/>
      <c r="CH20" s="56"/>
    </row>
    <row r="21" spans="1:86" ht="9.75" customHeight="1">
      <c r="A21" s="12">
        <v>18</v>
      </c>
      <c r="B21" s="347" t="s">
        <v>346</v>
      </c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9"/>
      <c r="T21" s="611" t="s">
        <v>117</v>
      </c>
      <c r="U21" s="239"/>
      <c r="V21" s="239"/>
      <c r="W21" s="239"/>
      <c r="X21" s="239"/>
      <c r="Y21" s="239"/>
      <c r="Z21" s="169"/>
      <c r="AA21" s="157"/>
      <c r="AB21" s="157"/>
      <c r="AC21" s="157"/>
      <c r="AD21" s="157"/>
      <c r="AE21" s="158"/>
      <c r="AL21" s="493"/>
      <c r="AM21" s="494"/>
      <c r="AN21" s="494"/>
      <c r="AO21" s="494"/>
      <c r="AP21" s="494"/>
      <c r="AQ21" s="495"/>
      <c r="AR21" s="224"/>
      <c r="AS21" s="225"/>
      <c r="AT21" s="225"/>
      <c r="AU21" s="225"/>
      <c r="AV21" s="225"/>
      <c r="AW21" s="225"/>
      <c r="AX21" s="429"/>
      <c r="AY21" s="429"/>
      <c r="AZ21" s="429"/>
      <c r="BA21" s="429"/>
      <c r="BB21" s="429"/>
      <c r="BC21" s="430"/>
      <c r="BD21" s="233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8"/>
      <c r="BP21" s="625"/>
      <c r="BQ21" s="238" t="s">
        <v>113</v>
      </c>
      <c r="BR21" s="239"/>
      <c r="BS21" s="239"/>
      <c r="BT21" s="239"/>
      <c r="BU21" s="240"/>
      <c r="BV21" s="224"/>
      <c r="BW21" s="225"/>
      <c r="BX21" s="225"/>
      <c r="BY21" s="225"/>
      <c r="BZ21" s="225"/>
      <c r="CA21" s="225"/>
      <c r="CB21" s="157"/>
      <c r="CC21" s="157"/>
      <c r="CD21" s="157"/>
      <c r="CE21" s="157"/>
      <c r="CF21" s="157"/>
      <c r="CG21" s="158"/>
      <c r="CH21" s="45"/>
    </row>
    <row r="22" spans="1:86" ht="9.75" customHeight="1" thickBot="1">
      <c r="A22" s="12">
        <v>19</v>
      </c>
      <c r="B22" s="243"/>
      <c r="C22" s="244"/>
      <c r="D22" s="244"/>
      <c r="E22" s="244"/>
      <c r="F22" s="244"/>
      <c r="G22" s="244"/>
      <c r="H22" s="510" t="s">
        <v>142</v>
      </c>
      <c r="I22" s="511"/>
      <c r="J22" s="511"/>
      <c r="K22" s="511"/>
      <c r="L22" s="511"/>
      <c r="M22" s="512"/>
      <c r="T22" s="69"/>
      <c r="U22" s="172" t="s">
        <v>112</v>
      </c>
      <c r="V22" s="172"/>
      <c r="W22" s="172"/>
      <c r="X22" s="172"/>
      <c r="Y22" s="173"/>
      <c r="Z22" s="169"/>
      <c r="AA22" s="157"/>
      <c r="AB22" s="157"/>
      <c r="AC22" s="157"/>
      <c r="AD22" s="157"/>
      <c r="AE22" s="158"/>
      <c r="AL22" s="617"/>
      <c r="AM22" s="618"/>
      <c r="AN22" s="618"/>
      <c r="AO22" s="618"/>
      <c r="AP22" s="618"/>
      <c r="AQ22" s="619"/>
      <c r="AR22" s="226"/>
      <c r="AS22" s="227"/>
      <c r="AT22" s="227"/>
      <c r="AU22" s="227"/>
      <c r="AV22" s="227"/>
      <c r="AW22" s="227"/>
      <c r="AX22" s="432"/>
      <c r="AY22" s="433"/>
      <c r="AZ22" s="433"/>
      <c r="BA22" s="433"/>
      <c r="BB22" s="433"/>
      <c r="BC22" s="583"/>
      <c r="BD22" s="194"/>
      <c r="BE22" s="161"/>
      <c r="BF22" s="161"/>
      <c r="BG22" s="161"/>
      <c r="BH22" s="161"/>
      <c r="BI22" s="161"/>
      <c r="BJ22" s="612"/>
      <c r="BK22" s="612"/>
      <c r="BL22" s="612"/>
      <c r="BM22" s="612"/>
      <c r="BN22" s="612"/>
      <c r="BO22" s="613"/>
      <c r="BP22" s="625"/>
      <c r="BQ22" s="302" t="s">
        <v>417</v>
      </c>
      <c r="BR22" s="483"/>
      <c r="BS22" s="483"/>
      <c r="BT22" s="483"/>
      <c r="BU22" s="484"/>
      <c r="BV22" s="224"/>
      <c r="BW22" s="225"/>
      <c r="BX22" s="225"/>
      <c r="BY22" s="225"/>
      <c r="BZ22" s="225"/>
      <c r="CA22" s="225"/>
      <c r="CB22" s="157"/>
      <c r="CC22" s="157"/>
      <c r="CD22" s="157"/>
      <c r="CE22" s="157"/>
      <c r="CF22" s="157"/>
      <c r="CG22" s="158"/>
      <c r="CH22" s="45"/>
    </row>
    <row r="23" spans="1:86" ht="9.75" customHeight="1">
      <c r="A23" s="12">
        <v>20</v>
      </c>
      <c r="B23" s="499" t="s">
        <v>140</v>
      </c>
      <c r="C23" s="329"/>
      <c r="D23" s="329"/>
      <c r="E23" s="329"/>
      <c r="F23" s="329"/>
      <c r="G23" s="330"/>
      <c r="H23" s="486"/>
      <c r="I23" s="487"/>
      <c r="J23" s="487"/>
      <c r="K23" s="487"/>
      <c r="L23" s="487"/>
      <c r="M23" s="500"/>
      <c r="T23" s="398" t="s">
        <v>270</v>
      </c>
      <c r="U23" s="172"/>
      <c r="V23" s="172"/>
      <c r="W23" s="172"/>
      <c r="X23" s="172"/>
      <c r="Y23" s="173"/>
      <c r="Z23" s="169"/>
      <c r="AA23" s="157"/>
      <c r="AB23" s="157"/>
      <c r="AC23" s="157"/>
      <c r="AD23" s="157"/>
      <c r="AE23" s="158"/>
      <c r="BP23" s="625"/>
      <c r="BQ23" s="238" t="s">
        <v>111</v>
      </c>
      <c r="BR23" s="239"/>
      <c r="BS23" s="239"/>
      <c r="BT23" s="239"/>
      <c r="BU23" s="240"/>
      <c r="BV23" s="224"/>
      <c r="BW23" s="225"/>
      <c r="BX23" s="225"/>
      <c r="BY23" s="225"/>
      <c r="BZ23" s="225"/>
      <c r="CA23" s="225"/>
      <c r="CB23" s="157"/>
      <c r="CC23" s="157"/>
      <c r="CD23" s="157"/>
      <c r="CE23" s="157"/>
      <c r="CF23" s="157"/>
      <c r="CG23" s="158"/>
      <c r="CH23" s="45"/>
    </row>
    <row r="24" spans="1:86" ht="9.75" customHeight="1" thickBot="1">
      <c r="A24" s="12">
        <v>21</v>
      </c>
      <c r="B24" s="559" t="s">
        <v>250</v>
      </c>
      <c r="C24" s="560"/>
      <c r="D24" s="502" t="s">
        <v>136</v>
      </c>
      <c r="E24" s="502"/>
      <c r="F24" s="502"/>
      <c r="G24" s="503"/>
      <c r="H24" s="224"/>
      <c r="I24" s="225"/>
      <c r="J24" s="225"/>
      <c r="K24" s="225"/>
      <c r="L24" s="225"/>
      <c r="M24" s="496"/>
      <c r="T24" s="70"/>
      <c r="U24" s="176" t="s">
        <v>112</v>
      </c>
      <c r="V24" s="176"/>
      <c r="W24" s="176"/>
      <c r="X24" s="176"/>
      <c r="Y24" s="177"/>
      <c r="Z24" s="188"/>
      <c r="AA24" s="161"/>
      <c r="AB24" s="161"/>
      <c r="AC24" s="161"/>
      <c r="AD24" s="161"/>
      <c r="AE24" s="162"/>
      <c r="BP24" s="626"/>
      <c r="BQ24" s="238" t="s">
        <v>100</v>
      </c>
      <c r="BR24" s="239"/>
      <c r="BS24" s="239"/>
      <c r="BT24" s="239"/>
      <c r="BU24" s="240"/>
      <c r="BV24" s="231"/>
      <c r="BW24" s="232"/>
      <c r="BX24" s="232"/>
      <c r="BY24" s="232"/>
      <c r="BZ24" s="232"/>
      <c r="CA24" s="233"/>
      <c r="CB24" s="174"/>
      <c r="CC24" s="232"/>
      <c r="CD24" s="232"/>
      <c r="CE24" s="232"/>
      <c r="CF24" s="232"/>
      <c r="CG24" s="482"/>
      <c r="CH24" s="45"/>
    </row>
    <row r="25" spans="1:86" ht="9.75" customHeight="1" thickBot="1">
      <c r="A25" s="12">
        <v>22</v>
      </c>
      <c r="B25" s="559"/>
      <c r="C25" s="560"/>
      <c r="D25" s="502" t="s">
        <v>206</v>
      </c>
      <c r="E25" s="502"/>
      <c r="F25" s="502"/>
      <c r="G25" s="503"/>
      <c r="H25" s="224"/>
      <c r="I25" s="225"/>
      <c r="J25" s="225"/>
      <c r="K25" s="225"/>
      <c r="L25" s="225"/>
      <c r="M25" s="496"/>
      <c r="N25" s="20"/>
      <c r="O25" s="20"/>
      <c r="P25" s="20"/>
      <c r="Q25" s="20"/>
      <c r="R25" s="20"/>
      <c r="S25" s="71"/>
      <c r="T25" s="581" t="s">
        <v>370</v>
      </c>
      <c r="U25" s="581"/>
      <c r="V25" s="581"/>
      <c r="W25" s="581"/>
      <c r="X25" s="581"/>
      <c r="Y25" s="581"/>
      <c r="Z25" s="581"/>
      <c r="AA25" s="581"/>
      <c r="AB25" s="581"/>
      <c r="AC25" s="581"/>
      <c r="AD25" s="581"/>
      <c r="AE25" s="582"/>
      <c r="BP25" s="431" t="s">
        <v>69</v>
      </c>
      <c r="BQ25" s="190"/>
      <c r="BR25" s="190"/>
      <c r="BS25" s="190"/>
      <c r="BT25" s="190"/>
      <c r="BU25" s="190"/>
      <c r="BV25" s="188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2"/>
      <c r="CH25" s="45"/>
    </row>
    <row r="26" spans="1:86" ht="9.75" customHeight="1" thickBot="1">
      <c r="A26" s="12">
        <v>23</v>
      </c>
      <c r="B26" s="561"/>
      <c r="C26" s="562"/>
      <c r="D26" s="584" t="s">
        <v>207</v>
      </c>
      <c r="E26" s="584"/>
      <c r="F26" s="584"/>
      <c r="G26" s="585"/>
      <c r="H26" s="226"/>
      <c r="I26" s="227"/>
      <c r="J26" s="227"/>
      <c r="K26" s="227"/>
      <c r="L26" s="227"/>
      <c r="M26" s="517"/>
      <c r="S26" s="52"/>
      <c r="T26" s="596"/>
      <c r="U26" s="596"/>
      <c r="V26" s="596"/>
      <c r="W26" s="596"/>
      <c r="X26" s="596"/>
      <c r="Y26" s="596"/>
      <c r="Z26" s="270" t="s">
        <v>7</v>
      </c>
      <c r="AA26" s="267"/>
      <c r="AB26" s="267"/>
      <c r="AC26" s="267"/>
      <c r="AD26" s="267"/>
      <c r="AE26" s="586"/>
      <c r="AF26" s="20"/>
      <c r="AG26" s="20"/>
      <c r="AH26" s="20"/>
      <c r="AI26" s="20"/>
      <c r="AJ26" s="20"/>
      <c r="AK26" s="20"/>
      <c r="CH26" s="45"/>
    </row>
    <row r="27" spans="1:86" ht="9.75" customHeight="1">
      <c r="A27" s="12">
        <v>24</v>
      </c>
      <c r="B27" s="347" t="s">
        <v>371</v>
      </c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9"/>
      <c r="T27" s="277" t="s">
        <v>4</v>
      </c>
      <c r="U27" s="277"/>
      <c r="V27" s="277"/>
      <c r="W27" s="277"/>
      <c r="X27" s="277"/>
      <c r="Y27" s="277"/>
      <c r="Z27" s="216"/>
      <c r="AA27" s="211"/>
      <c r="AB27" s="211"/>
      <c r="AC27" s="211"/>
      <c r="AD27" s="211"/>
      <c r="AE27" s="252"/>
      <c r="AF27" s="20"/>
      <c r="AG27" s="20"/>
      <c r="AH27" s="20"/>
      <c r="AI27" s="20"/>
      <c r="AJ27" s="20"/>
      <c r="AK27" s="20"/>
      <c r="BJ27" s="347" t="s">
        <v>372</v>
      </c>
      <c r="BK27" s="348"/>
      <c r="BL27" s="348"/>
      <c r="BM27" s="348"/>
      <c r="BN27" s="348"/>
      <c r="BO27" s="348"/>
      <c r="BP27" s="348"/>
      <c r="BQ27" s="348"/>
      <c r="BR27" s="348"/>
      <c r="BS27" s="348"/>
      <c r="BT27" s="348"/>
      <c r="BU27" s="348"/>
      <c r="BV27" s="348"/>
      <c r="BW27" s="348"/>
      <c r="BX27" s="348"/>
      <c r="BY27" s="348"/>
      <c r="BZ27" s="348"/>
      <c r="CA27" s="348"/>
      <c r="CB27" s="348"/>
      <c r="CC27" s="348"/>
      <c r="CD27" s="348"/>
      <c r="CE27" s="348"/>
      <c r="CF27" s="348"/>
      <c r="CG27" s="349"/>
      <c r="CH27" s="45"/>
    </row>
    <row r="28" spans="1:86" ht="9.75" customHeight="1">
      <c r="A28" s="12">
        <v>25</v>
      </c>
      <c r="B28" s="243"/>
      <c r="C28" s="244"/>
      <c r="D28" s="244"/>
      <c r="E28" s="244"/>
      <c r="F28" s="244"/>
      <c r="G28" s="244"/>
      <c r="H28" s="504" t="s">
        <v>141</v>
      </c>
      <c r="I28" s="505"/>
      <c r="J28" s="505"/>
      <c r="K28" s="505"/>
      <c r="L28" s="505"/>
      <c r="M28" s="505"/>
      <c r="N28" s="553" t="s">
        <v>98</v>
      </c>
      <c r="O28" s="505"/>
      <c r="P28" s="505"/>
      <c r="Q28" s="505"/>
      <c r="R28" s="505"/>
      <c r="S28" s="506"/>
      <c r="T28" s="239" t="s">
        <v>123</v>
      </c>
      <c r="U28" s="239"/>
      <c r="V28" s="239"/>
      <c r="W28" s="239"/>
      <c r="X28" s="239"/>
      <c r="Y28" s="239"/>
      <c r="Z28" s="169"/>
      <c r="AA28" s="157"/>
      <c r="AB28" s="157"/>
      <c r="AC28" s="157"/>
      <c r="AD28" s="157"/>
      <c r="AE28" s="158"/>
      <c r="AF28" s="20"/>
      <c r="AG28" s="20"/>
      <c r="AH28" s="20"/>
      <c r="AI28" s="20"/>
      <c r="AJ28" s="20"/>
      <c r="AK28" s="20"/>
      <c r="BJ28" s="628"/>
      <c r="BK28" s="629"/>
      <c r="BL28" s="629"/>
      <c r="BM28" s="629"/>
      <c r="BN28" s="629"/>
      <c r="BO28" s="630"/>
      <c r="BP28" s="257" t="s">
        <v>262</v>
      </c>
      <c r="BQ28" s="258"/>
      <c r="BR28" s="258"/>
      <c r="BS28" s="258"/>
      <c r="BT28" s="258"/>
      <c r="BU28" s="258"/>
      <c r="BV28" s="258"/>
      <c r="BW28" s="258"/>
      <c r="BX28" s="258"/>
      <c r="BY28" s="258"/>
      <c r="BZ28" s="258"/>
      <c r="CA28" s="258"/>
      <c r="CB28" s="258"/>
      <c r="CC28" s="258"/>
      <c r="CD28" s="258"/>
      <c r="CE28" s="258"/>
      <c r="CF28" s="258"/>
      <c r="CG28" s="259"/>
      <c r="CH28" s="45"/>
    </row>
    <row r="29" spans="1:86" ht="9.75" customHeight="1">
      <c r="A29" s="12">
        <v>26</v>
      </c>
      <c r="B29" s="566" t="s">
        <v>139</v>
      </c>
      <c r="C29" s="277"/>
      <c r="D29" s="277"/>
      <c r="E29" s="277"/>
      <c r="F29" s="277"/>
      <c r="G29" s="277"/>
      <c r="H29" s="486"/>
      <c r="I29" s="487"/>
      <c r="J29" s="487"/>
      <c r="K29" s="487"/>
      <c r="L29" s="487"/>
      <c r="M29" s="487"/>
      <c r="N29" s="209"/>
      <c r="O29" s="487"/>
      <c r="P29" s="487"/>
      <c r="Q29" s="487"/>
      <c r="R29" s="487"/>
      <c r="S29" s="500"/>
      <c r="T29" s="239" t="s">
        <v>121</v>
      </c>
      <c r="U29" s="239"/>
      <c r="V29" s="239"/>
      <c r="W29" s="239"/>
      <c r="X29" s="239"/>
      <c r="Y29" s="239"/>
      <c r="Z29" s="169"/>
      <c r="AA29" s="157"/>
      <c r="AB29" s="157"/>
      <c r="AC29" s="157"/>
      <c r="AD29" s="157"/>
      <c r="AE29" s="158"/>
      <c r="AF29" s="20"/>
      <c r="AG29" s="20"/>
      <c r="AH29" s="20"/>
      <c r="AI29" s="20"/>
      <c r="AJ29" s="20"/>
      <c r="AK29" s="20"/>
      <c r="BJ29" s="631"/>
      <c r="BK29" s="632"/>
      <c r="BL29" s="632"/>
      <c r="BM29" s="632"/>
      <c r="BN29" s="632"/>
      <c r="BO29" s="633"/>
      <c r="BP29" s="303" t="s">
        <v>12</v>
      </c>
      <c r="BQ29" s="304"/>
      <c r="BR29" s="304"/>
      <c r="BS29" s="304"/>
      <c r="BT29" s="304"/>
      <c r="BU29" s="304"/>
      <c r="BV29" s="304" t="s">
        <v>11</v>
      </c>
      <c r="BW29" s="304"/>
      <c r="BX29" s="304"/>
      <c r="BY29" s="304"/>
      <c r="BZ29" s="304"/>
      <c r="CA29" s="304"/>
      <c r="CB29" s="304" t="s">
        <v>108</v>
      </c>
      <c r="CC29" s="304"/>
      <c r="CD29" s="304"/>
      <c r="CE29" s="304"/>
      <c r="CF29" s="304"/>
      <c r="CG29" s="305"/>
      <c r="CH29" s="45"/>
    </row>
    <row r="30" spans="1:86" ht="9.75" customHeight="1">
      <c r="A30" s="12">
        <v>27</v>
      </c>
      <c r="B30" s="407" t="s">
        <v>135</v>
      </c>
      <c r="C30" s="239"/>
      <c r="D30" s="239"/>
      <c r="E30" s="239"/>
      <c r="F30" s="239"/>
      <c r="G30" s="239"/>
      <c r="H30" s="224"/>
      <c r="I30" s="225"/>
      <c r="J30" s="225"/>
      <c r="K30" s="225"/>
      <c r="L30" s="225"/>
      <c r="M30" s="225"/>
      <c r="N30" s="219"/>
      <c r="O30" s="225"/>
      <c r="P30" s="225"/>
      <c r="Q30" s="225"/>
      <c r="R30" s="225"/>
      <c r="S30" s="496"/>
      <c r="T30" s="634" t="s">
        <v>117</v>
      </c>
      <c r="U30" s="239"/>
      <c r="V30" s="239"/>
      <c r="W30" s="239"/>
      <c r="X30" s="239"/>
      <c r="Y30" s="239"/>
      <c r="Z30" s="169"/>
      <c r="AA30" s="157"/>
      <c r="AB30" s="157"/>
      <c r="AC30" s="157"/>
      <c r="AD30" s="157"/>
      <c r="AE30" s="158"/>
      <c r="AF30" s="20"/>
      <c r="AG30" s="20"/>
      <c r="AH30" s="20"/>
      <c r="AI30" s="20"/>
      <c r="AJ30" s="20"/>
      <c r="AK30" s="20"/>
      <c r="BJ30" s="234" t="s">
        <v>107</v>
      </c>
      <c r="BK30" s="564" t="s">
        <v>106</v>
      </c>
      <c r="BL30" s="170" t="s">
        <v>105</v>
      </c>
      <c r="BM30" s="170"/>
      <c r="BN30" s="170"/>
      <c r="BO30" s="307"/>
      <c r="BP30" s="331"/>
      <c r="BQ30" s="210"/>
      <c r="BR30" s="210"/>
      <c r="BS30" s="210"/>
      <c r="BT30" s="210"/>
      <c r="BU30" s="210"/>
      <c r="BV30" s="210"/>
      <c r="BW30" s="210"/>
      <c r="BX30" s="210"/>
      <c r="BY30" s="210"/>
      <c r="BZ30" s="210"/>
      <c r="CA30" s="635"/>
      <c r="CB30" s="614"/>
      <c r="CC30" s="615"/>
      <c r="CD30" s="615"/>
      <c r="CE30" s="615"/>
      <c r="CF30" s="615"/>
      <c r="CG30" s="616"/>
      <c r="CH30" s="72"/>
    </row>
    <row r="31" spans="1:86" ht="9.75" customHeight="1">
      <c r="A31" s="12">
        <v>28</v>
      </c>
      <c r="B31" s="407" t="s">
        <v>133</v>
      </c>
      <c r="C31" s="239"/>
      <c r="D31" s="239"/>
      <c r="E31" s="239"/>
      <c r="F31" s="239"/>
      <c r="G31" s="239"/>
      <c r="H31" s="224"/>
      <c r="I31" s="225"/>
      <c r="J31" s="225"/>
      <c r="K31" s="225"/>
      <c r="L31" s="225"/>
      <c r="M31" s="225"/>
      <c r="N31" s="219"/>
      <c r="O31" s="225"/>
      <c r="P31" s="225"/>
      <c r="Q31" s="225"/>
      <c r="R31" s="225"/>
      <c r="S31" s="496"/>
      <c r="T31" s="105"/>
      <c r="U31" s="172" t="s">
        <v>112</v>
      </c>
      <c r="V31" s="172"/>
      <c r="W31" s="172"/>
      <c r="X31" s="172"/>
      <c r="Y31" s="173"/>
      <c r="Z31" s="169"/>
      <c r="AA31" s="157"/>
      <c r="AB31" s="157"/>
      <c r="AC31" s="157"/>
      <c r="AD31" s="157"/>
      <c r="AE31" s="158"/>
      <c r="AF31" s="73"/>
      <c r="AG31" s="73"/>
      <c r="AH31" s="73"/>
      <c r="AI31" s="73"/>
      <c r="AJ31" s="73"/>
      <c r="AK31" s="73"/>
      <c r="BJ31" s="198"/>
      <c r="BK31" s="565"/>
      <c r="BL31" s="172" t="s">
        <v>95</v>
      </c>
      <c r="BM31" s="172"/>
      <c r="BN31" s="172"/>
      <c r="BO31" s="238"/>
      <c r="BP31" s="224"/>
      <c r="BQ31" s="225"/>
      <c r="BR31" s="225"/>
      <c r="BS31" s="225"/>
      <c r="BT31" s="225"/>
      <c r="BU31" s="225"/>
      <c r="BV31" s="225"/>
      <c r="BW31" s="225"/>
      <c r="BX31" s="225"/>
      <c r="BY31" s="225"/>
      <c r="BZ31" s="225"/>
      <c r="CA31" s="485"/>
      <c r="CB31" s="174"/>
      <c r="CC31" s="232"/>
      <c r="CD31" s="232"/>
      <c r="CE31" s="232"/>
      <c r="CF31" s="232"/>
      <c r="CG31" s="482"/>
      <c r="CH31" s="74"/>
    </row>
    <row r="32" spans="1:86" ht="9.75" customHeight="1">
      <c r="A32" s="12">
        <v>29</v>
      </c>
      <c r="B32" s="407" t="s">
        <v>132</v>
      </c>
      <c r="C32" s="239"/>
      <c r="D32" s="239"/>
      <c r="E32" s="239"/>
      <c r="F32" s="239"/>
      <c r="G32" s="239"/>
      <c r="H32" s="224"/>
      <c r="I32" s="225"/>
      <c r="J32" s="225"/>
      <c r="K32" s="225"/>
      <c r="L32" s="225"/>
      <c r="M32" s="225"/>
      <c r="N32" s="219"/>
      <c r="O32" s="225"/>
      <c r="P32" s="225"/>
      <c r="Q32" s="225"/>
      <c r="R32" s="225"/>
      <c r="S32" s="496"/>
      <c r="T32" s="563" t="s">
        <v>270</v>
      </c>
      <c r="U32" s="172"/>
      <c r="V32" s="172"/>
      <c r="W32" s="172"/>
      <c r="X32" s="172"/>
      <c r="Y32" s="173"/>
      <c r="Z32" s="169"/>
      <c r="AA32" s="157"/>
      <c r="AB32" s="157"/>
      <c r="AC32" s="157"/>
      <c r="AD32" s="157"/>
      <c r="AE32" s="158"/>
      <c r="AF32" s="75"/>
      <c r="AG32" s="75"/>
      <c r="AH32" s="75"/>
      <c r="AI32" s="75"/>
      <c r="AJ32" s="75"/>
      <c r="AK32" s="75"/>
      <c r="AL32" s="45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J32" s="198"/>
      <c r="BK32" s="565"/>
      <c r="BL32" s="172" t="s">
        <v>104</v>
      </c>
      <c r="BM32" s="172"/>
      <c r="BN32" s="172"/>
      <c r="BO32" s="238"/>
      <c r="BP32" s="224"/>
      <c r="BQ32" s="225"/>
      <c r="BR32" s="225"/>
      <c r="BS32" s="225"/>
      <c r="BT32" s="225"/>
      <c r="BU32" s="225"/>
      <c r="BV32" s="225"/>
      <c r="BW32" s="225"/>
      <c r="BX32" s="225"/>
      <c r="BY32" s="225"/>
      <c r="BZ32" s="225"/>
      <c r="CA32" s="485"/>
      <c r="CB32" s="174"/>
      <c r="CC32" s="232"/>
      <c r="CD32" s="232"/>
      <c r="CE32" s="232"/>
      <c r="CF32" s="232"/>
      <c r="CG32" s="482"/>
      <c r="CH32" s="76"/>
    </row>
    <row r="33" spans="1:86" ht="9.75" customHeight="1" thickBot="1">
      <c r="A33" s="12">
        <v>30</v>
      </c>
      <c r="B33" s="407" t="s">
        <v>215</v>
      </c>
      <c r="C33" s="239"/>
      <c r="D33" s="239"/>
      <c r="E33" s="239"/>
      <c r="F33" s="239"/>
      <c r="G33" s="239"/>
      <c r="H33" s="224"/>
      <c r="I33" s="225"/>
      <c r="J33" s="225"/>
      <c r="K33" s="225"/>
      <c r="L33" s="225"/>
      <c r="M33" s="225"/>
      <c r="N33" s="219"/>
      <c r="O33" s="225"/>
      <c r="P33" s="225"/>
      <c r="Q33" s="225"/>
      <c r="R33" s="225"/>
      <c r="S33" s="496"/>
      <c r="T33" s="77"/>
      <c r="U33" s="176" t="s">
        <v>112</v>
      </c>
      <c r="V33" s="176"/>
      <c r="W33" s="176"/>
      <c r="X33" s="176"/>
      <c r="Y33" s="177"/>
      <c r="Z33" s="188"/>
      <c r="AA33" s="161"/>
      <c r="AB33" s="161"/>
      <c r="AC33" s="161"/>
      <c r="AD33" s="161"/>
      <c r="AE33" s="162"/>
      <c r="AF33" s="75"/>
      <c r="AG33" s="75"/>
      <c r="AH33" s="75"/>
      <c r="AI33" s="75"/>
      <c r="AJ33" s="75"/>
      <c r="AK33" s="75"/>
      <c r="AL33" s="45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J33" s="198"/>
      <c r="BK33" s="565"/>
      <c r="BL33" s="172" t="s">
        <v>100</v>
      </c>
      <c r="BM33" s="172"/>
      <c r="BN33" s="172"/>
      <c r="BO33" s="238"/>
      <c r="BP33" s="169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74"/>
      <c r="CB33" s="174"/>
      <c r="CC33" s="232"/>
      <c r="CD33" s="232"/>
      <c r="CE33" s="232"/>
      <c r="CF33" s="232"/>
      <c r="CG33" s="482"/>
      <c r="CH33" s="78"/>
    </row>
    <row r="34" spans="1:86" ht="9.75" customHeight="1">
      <c r="A34" s="12">
        <v>31</v>
      </c>
      <c r="B34" s="407" t="s">
        <v>216</v>
      </c>
      <c r="C34" s="239"/>
      <c r="D34" s="239"/>
      <c r="E34" s="239"/>
      <c r="F34" s="239"/>
      <c r="G34" s="239"/>
      <c r="H34" s="224"/>
      <c r="I34" s="225"/>
      <c r="J34" s="225"/>
      <c r="K34" s="225"/>
      <c r="L34" s="225"/>
      <c r="M34" s="225"/>
      <c r="N34" s="219"/>
      <c r="O34" s="225"/>
      <c r="P34" s="225"/>
      <c r="Q34" s="225"/>
      <c r="R34" s="225"/>
      <c r="S34" s="496"/>
      <c r="AF34" s="75"/>
      <c r="AG34" s="75"/>
      <c r="AH34" s="75"/>
      <c r="AI34" s="75"/>
      <c r="AJ34" s="75"/>
      <c r="AK34" s="75"/>
      <c r="AL34" s="45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J34" s="198"/>
      <c r="BK34" s="565" t="s">
        <v>242</v>
      </c>
      <c r="BL34" s="172" t="s">
        <v>103</v>
      </c>
      <c r="BM34" s="172"/>
      <c r="BN34" s="172"/>
      <c r="BO34" s="238"/>
      <c r="BP34" s="224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485"/>
      <c r="CB34" s="174"/>
      <c r="CC34" s="232"/>
      <c r="CD34" s="232"/>
      <c r="CE34" s="232"/>
      <c r="CF34" s="232"/>
      <c r="CG34" s="482"/>
    </row>
    <row r="35" spans="1:86" ht="9.75" customHeight="1" thickBot="1">
      <c r="A35" s="12">
        <v>32</v>
      </c>
      <c r="B35" s="475" t="s">
        <v>1</v>
      </c>
      <c r="C35" s="476"/>
      <c r="D35" s="476"/>
      <c r="E35" s="476"/>
      <c r="F35" s="476"/>
      <c r="G35" s="476"/>
      <c r="H35" s="188"/>
      <c r="I35" s="161"/>
      <c r="J35" s="161"/>
      <c r="K35" s="161"/>
      <c r="L35" s="161"/>
      <c r="M35" s="161"/>
      <c r="N35" s="194"/>
      <c r="O35" s="161"/>
      <c r="P35" s="161"/>
      <c r="Q35" s="161"/>
      <c r="R35" s="161"/>
      <c r="S35" s="162"/>
      <c r="AF35" s="75"/>
      <c r="AG35" s="75"/>
      <c r="AH35" s="75"/>
      <c r="AI35" s="75"/>
      <c r="AJ35" s="75"/>
      <c r="AK35" s="75"/>
      <c r="AL35" s="45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J35" s="198"/>
      <c r="BK35" s="565"/>
      <c r="BL35" s="172" t="s">
        <v>101</v>
      </c>
      <c r="BM35" s="172"/>
      <c r="BN35" s="172"/>
      <c r="BO35" s="238"/>
      <c r="BP35" s="224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485"/>
      <c r="CB35" s="174"/>
      <c r="CC35" s="232"/>
      <c r="CD35" s="232"/>
      <c r="CE35" s="232"/>
      <c r="CF35" s="232"/>
      <c r="CG35" s="482"/>
      <c r="CH35" s="73"/>
    </row>
    <row r="36" spans="1:86" ht="9.75" customHeight="1">
      <c r="A36" s="12">
        <v>33</v>
      </c>
      <c r="B36" s="347" t="s">
        <v>373</v>
      </c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9"/>
      <c r="N36" s="58"/>
      <c r="O36" s="58"/>
      <c r="P36" s="58"/>
      <c r="Q36" s="58"/>
      <c r="R36" s="58"/>
      <c r="S36" s="58"/>
      <c r="T36" s="79"/>
      <c r="U36" s="79"/>
      <c r="V36" s="79"/>
      <c r="W36" s="79"/>
      <c r="X36" s="79"/>
      <c r="Y36" s="79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45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J36" s="198"/>
      <c r="BK36" s="565"/>
      <c r="BL36" s="172" t="s">
        <v>90</v>
      </c>
      <c r="BM36" s="172"/>
      <c r="BN36" s="172"/>
      <c r="BO36" s="238"/>
      <c r="BP36" s="224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485"/>
      <c r="CB36" s="174"/>
      <c r="CC36" s="232"/>
      <c r="CD36" s="232"/>
      <c r="CE36" s="232"/>
      <c r="CF36" s="232"/>
      <c r="CG36" s="482"/>
      <c r="CH36" s="56"/>
    </row>
    <row r="37" spans="1:86" ht="9.75" customHeight="1">
      <c r="A37" s="12">
        <v>34</v>
      </c>
      <c r="B37" s="556" t="s">
        <v>110</v>
      </c>
      <c r="C37" s="557"/>
      <c r="D37" s="557"/>
      <c r="E37" s="557"/>
      <c r="F37" s="557"/>
      <c r="G37" s="557"/>
      <c r="H37" s="409"/>
      <c r="I37" s="410"/>
      <c r="J37" s="410"/>
      <c r="K37" s="410"/>
      <c r="L37" s="410"/>
      <c r="M37" s="558"/>
      <c r="N37" s="58"/>
      <c r="O37" s="58"/>
      <c r="P37" s="58"/>
      <c r="Q37" s="58"/>
      <c r="R37" s="58"/>
      <c r="S37" s="58"/>
      <c r="T37" s="39"/>
      <c r="U37" s="39"/>
      <c r="V37" s="39"/>
      <c r="W37" s="39"/>
      <c r="X37" s="39"/>
      <c r="Y37" s="39"/>
      <c r="Z37" s="80"/>
      <c r="AA37" s="80"/>
      <c r="AB37" s="80"/>
      <c r="AC37" s="80"/>
      <c r="AD37" s="80"/>
      <c r="AE37" s="80"/>
      <c r="AF37" s="37"/>
      <c r="AG37" s="37"/>
      <c r="AH37" s="37"/>
      <c r="AI37" s="37"/>
      <c r="AJ37" s="37"/>
      <c r="AK37" s="37"/>
      <c r="AM37" s="20"/>
      <c r="AN37" s="20"/>
      <c r="AO37" s="20"/>
      <c r="AP37" s="20"/>
      <c r="AQ37" s="20"/>
      <c r="AR37" s="20"/>
      <c r="AS37" s="20"/>
      <c r="AT37" s="106"/>
      <c r="AU37" s="106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J37" s="198"/>
      <c r="BK37" s="565"/>
      <c r="BL37" s="172" t="s">
        <v>100</v>
      </c>
      <c r="BM37" s="172"/>
      <c r="BN37" s="172"/>
      <c r="BO37" s="238"/>
      <c r="BP37" s="169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74"/>
      <c r="CB37" s="174"/>
      <c r="CC37" s="232"/>
      <c r="CD37" s="232"/>
      <c r="CE37" s="232"/>
      <c r="CF37" s="232"/>
      <c r="CG37" s="482"/>
      <c r="CH37" s="45"/>
    </row>
    <row r="38" spans="1:86" ht="9.75" customHeight="1" thickBot="1">
      <c r="A38" s="12">
        <v>35</v>
      </c>
      <c r="B38" s="554" t="s">
        <v>109</v>
      </c>
      <c r="C38" s="555"/>
      <c r="D38" s="555"/>
      <c r="E38" s="555"/>
      <c r="F38" s="555"/>
      <c r="G38" s="555"/>
      <c r="H38" s="217"/>
      <c r="I38" s="218"/>
      <c r="J38" s="218"/>
      <c r="K38" s="218"/>
      <c r="L38" s="218"/>
      <c r="M38" s="490"/>
      <c r="N38" s="58"/>
      <c r="O38" s="58"/>
      <c r="P38" s="58"/>
      <c r="Q38" s="58"/>
      <c r="R38" s="58"/>
      <c r="S38" s="58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J38" s="198"/>
      <c r="BK38" s="172" t="s">
        <v>69</v>
      </c>
      <c r="BL38" s="172"/>
      <c r="BM38" s="172"/>
      <c r="BN38" s="172"/>
      <c r="BO38" s="238"/>
      <c r="BP38" s="169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74"/>
      <c r="CB38" s="174"/>
      <c r="CC38" s="232"/>
      <c r="CD38" s="232"/>
      <c r="CE38" s="232"/>
      <c r="CF38" s="232"/>
      <c r="CG38" s="482"/>
      <c r="CH38" s="45"/>
    </row>
    <row r="39" spans="1:86" ht="9.75" customHeight="1">
      <c r="A39" s="12">
        <v>36</v>
      </c>
      <c r="B39" s="347" t="s">
        <v>374</v>
      </c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9"/>
      <c r="T39" s="507" t="s">
        <v>375</v>
      </c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9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J39" s="327" t="s">
        <v>97</v>
      </c>
      <c r="BK39" s="551" t="s">
        <v>96</v>
      </c>
      <c r="BL39" s="238" t="s">
        <v>95</v>
      </c>
      <c r="BM39" s="239"/>
      <c r="BN39" s="239"/>
      <c r="BO39" s="240"/>
      <c r="BP39" s="224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485"/>
      <c r="CB39" s="174"/>
      <c r="CC39" s="232"/>
      <c r="CD39" s="232"/>
      <c r="CE39" s="232"/>
      <c r="CF39" s="232"/>
      <c r="CG39" s="482"/>
      <c r="CH39" s="45"/>
    </row>
    <row r="40" spans="1:86" ht="9.75" customHeight="1" thickBot="1">
      <c r="A40" s="12">
        <v>37</v>
      </c>
      <c r="B40" s="243"/>
      <c r="C40" s="244"/>
      <c r="D40" s="244"/>
      <c r="E40" s="244"/>
      <c r="F40" s="244"/>
      <c r="G40" s="244"/>
      <c r="H40" s="510" t="s">
        <v>269</v>
      </c>
      <c r="I40" s="511"/>
      <c r="J40" s="511"/>
      <c r="K40" s="511"/>
      <c r="L40" s="511"/>
      <c r="M40" s="511"/>
      <c r="N40" s="553" t="s">
        <v>98</v>
      </c>
      <c r="O40" s="505"/>
      <c r="P40" s="505"/>
      <c r="Q40" s="505"/>
      <c r="R40" s="505"/>
      <c r="S40" s="506"/>
      <c r="T40" s="571" t="s">
        <v>115</v>
      </c>
      <c r="U40" s="572"/>
      <c r="V40" s="572"/>
      <c r="W40" s="572"/>
      <c r="X40" s="572"/>
      <c r="Y40" s="572"/>
      <c r="Z40" s="573"/>
      <c r="AA40" s="574"/>
      <c r="AB40" s="574"/>
      <c r="AC40" s="574"/>
      <c r="AD40" s="574"/>
      <c r="AE40" s="575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J40" s="327"/>
      <c r="BK40" s="552"/>
      <c r="BL40" s="238" t="s">
        <v>90</v>
      </c>
      <c r="BM40" s="239"/>
      <c r="BN40" s="239"/>
      <c r="BO40" s="240"/>
      <c r="BP40" s="224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485"/>
      <c r="CB40" s="174"/>
      <c r="CC40" s="232"/>
      <c r="CD40" s="232"/>
      <c r="CE40" s="232"/>
      <c r="CF40" s="232"/>
      <c r="CG40" s="482"/>
      <c r="CH40" s="45"/>
    </row>
    <row r="41" spans="1:86" ht="9.75" customHeight="1">
      <c r="A41" s="12">
        <v>38</v>
      </c>
      <c r="B41" s="518" t="s">
        <v>120</v>
      </c>
      <c r="C41" s="519"/>
      <c r="D41" s="519"/>
      <c r="E41" s="519"/>
      <c r="F41" s="519"/>
      <c r="G41" s="519"/>
      <c r="H41" s="576"/>
      <c r="I41" s="577"/>
      <c r="J41" s="577"/>
      <c r="K41" s="577"/>
      <c r="L41" s="577"/>
      <c r="M41" s="577"/>
      <c r="N41" s="487"/>
      <c r="O41" s="487"/>
      <c r="P41" s="487"/>
      <c r="Q41" s="487"/>
      <c r="R41" s="487"/>
      <c r="S41" s="50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J41" s="327"/>
      <c r="BK41" s="548" t="s">
        <v>242</v>
      </c>
      <c r="BL41" s="238" t="s">
        <v>93</v>
      </c>
      <c r="BM41" s="239"/>
      <c r="BN41" s="239"/>
      <c r="BO41" s="240"/>
      <c r="BP41" s="224"/>
      <c r="BQ41" s="225"/>
      <c r="BR41" s="225"/>
      <c r="BS41" s="225"/>
      <c r="BT41" s="225"/>
      <c r="BU41" s="225"/>
      <c r="BV41" s="156"/>
      <c r="BW41" s="156"/>
      <c r="BX41" s="156"/>
      <c r="BY41" s="156"/>
      <c r="BZ41" s="156"/>
      <c r="CA41" s="416"/>
      <c r="CB41" s="156"/>
      <c r="CC41" s="156"/>
      <c r="CD41" s="156"/>
      <c r="CE41" s="156"/>
      <c r="CF41" s="156"/>
      <c r="CG41" s="525"/>
      <c r="CH41" s="76"/>
    </row>
    <row r="42" spans="1:86" ht="9.75" customHeight="1">
      <c r="A42" s="12">
        <v>39</v>
      </c>
      <c r="B42" s="479" t="s">
        <v>116</v>
      </c>
      <c r="C42" s="480"/>
      <c r="D42" s="480"/>
      <c r="E42" s="480"/>
      <c r="F42" s="480"/>
      <c r="G42" s="480"/>
      <c r="H42" s="491"/>
      <c r="I42" s="492"/>
      <c r="J42" s="492"/>
      <c r="K42" s="492"/>
      <c r="L42" s="492"/>
      <c r="M42" s="492"/>
      <c r="N42" s="225"/>
      <c r="O42" s="225"/>
      <c r="P42" s="225"/>
      <c r="Q42" s="225"/>
      <c r="R42" s="225"/>
      <c r="S42" s="496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J42" s="327"/>
      <c r="BK42" s="549"/>
      <c r="BL42" s="238" t="s">
        <v>92</v>
      </c>
      <c r="BM42" s="239"/>
      <c r="BN42" s="239"/>
      <c r="BO42" s="240"/>
      <c r="BP42" s="224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485"/>
      <c r="CB42" s="174"/>
      <c r="CC42" s="232"/>
      <c r="CD42" s="232"/>
      <c r="CE42" s="232"/>
      <c r="CF42" s="232"/>
      <c r="CG42" s="482"/>
      <c r="CH42" s="81"/>
    </row>
    <row r="43" spans="1:86" ht="9.75" customHeight="1">
      <c r="A43" s="12">
        <v>40</v>
      </c>
      <c r="B43" s="479" t="s">
        <v>125</v>
      </c>
      <c r="C43" s="480"/>
      <c r="D43" s="480"/>
      <c r="E43" s="480"/>
      <c r="F43" s="480"/>
      <c r="G43" s="480"/>
      <c r="H43" s="491"/>
      <c r="I43" s="492"/>
      <c r="J43" s="492"/>
      <c r="K43" s="492"/>
      <c r="L43" s="492"/>
      <c r="M43" s="492"/>
      <c r="N43" s="225"/>
      <c r="O43" s="225"/>
      <c r="P43" s="225"/>
      <c r="Q43" s="225"/>
      <c r="R43" s="225"/>
      <c r="S43" s="496"/>
      <c r="AJ43" s="20"/>
      <c r="AK43" s="20"/>
      <c r="AL43" s="20"/>
      <c r="AM43" s="82"/>
      <c r="AN43" s="82"/>
      <c r="AO43" s="82"/>
      <c r="AP43" s="82"/>
      <c r="AQ43" s="82"/>
      <c r="BJ43" s="327"/>
      <c r="BK43" s="550"/>
      <c r="BL43" s="238" t="s">
        <v>277</v>
      </c>
      <c r="BM43" s="239"/>
      <c r="BN43" s="239"/>
      <c r="BO43" s="240"/>
      <c r="BP43" s="224"/>
      <c r="BQ43" s="225"/>
      <c r="BR43" s="225"/>
      <c r="BS43" s="225"/>
      <c r="BT43" s="225"/>
      <c r="BU43" s="225"/>
      <c r="BV43" s="156"/>
      <c r="BW43" s="156"/>
      <c r="BX43" s="156"/>
      <c r="BY43" s="156"/>
      <c r="BZ43" s="156"/>
      <c r="CA43" s="416"/>
      <c r="CB43" s="156"/>
      <c r="CC43" s="156"/>
      <c r="CD43" s="156"/>
      <c r="CE43" s="156"/>
      <c r="CF43" s="156"/>
      <c r="CG43" s="525"/>
      <c r="CH43" s="81"/>
    </row>
    <row r="44" spans="1:86" ht="9.75" customHeight="1">
      <c r="A44" s="12">
        <v>41</v>
      </c>
      <c r="B44" s="479" t="s">
        <v>122</v>
      </c>
      <c r="C44" s="480"/>
      <c r="D44" s="480"/>
      <c r="E44" s="480"/>
      <c r="F44" s="480"/>
      <c r="G44" s="480"/>
      <c r="H44" s="491"/>
      <c r="I44" s="492"/>
      <c r="J44" s="492"/>
      <c r="K44" s="492"/>
      <c r="L44" s="492"/>
      <c r="M44" s="492"/>
      <c r="N44" s="225"/>
      <c r="O44" s="225"/>
      <c r="P44" s="225"/>
      <c r="Q44" s="225"/>
      <c r="R44" s="225"/>
      <c r="S44" s="496"/>
      <c r="AJ44" s="20"/>
      <c r="AK44" s="20"/>
      <c r="AL44" s="20"/>
      <c r="AM44" s="82"/>
      <c r="AN44" s="82"/>
      <c r="AO44" s="82"/>
      <c r="AP44" s="82"/>
      <c r="AQ44" s="82"/>
      <c r="BJ44" s="327"/>
      <c r="BK44" s="172" t="s">
        <v>89</v>
      </c>
      <c r="BL44" s="172"/>
      <c r="BM44" s="172"/>
      <c r="BN44" s="172"/>
      <c r="BO44" s="238"/>
      <c r="BP44" s="169"/>
      <c r="BQ44" s="157"/>
      <c r="BR44" s="157"/>
      <c r="BS44" s="157"/>
      <c r="BT44" s="157"/>
      <c r="BU44" s="157"/>
      <c r="BV44" s="157"/>
      <c r="BW44" s="157"/>
      <c r="BX44" s="157"/>
      <c r="BY44" s="157"/>
      <c r="BZ44" s="157"/>
      <c r="CA44" s="174"/>
      <c r="CB44" s="156"/>
      <c r="CC44" s="156"/>
      <c r="CD44" s="156"/>
      <c r="CE44" s="156"/>
      <c r="CF44" s="156"/>
      <c r="CG44" s="525"/>
      <c r="CH44" s="81"/>
    </row>
    <row r="45" spans="1:86" ht="9.75" customHeight="1">
      <c r="A45" s="12">
        <v>42</v>
      </c>
      <c r="B45" s="479" t="s">
        <v>220</v>
      </c>
      <c r="C45" s="480"/>
      <c r="D45" s="480"/>
      <c r="E45" s="480"/>
      <c r="F45" s="480"/>
      <c r="G45" s="480"/>
      <c r="H45" s="491"/>
      <c r="I45" s="492"/>
      <c r="J45" s="492"/>
      <c r="K45" s="492"/>
      <c r="L45" s="492"/>
      <c r="M45" s="492"/>
      <c r="N45" s="225"/>
      <c r="O45" s="225"/>
      <c r="P45" s="225"/>
      <c r="Q45" s="225"/>
      <c r="R45" s="225"/>
      <c r="S45" s="496"/>
      <c r="AJ45" s="20"/>
      <c r="AK45" s="20"/>
      <c r="AL45" s="20"/>
      <c r="AM45" s="82"/>
      <c r="AN45" s="82"/>
      <c r="AO45" s="82"/>
      <c r="AP45" s="82"/>
      <c r="AQ45" s="82"/>
      <c r="BJ45" s="327"/>
      <c r="BK45" s="172" t="s">
        <v>5</v>
      </c>
      <c r="BL45" s="172"/>
      <c r="BM45" s="172"/>
      <c r="BN45" s="172"/>
      <c r="BO45" s="238"/>
      <c r="BP45" s="224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485"/>
      <c r="CB45" s="174"/>
      <c r="CC45" s="232"/>
      <c r="CD45" s="232"/>
      <c r="CE45" s="232"/>
      <c r="CF45" s="232"/>
      <c r="CG45" s="482"/>
      <c r="CH45" s="81"/>
    </row>
    <row r="46" spans="1:86" ht="9.75" customHeight="1">
      <c r="A46" s="12">
        <v>43</v>
      </c>
      <c r="B46" s="479" t="s">
        <v>221</v>
      </c>
      <c r="C46" s="480"/>
      <c r="D46" s="480"/>
      <c r="E46" s="480"/>
      <c r="F46" s="480"/>
      <c r="G46" s="480"/>
      <c r="H46" s="491"/>
      <c r="I46" s="492"/>
      <c r="J46" s="492"/>
      <c r="K46" s="492"/>
      <c r="L46" s="492"/>
      <c r="M46" s="492"/>
      <c r="N46" s="225"/>
      <c r="O46" s="225"/>
      <c r="P46" s="225"/>
      <c r="Q46" s="225"/>
      <c r="R46" s="225"/>
      <c r="S46" s="496"/>
      <c r="AJ46" s="20"/>
      <c r="AK46" s="20"/>
      <c r="AL46" s="20"/>
      <c r="AM46" s="82"/>
      <c r="AN46" s="82"/>
      <c r="AO46" s="82"/>
      <c r="AP46" s="82"/>
      <c r="AQ46" s="82"/>
      <c r="BJ46" s="327"/>
      <c r="BK46" s="172" t="s">
        <v>251</v>
      </c>
      <c r="BL46" s="172"/>
      <c r="BM46" s="172"/>
      <c r="BN46" s="172"/>
      <c r="BO46" s="238"/>
      <c r="BP46" s="224"/>
      <c r="BQ46" s="225"/>
      <c r="BR46" s="225"/>
      <c r="BS46" s="225"/>
      <c r="BT46" s="225"/>
      <c r="BU46" s="225"/>
      <c r="BV46" s="225"/>
      <c r="BW46" s="225"/>
      <c r="BX46" s="225"/>
      <c r="BY46" s="225"/>
      <c r="BZ46" s="225"/>
      <c r="CA46" s="485"/>
      <c r="CB46" s="174"/>
      <c r="CC46" s="232"/>
      <c r="CD46" s="232"/>
      <c r="CE46" s="232"/>
      <c r="CF46" s="232"/>
      <c r="CG46" s="482"/>
      <c r="CH46" s="81"/>
    </row>
    <row r="47" spans="1:86" ht="9.75" customHeight="1" thickBot="1">
      <c r="A47" s="12">
        <v>44</v>
      </c>
      <c r="B47" s="479" t="s">
        <v>222</v>
      </c>
      <c r="C47" s="480"/>
      <c r="D47" s="480"/>
      <c r="E47" s="480"/>
      <c r="F47" s="480"/>
      <c r="G47" s="480"/>
      <c r="H47" s="491"/>
      <c r="I47" s="492"/>
      <c r="J47" s="492"/>
      <c r="K47" s="492"/>
      <c r="L47" s="492"/>
      <c r="M47" s="492"/>
      <c r="N47" s="225"/>
      <c r="O47" s="225"/>
      <c r="P47" s="225"/>
      <c r="Q47" s="225"/>
      <c r="R47" s="225"/>
      <c r="S47" s="496"/>
      <c r="AJ47" s="20"/>
      <c r="AK47" s="20"/>
      <c r="AL47" s="20"/>
      <c r="AM47" s="82"/>
      <c r="AN47" s="82"/>
      <c r="AO47" s="82"/>
      <c r="AP47" s="82"/>
      <c r="AQ47" s="83"/>
      <c r="BJ47" s="547"/>
      <c r="BK47" s="176" t="s">
        <v>69</v>
      </c>
      <c r="BL47" s="176"/>
      <c r="BM47" s="176"/>
      <c r="BN47" s="176"/>
      <c r="BO47" s="189"/>
      <c r="BP47" s="159"/>
      <c r="BQ47" s="160"/>
      <c r="BR47" s="160"/>
      <c r="BS47" s="160"/>
      <c r="BT47" s="160"/>
      <c r="BU47" s="160"/>
      <c r="BV47" s="161"/>
      <c r="BW47" s="161"/>
      <c r="BX47" s="161"/>
      <c r="BY47" s="161"/>
      <c r="BZ47" s="161"/>
      <c r="CA47" s="178"/>
      <c r="CB47" s="160"/>
      <c r="CC47" s="160"/>
      <c r="CD47" s="160"/>
      <c r="CE47" s="160"/>
      <c r="CF47" s="160"/>
      <c r="CG47" s="531"/>
      <c r="CH47" s="81"/>
    </row>
    <row r="48" spans="1:86" ht="9.75" customHeight="1">
      <c r="A48" s="12">
        <v>45</v>
      </c>
      <c r="B48" s="479" t="s">
        <v>223</v>
      </c>
      <c r="C48" s="480"/>
      <c r="D48" s="480"/>
      <c r="E48" s="480"/>
      <c r="F48" s="480"/>
      <c r="G48" s="480"/>
      <c r="H48" s="491"/>
      <c r="I48" s="492"/>
      <c r="J48" s="492"/>
      <c r="K48" s="492"/>
      <c r="L48" s="492"/>
      <c r="M48" s="492"/>
      <c r="N48" s="225"/>
      <c r="O48" s="225"/>
      <c r="P48" s="225"/>
      <c r="Q48" s="225"/>
      <c r="R48" s="225"/>
      <c r="S48" s="496"/>
      <c r="AF48" s="507" t="s">
        <v>376</v>
      </c>
      <c r="AG48" s="508"/>
      <c r="AH48" s="508"/>
      <c r="AI48" s="508"/>
      <c r="AJ48" s="508"/>
      <c r="AK48" s="508"/>
      <c r="AL48" s="508"/>
      <c r="AM48" s="508"/>
      <c r="AN48" s="508"/>
      <c r="AO48" s="508"/>
      <c r="AP48" s="508"/>
      <c r="AQ48" s="508"/>
      <c r="AR48" s="508"/>
      <c r="AS48" s="508"/>
      <c r="AT48" s="508"/>
      <c r="AU48" s="508"/>
      <c r="AV48" s="508"/>
      <c r="AW48" s="509"/>
      <c r="BD48" s="53"/>
      <c r="BE48" s="53"/>
      <c r="BF48" s="53"/>
      <c r="BG48" s="53"/>
      <c r="BH48" s="53"/>
      <c r="BI48" s="53"/>
      <c r="CG48" s="29"/>
    </row>
    <row r="49" spans="1:85" ht="9.75" customHeight="1">
      <c r="A49" s="12">
        <v>46</v>
      </c>
      <c r="B49" s="479" t="s">
        <v>224</v>
      </c>
      <c r="C49" s="480"/>
      <c r="D49" s="480"/>
      <c r="E49" s="480"/>
      <c r="F49" s="480"/>
      <c r="G49" s="480"/>
      <c r="H49" s="491"/>
      <c r="I49" s="492"/>
      <c r="J49" s="492"/>
      <c r="K49" s="492"/>
      <c r="L49" s="492"/>
      <c r="M49" s="492"/>
      <c r="N49" s="225"/>
      <c r="O49" s="225"/>
      <c r="P49" s="225"/>
      <c r="Q49" s="225"/>
      <c r="R49" s="225"/>
      <c r="S49" s="496"/>
      <c r="AF49" s="243"/>
      <c r="AG49" s="244"/>
      <c r="AH49" s="244"/>
      <c r="AI49" s="244"/>
      <c r="AJ49" s="244"/>
      <c r="AK49" s="244"/>
      <c r="AL49" s="520" t="s">
        <v>94</v>
      </c>
      <c r="AM49" s="497"/>
      <c r="AN49" s="497"/>
      <c r="AO49" s="497"/>
      <c r="AP49" s="497"/>
      <c r="AQ49" s="497"/>
      <c r="AR49" s="497" t="s">
        <v>65</v>
      </c>
      <c r="AS49" s="497"/>
      <c r="AT49" s="497"/>
      <c r="AU49" s="497"/>
      <c r="AV49" s="497"/>
      <c r="AW49" s="498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CG49" s="21"/>
    </row>
    <row r="50" spans="1:85" ht="9.75" customHeight="1" thickBot="1">
      <c r="A50" s="12">
        <v>47</v>
      </c>
      <c r="B50" s="513" t="s">
        <v>225</v>
      </c>
      <c r="C50" s="514"/>
      <c r="D50" s="514"/>
      <c r="E50" s="514"/>
      <c r="F50" s="514"/>
      <c r="G50" s="514"/>
      <c r="H50" s="515"/>
      <c r="I50" s="516"/>
      <c r="J50" s="516"/>
      <c r="K50" s="516"/>
      <c r="L50" s="516"/>
      <c r="M50" s="516"/>
      <c r="N50" s="227"/>
      <c r="O50" s="227"/>
      <c r="P50" s="227"/>
      <c r="Q50" s="227"/>
      <c r="R50" s="227"/>
      <c r="S50" s="517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526" t="s">
        <v>38</v>
      </c>
      <c r="AG50" s="528" t="s">
        <v>236</v>
      </c>
      <c r="AH50" s="529"/>
      <c r="AI50" s="529"/>
      <c r="AJ50" s="529"/>
      <c r="AK50" s="530"/>
      <c r="AL50" s="413"/>
      <c r="AM50" s="414"/>
      <c r="AN50" s="414"/>
      <c r="AO50" s="414"/>
      <c r="AP50" s="414"/>
      <c r="AQ50" s="414"/>
      <c r="AR50" s="235"/>
      <c r="AS50" s="414"/>
      <c r="AT50" s="414"/>
      <c r="AU50" s="414"/>
      <c r="AV50" s="414"/>
      <c r="AW50" s="537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CG50" s="21"/>
    </row>
    <row r="51" spans="1:85" ht="9.75" customHeight="1">
      <c r="A51" s="12">
        <v>48</v>
      </c>
      <c r="B51" s="507" t="s">
        <v>377</v>
      </c>
      <c r="C51" s="508"/>
      <c r="D51" s="508"/>
      <c r="E51" s="508"/>
      <c r="F51" s="508"/>
      <c r="G51" s="508"/>
      <c r="H51" s="508"/>
      <c r="I51" s="508"/>
      <c r="J51" s="508"/>
      <c r="K51" s="508"/>
      <c r="L51" s="508"/>
      <c r="M51" s="508"/>
      <c r="N51" s="508"/>
      <c r="O51" s="508"/>
      <c r="P51" s="508"/>
      <c r="Q51" s="508"/>
      <c r="R51" s="508"/>
      <c r="S51" s="508"/>
      <c r="T51" s="508"/>
      <c r="U51" s="508"/>
      <c r="V51" s="508"/>
      <c r="W51" s="508"/>
      <c r="X51" s="508"/>
      <c r="Y51" s="508"/>
      <c r="Z51" s="508"/>
      <c r="AA51" s="508"/>
      <c r="AB51" s="508"/>
      <c r="AC51" s="508"/>
      <c r="AD51" s="508"/>
      <c r="AE51" s="509"/>
      <c r="AF51" s="526"/>
      <c r="AG51" s="32"/>
      <c r="AH51" s="172" t="s">
        <v>237</v>
      </c>
      <c r="AI51" s="172"/>
      <c r="AJ51" s="172"/>
      <c r="AK51" s="173"/>
      <c r="AL51" s="231"/>
      <c r="AM51" s="232"/>
      <c r="AN51" s="232"/>
      <c r="AO51" s="232"/>
      <c r="AP51" s="232"/>
      <c r="AQ51" s="232"/>
      <c r="AR51" s="521"/>
      <c r="AS51" s="423"/>
      <c r="AT51" s="423"/>
      <c r="AU51" s="423"/>
      <c r="AV51" s="423"/>
      <c r="AW51" s="425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CG51" s="21"/>
    </row>
    <row r="52" spans="1:85" ht="9.75" customHeight="1">
      <c r="A52" s="12">
        <v>49</v>
      </c>
      <c r="B52" s="297"/>
      <c r="C52" s="242"/>
      <c r="D52" s="242"/>
      <c r="E52" s="242"/>
      <c r="F52" s="242"/>
      <c r="G52" s="242"/>
      <c r="H52" s="540" t="s">
        <v>239</v>
      </c>
      <c r="I52" s="541"/>
      <c r="J52" s="541"/>
      <c r="K52" s="541"/>
      <c r="L52" s="541"/>
      <c r="M52" s="541"/>
      <c r="N52" s="541"/>
      <c r="O52" s="541"/>
      <c r="P52" s="541"/>
      <c r="Q52" s="541"/>
      <c r="R52" s="541"/>
      <c r="S52" s="541"/>
      <c r="T52" s="541"/>
      <c r="U52" s="541"/>
      <c r="V52" s="541"/>
      <c r="W52" s="541"/>
      <c r="X52" s="541"/>
      <c r="Y52" s="542"/>
      <c r="Z52" s="543" t="s">
        <v>276</v>
      </c>
      <c r="AA52" s="543"/>
      <c r="AB52" s="543"/>
      <c r="AC52" s="543"/>
      <c r="AD52" s="543"/>
      <c r="AE52" s="544"/>
      <c r="AF52" s="526"/>
      <c r="AG52" s="84"/>
      <c r="AH52" s="172" t="s">
        <v>238</v>
      </c>
      <c r="AI52" s="172"/>
      <c r="AJ52" s="172"/>
      <c r="AK52" s="173"/>
      <c r="AL52" s="231"/>
      <c r="AM52" s="232"/>
      <c r="AN52" s="232"/>
      <c r="AO52" s="232"/>
      <c r="AP52" s="232"/>
      <c r="AQ52" s="232"/>
      <c r="AR52" s="521"/>
      <c r="AS52" s="423"/>
      <c r="AT52" s="423"/>
      <c r="AU52" s="423"/>
      <c r="AV52" s="423"/>
      <c r="AW52" s="425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CG52" s="21"/>
    </row>
    <row r="53" spans="1:85" ht="9.75" customHeight="1">
      <c r="A53" s="12">
        <v>50</v>
      </c>
      <c r="B53" s="243"/>
      <c r="C53" s="244"/>
      <c r="D53" s="244"/>
      <c r="E53" s="244"/>
      <c r="F53" s="244"/>
      <c r="G53" s="244"/>
      <c r="H53" s="303" t="s">
        <v>237</v>
      </c>
      <c r="I53" s="304"/>
      <c r="J53" s="304"/>
      <c r="K53" s="304"/>
      <c r="L53" s="304"/>
      <c r="M53" s="304"/>
      <c r="N53" s="304" t="s">
        <v>238</v>
      </c>
      <c r="O53" s="304"/>
      <c r="P53" s="304"/>
      <c r="Q53" s="304"/>
      <c r="R53" s="304"/>
      <c r="S53" s="304"/>
      <c r="T53" s="522" t="s">
        <v>1</v>
      </c>
      <c r="U53" s="522"/>
      <c r="V53" s="522"/>
      <c r="W53" s="522"/>
      <c r="X53" s="522"/>
      <c r="Y53" s="295"/>
      <c r="Z53" s="545"/>
      <c r="AA53" s="545"/>
      <c r="AB53" s="545"/>
      <c r="AC53" s="545"/>
      <c r="AD53" s="545"/>
      <c r="AE53" s="546"/>
      <c r="AF53" s="526"/>
      <c r="AG53" s="501" t="s">
        <v>40</v>
      </c>
      <c r="AH53" s="502"/>
      <c r="AI53" s="502"/>
      <c r="AJ53" s="502"/>
      <c r="AK53" s="503"/>
      <c r="AL53" s="231"/>
      <c r="AM53" s="232"/>
      <c r="AN53" s="232"/>
      <c r="AO53" s="232"/>
      <c r="AP53" s="232"/>
      <c r="AQ53" s="232"/>
      <c r="AR53" s="174"/>
      <c r="AS53" s="232"/>
      <c r="AT53" s="232"/>
      <c r="AU53" s="232"/>
      <c r="AV53" s="232"/>
      <c r="AW53" s="482"/>
      <c r="CG53" s="21"/>
    </row>
    <row r="54" spans="1:85" ht="9.75" customHeight="1" thickBot="1">
      <c r="A54" s="12">
        <v>51</v>
      </c>
      <c r="B54" s="518" t="s">
        <v>3</v>
      </c>
      <c r="C54" s="519"/>
      <c r="D54" s="519"/>
      <c r="E54" s="519"/>
      <c r="F54" s="519"/>
      <c r="G54" s="519"/>
      <c r="H54" s="331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1"/>
      <c r="U54" s="211"/>
      <c r="V54" s="211"/>
      <c r="W54" s="211"/>
      <c r="X54" s="211"/>
      <c r="Y54" s="212"/>
      <c r="Z54" s="523"/>
      <c r="AA54" s="210"/>
      <c r="AB54" s="210"/>
      <c r="AC54" s="210"/>
      <c r="AD54" s="210"/>
      <c r="AE54" s="524"/>
      <c r="AF54" s="526"/>
      <c r="AG54" s="32"/>
      <c r="AH54" s="172" t="s">
        <v>237</v>
      </c>
      <c r="AI54" s="172"/>
      <c r="AJ54" s="172"/>
      <c r="AK54" s="173"/>
      <c r="AL54" s="231"/>
      <c r="AM54" s="232"/>
      <c r="AN54" s="232"/>
      <c r="AO54" s="232"/>
      <c r="AP54" s="232"/>
      <c r="AQ54" s="232"/>
      <c r="AR54" s="485"/>
      <c r="AS54" s="218"/>
      <c r="AT54" s="218"/>
      <c r="AU54" s="218"/>
      <c r="AV54" s="218"/>
      <c r="AW54" s="490"/>
      <c r="CG54" s="21"/>
    </row>
    <row r="55" spans="1:85" ht="9.75" customHeight="1">
      <c r="A55" s="12">
        <v>52</v>
      </c>
      <c r="B55" s="479" t="s">
        <v>252</v>
      </c>
      <c r="C55" s="480"/>
      <c r="D55" s="480"/>
      <c r="E55" s="480"/>
      <c r="F55" s="480"/>
      <c r="G55" s="480"/>
      <c r="H55" s="224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157"/>
      <c r="U55" s="157"/>
      <c r="V55" s="157"/>
      <c r="W55" s="157"/>
      <c r="X55" s="157"/>
      <c r="Y55" s="221"/>
      <c r="Z55" s="538"/>
      <c r="AA55" s="220"/>
      <c r="AB55" s="220"/>
      <c r="AC55" s="220"/>
      <c r="AD55" s="220"/>
      <c r="AE55" s="539"/>
      <c r="AF55" s="526"/>
      <c r="AG55" s="84"/>
      <c r="AH55" s="172" t="s">
        <v>238</v>
      </c>
      <c r="AI55" s="172"/>
      <c r="AJ55" s="172"/>
      <c r="AK55" s="173"/>
      <c r="AL55" s="231"/>
      <c r="AM55" s="232"/>
      <c r="AN55" s="232"/>
      <c r="AO55" s="232"/>
      <c r="AP55" s="232"/>
      <c r="AQ55" s="232"/>
      <c r="AR55" s="485"/>
      <c r="AS55" s="218"/>
      <c r="AT55" s="218"/>
      <c r="AU55" s="218"/>
      <c r="AV55" s="218"/>
      <c r="AW55" s="490"/>
      <c r="AX55" s="453" t="s">
        <v>348</v>
      </c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5"/>
      <c r="CG55" s="21"/>
    </row>
    <row r="56" spans="1:85" ht="9.75" customHeight="1">
      <c r="A56" s="12">
        <v>53</v>
      </c>
      <c r="B56" s="479" t="s">
        <v>253</v>
      </c>
      <c r="C56" s="480"/>
      <c r="D56" s="480"/>
      <c r="E56" s="480"/>
      <c r="F56" s="480"/>
      <c r="G56" s="480"/>
      <c r="H56" s="224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157"/>
      <c r="U56" s="157"/>
      <c r="V56" s="157"/>
      <c r="W56" s="157"/>
      <c r="X56" s="157"/>
      <c r="Y56" s="221"/>
      <c r="Z56" s="538"/>
      <c r="AA56" s="220"/>
      <c r="AB56" s="220"/>
      <c r="AC56" s="220"/>
      <c r="AD56" s="220"/>
      <c r="AE56" s="539"/>
      <c r="AF56" s="526"/>
      <c r="AG56" s="501" t="s">
        <v>69</v>
      </c>
      <c r="AH56" s="502"/>
      <c r="AI56" s="502"/>
      <c r="AJ56" s="502"/>
      <c r="AK56" s="503"/>
      <c r="AL56" s="231"/>
      <c r="AM56" s="232"/>
      <c r="AN56" s="232"/>
      <c r="AO56" s="232"/>
      <c r="AP56" s="232"/>
      <c r="AQ56" s="232"/>
      <c r="AR56" s="174"/>
      <c r="AS56" s="232"/>
      <c r="AT56" s="232"/>
      <c r="AU56" s="232"/>
      <c r="AV56" s="232"/>
      <c r="AW56" s="482"/>
      <c r="AX56" s="534" t="s">
        <v>233</v>
      </c>
      <c r="AY56" s="535"/>
      <c r="AZ56" s="535"/>
      <c r="BA56" s="535"/>
      <c r="BB56" s="535"/>
      <c r="BC56" s="536"/>
      <c r="BD56" s="532"/>
      <c r="BE56" s="532"/>
      <c r="BF56" s="532"/>
      <c r="BG56" s="532"/>
      <c r="BH56" s="532"/>
      <c r="BI56" s="533"/>
      <c r="BP56" s="85"/>
      <c r="BQ56" s="85"/>
      <c r="BR56" s="85"/>
      <c r="BS56" s="85"/>
      <c r="BT56" s="85"/>
      <c r="BU56" s="20"/>
      <c r="BV56" s="20"/>
      <c r="CG56" s="21"/>
    </row>
    <row r="57" spans="1:85" ht="9.75" customHeight="1">
      <c r="A57" s="12">
        <v>54</v>
      </c>
      <c r="B57" s="479" t="s">
        <v>2</v>
      </c>
      <c r="C57" s="480"/>
      <c r="D57" s="480"/>
      <c r="E57" s="480"/>
      <c r="F57" s="480"/>
      <c r="G57" s="480"/>
      <c r="H57" s="224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157"/>
      <c r="U57" s="157"/>
      <c r="V57" s="157"/>
      <c r="W57" s="157"/>
      <c r="X57" s="157"/>
      <c r="Y57" s="221"/>
      <c r="Z57" s="538"/>
      <c r="AA57" s="220"/>
      <c r="AB57" s="220"/>
      <c r="AC57" s="220"/>
      <c r="AD57" s="220"/>
      <c r="AE57" s="539"/>
      <c r="AF57" s="526"/>
      <c r="AG57" s="32"/>
      <c r="AH57" s="172" t="s">
        <v>237</v>
      </c>
      <c r="AI57" s="172"/>
      <c r="AJ57" s="172"/>
      <c r="AK57" s="173"/>
      <c r="AL57" s="231"/>
      <c r="AM57" s="232"/>
      <c r="AN57" s="232"/>
      <c r="AO57" s="232"/>
      <c r="AP57" s="232"/>
      <c r="AQ57" s="232"/>
      <c r="AR57" s="174"/>
      <c r="AS57" s="232"/>
      <c r="AT57" s="232"/>
      <c r="AU57" s="232"/>
      <c r="AV57" s="232"/>
      <c r="AW57" s="482"/>
      <c r="AX57" s="479" t="s">
        <v>234</v>
      </c>
      <c r="AY57" s="480"/>
      <c r="AZ57" s="480"/>
      <c r="BA57" s="480"/>
      <c r="BB57" s="480"/>
      <c r="BC57" s="481"/>
      <c r="BD57" s="477"/>
      <c r="BE57" s="477"/>
      <c r="BF57" s="477"/>
      <c r="BG57" s="477"/>
      <c r="BH57" s="477"/>
      <c r="BI57" s="478"/>
      <c r="BP57" s="85"/>
      <c r="BQ57" s="85"/>
      <c r="BR57" s="85"/>
      <c r="BS57" s="85"/>
      <c r="BT57" s="85"/>
      <c r="BU57" s="20"/>
      <c r="BV57" s="20"/>
      <c r="CG57" s="21"/>
    </row>
    <row r="58" spans="1:85" ht="9.75" customHeight="1" thickBot="1">
      <c r="A58" s="12">
        <v>55</v>
      </c>
      <c r="B58" s="475" t="s">
        <v>1</v>
      </c>
      <c r="C58" s="476"/>
      <c r="D58" s="476"/>
      <c r="E58" s="476"/>
      <c r="F58" s="476"/>
      <c r="G58" s="476"/>
      <c r="H58" s="188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95"/>
      <c r="Z58" s="194"/>
      <c r="AA58" s="161"/>
      <c r="AB58" s="161"/>
      <c r="AC58" s="161"/>
      <c r="AD58" s="161"/>
      <c r="AE58" s="162"/>
      <c r="AF58" s="527"/>
      <c r="AG58" s="33"/>
      <c r="AH58" s="176" t="s">
        <v>238</v>
      </c>
      <c r="AI58" s="176"/>
      <c r="AJ58" s="176"/>
      <c r="AK58" s="177"/>
      <c r="AL58" s="192"/>
      <c r="AM58" s="193"/>
      <c r="AN58" s="193"/>
      <c r="AO58" s="193"/>
      <c r="AP58" s="193"/>
      <c r="AQ58" s="193"/>
      <c r="AR58" s="178"/>
      <c r="AS58" s="193"/>
      <c r="AT58" s="193"/>
      <c r="AU58" s="193"/>
      <c r="AV58" s="193"/>
      <c r="AW58" s="489"/>
      <c r="AX58" s="468" t="s">
        <v>235</v>
      </c>
      <c r="AY58" s="469"/>
      <c r="AZ58" s="469"/>
      <c r="BA58" s="469"/>
      <c r="BB58" s="469"/>
      <c r="BC58" s="470"/>
      <c r="BD58" s="473"/>
      <c r="BE58" s="473"/>
      <c r="BF58" s="473"/>
      <c r="BG58" s="473"/>
      <c r="BH58" s="473"/>
      <c r="BI58" s="474"/>
      <c r="BJ58" s="47"/>
      <c r="BK58" s="47"/>
      <c r="BL58" s="47"/>
      <c r="BM58" s="47"/>
      <c r="BN58" s="47"/>
      <c r="BO58" s="47"/>
      <c r="BP58" s="86"/>
      <c r="BQ58" s="86"/>
      <c r="BR58" s="86"/>
      <c r="BS58" s="86"/>
      <c r="BT58" s="86"/>
      <c r="BU58" s="22"/>
      <c r="BV58" s="22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52"/>
    </row>
    <row r="59" spans="1:85" ht="9.75" customHeight="1">
      <c r="B59" s="152">
        <v>1</v>
      </c>
      <c r="C59" s="152"/>
      <c r="D59" s="152"/>
      <c r="E59" s="152"/>
      <c r="F59" s="152"/>
      <c r="G59" s="152"/>
      <c r="H59" s="152">
        <v>2</v>
      </c>
      <c r="I59" s="152"/>
      <c r="J59" s="152"/>
      <c r="K59" s="152"/>
      <c r="L59" s="152"/>
      <c r="M59" s="152"/>
      <c r="N59" s="152">
        <v>3</v>
      </c>
      <c r="O59" s="152"/>
      <c r="P59" s="152"/>
      <c r="Q59" s="152"/>
      <c r="R59" s="152"/>
      <c r="S59" s="152"/>
      <c r="T59" s="152">
        <v>4</v>
      </c>
      <c r="U59" s="152"/>
      <c r="V59" s="152"/>
      <c r="W59" s="152"/>
      <c r="X59" s="152"/>
      <c r="Y59" s="152"/>
      <c r="Z59" s="152">
        <v>5</v>
      </c>
      <c r="AA59" s="152"/>
      <c r="AB59" s="152"/>
      <c r="AC59" s="152"/>
      <c r="AD59" s="152"/>
      <c r="AE59" s="152"/>
      <c r="AF59" s="152">
        <v>6</v>
      </c>
      <c r="AG59" s="152"/>
      <c r="AH59" s="152"/>
      <c r="AI59" s="152"/>
      <c r="AJ59" s="152"/>
      <c r="AK59" s="152"/>
      <c r="AL59" s="152">
        <v>7</v>
      </c>
      <c r="AM59" s="152"/>
      <c r="AN59" s="152"/>
      <c r="AO59" s="152"/>
      <c r="AP59" s="152"/>
      <c r="AQ59" s="152"/>
      <c r="AR59" s="152">
        <v>8</v>
      </c>
      <c r="AS59" s="152"/>
      <c r="AT59" s="152"/>
      <c r="AU59" s="152"/>
      <c r="AV59" s="152"/>
      <c r="AW59" s="152"/>
      <c r="AX59" s="472">
        <v>9</v>
      </c>
      <c r="AY59" s="472"/>
      <c r="AZ59" s="472"/>
      <c r="BA59" s="472"/>
      <c r="BB59" s="472"/>
      <c r="BC59" s="472"/>
      <c r="BD59" s="472">
        <v>10</v>
      </c>
      <c r="BE59" s="472"/>
      <c r="BF59" s="472"/>
      <c r="BG59" s="472"/>
      <c r="BH59" s="472"/>
      <c r="BI59" s="472"/>
      <c r="BJ59" s="152">
        <v>11</v>
      </c>
      <c r="BK59" s="152"/>
      <c r="BL59" s="152"/>
      <c r="BM59" s="152"/>
      <c r="BN59" s="152"/>
      <c r="BO59" s="152"/>
      <c r="BP59" s="152">
        <v>12</v>
      </c>
      <c r="BQ59" s="152"/>
      <c r="BR59" s="152"/>
      <c r="BS59" s="152"/>
      <c r="BT59" s="152"/>
      <c r="BU59" s="152"/>
      <c r="BV59" s="152">
        <v>13</v>
      </c>
      <c r="BW59" s="152"/>
      <c r="BX59" s="152"/>
      <c r="BY59" s="152"/>
      <c r="BZ59" s="152"/>
      <c r="CA59" s="152"/>
      <c r="CB59" s="152">
        <v>14</v>
      </c>
      <c r="CC59" s="152"/>
      <c r="CD59" s="152"/>
      <c r="CE59" s="152"/>
      <c r="CF59" s="152"/>
      <c r="CG59" s="152"/>
    </row>
    <row r="60" spans="1:85" ht="13.5">
      <c r="B60" s="87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471"/>
      <c r="AG60" s="471"/>
      <c r="AH60" s="471"/>
      <c r="AI60" s="471"/>
      <c r="AJ60" s="471"/>
      <c r="AK60" s="471"/>
      <c r="AL60" s="471"/>
      <c r="AM60" s="471"/>
      <c r="AN60" s="471"/>
      <c r="AO60" s="471"/>
      <c r="AP60" s="471"/>
      <c r="AQ60" s="471"/>
      <c r="AR60" s="89"/>
      <c r="AS60" s="89"/>
      <c r="AT60" s="89"/>
      <c r="AU60" s="89"/>
      <c r="AV60" s="89"/>
      <c r="AW60" s="89"/>
    </row>
    <row r="62" spans="1:85">
      <c r="B62" s="458"/>
      <c r="C62" s="458"/>
      <c r="D62" s="458"/>
      <c r="E62" s="458"/>
      <c r="F62" s="458"/>
      <c r="G62" s="458"/>
      <c r="H62" s="458"/>
      <c r="I62" s="458"/>
      <c r="J62" s="458"/>
      <c r="K62" s="458"/>
      <c r="L62" s="458"/>
      <c r="M62" s="458"/>
      <c r="N62" s="458"/>
      <c r="O62" s="458"/>
      <c r="P62" s="458"/>
      <c r="Q62" s="458"/>
      <c r="R62" s="458"/>
      <c r="S62" s="458"/>
      <c r="V62" s="53"/>
      <c r="W62" s="53"/>
      <c r="X62" s="53"/>
      <c r="Y62" s="53"/>
      <c r="Z62" s="53"/>
      <c r="AA62" s="53"/>
      <c r="AB62" s="53"/>
      <c r="AC62" s="53"/>
      <c r="AD62" s="53"/>
      <c r="AE62" s="53"/>
    </row>
    <row r="63" spans="1:85" ht="13.7" customHeight="1">
      <c r="B63" s="356"/>
      <c r="C63" s="356"/>
      <c r="D63" s="356"/>
      <c r="E63" s="356"/>
      <c r="F63" s="356"/>
      <c r="G63" s="356"/>
      <c r="H63" s="449"/>
      <c r="I63" s="449"/>
      <c r="J63" s="449"/>
      <c r="K63" s="449"/>
      <c r="L63" s="449"/>
      <c r="M63" s="449"/>
      <c r="N63" s="449"/>
      <c r="O63" s="449"/>
      <c r="P63" s="449"/>
      <c r="Q63" s="449"/>
      <c r="R63" s="449"/>
      <c r="S63" s="449"/>
      <c r="V63" s="460"/>
      <c r="W63" s="460"/>
      <c r="X63" s="460"/>
      <c r="Y63" s="460"/>
      <c r="Z63" s="460"/>
      <c r="AA63" s="460"/>
      <c r="AB63" s="90"/>
      <c r="AC63" s="90"/>
      <c r="AD63" s="90"/>
      <c r="AE63" s="90"/>
    </row>
    <row r="64" spans="1:85">
      <c r="B64" s="446"/>
      <c r="C64" s="446"/>
      <c r="D64" s="446"/>
      <c r="E64" s="446"/>
      <c r="F64" s="446"/>
      <c r="G64" s="446"/>
      <c r="H64" s="447"/>
      <c r="I64" s="447"/>
      <c r="J64" s="447"/>
      <c r="K64" s="447"/>
      <c r="L64" s="447"/>
      <c r="M64" s="447"/>
      <c r="N64" s="461"/>
      <c r="O64" s="461"/>
      <c r="P64" s="461"/>
      <c r="Q64" s="461"/>
      <c r="R64" s="461"/>
      <c r="S64" s="461"/>
      <c r="V64" s="460"/>
      <c r="W64" s="460"/>
      <c r="X64" s="460"/>
      <c r="Y64" s="460"/>
      <c r="Z64" s="460"/>
      <c r="AA64" s="460"/>
      <c r="AB64" s="91"/>
      <c r="AC64" s="91"/>
      <c r="AD64" s="91"/>
      <c r="AE64" s="91"/>
    </row>
    <row r="65" spans="2:31">
      <c r="B65" s="446"/>
      <c r="C65" s="446"/>
      <c r="D65" s="446"/>
      <c r="E65" s="446"/>
      <c r="F65" s="446"/>
      <c r="G65" s="446"/>
      <c r="H65" s="447"/>
      <c r="I65" s="447"/>
      <c r="J65" s="447"/>
      <c r="K65" s="447"/>
      <c r="L65" s="447"/>
      <c r="M65" s="447"/>
      <c r="N65" s="461"/>
      <c r="O65" s="461"/>
      <c r="P65" s="461"/>
      <c r="Q65" s="461"/>
      <c r="R65" s="461"/>
      <c r="S65" s="461"/>
      <c r="V65" s="460"/>
      <c r="W65" s="460"/>
      <c r="X65" s="460"/>
      <c r="Y65" s="460"/>
      <c r="Z65" s="460"/>
      <c r="AA65" s="460"/>
      <c r="AB65" s="91"/>
      <c r="AC65" s="91"/>
      <c r="AD65" s="91"/>
      <c r="AE65" s="91"/>
    </row>
    <row r="66" spans="2:31">
      <c r="B66" s="446"/>
      <c r="C66" s="446"/>
      <c r="D66" s="446"/>
      <c r="E66" s="446"/>
      <c r="F66" s="446"/>
      <c r="G66" s="446"/>
      <c r="H66" s="447"/>
      <c r="I66" s="447"/>
      <c r="J66" s="447"/>
      <c r="K66" s="447"/>
      <c r="L66" s="447"/>
      <c r="M66" s="447"/>
      <c r="N66" s="461"/>
      <c r="O66" s="461"/>
      <c r="P66" s="461"/>
      <c r="Q66" s="461"/>
      <c r="R66" s="461"/>
      <c r="S66" s="461"/>
    </row>
    <row r="67" spans="2:31">
      <c r="B67" s="446"/>
      <c r="C67" s="446"/>
      <c r="D67" s="446"/>
      <c r="E67" s="446"/>
      <c r="F67" s="446"/>
      <c r="G67" s="446"/>
      <c r="H67" s="447"/>
      <c r="I67" s="447"/>
      <c r="J67" s="447"/>
      <c r="K67" s="447"/>
      <c r="L67" s="447"/>
      <c r="M67" s="447"/>
      <c r="N67" s="461"/>
      <c r="O67" s="461"/>
      <c r="P67" s="461"/>
      <c r="Q67" s="461"/>
      <c r="R67" s="461"/>
      <c r="S67" s="461"/>
    </row>
    <row r="68" spans="2:31">
      <c r="B68" s="446"/>
      <c r="C68" s="446"/>
      <c r="D68" s="446"/>
      <c r="E68" s="446"/>
      <c r="F68" s="446"/>
      <c r="G68" s="446"/>
      <c r="H68" s="447"/>
      <c r="I68" s="447"/>
      <c r="J68" s="447"/>
      <c r="K68" s="447"/>
      <c r="L68" s="447"/>
      <c r="M68" s="447"/>
      <c r="N68" s="461"/>
      <c r="O68" s="461"/>
      <c r="P68" s="461"/>
      <c r="Q68" s="461"/>
      <c r="R68" s="461"/>
      <c r="S68" s="461"/>
    </row>
    <row r="69" spans="2:31">
      <c r="B69" s="446"/>
      <c r="C69" s="446"/>
      <c r="D69" s="446"/>
      <c r="E69" s="446"/>
      <c r="F69" s="446"/>
      <c r="G69" s="446"/>
      <c r="H69" s="447"/>
      <c r="I69" s="447"/>
      <c r="J69" s="447"/>
      <c r="K69" s="447"/>
      <c r="L69" s="447"/>
      <c r="M69" s="447"/>
      <c r="N69" s="461"/>
      <c r="O69" s="461"/>
      <c r="P69" s="461"/>
      <c r="Q69" s="461"/>
      <c r="R69" s="461"/>
      <c r="S69" s="461"/>
    </row>
    <row r="70" spans="2:31">
      <c r="B70" s="445"/>
      <c r="C70" s="445"/>
      <c r="D70" s="445"/>
      <c r="E70" s="445"/>
      <c r="F70" s="445"/>
      <c r="G70" s="445"/>
      <c r="H70" s="464"/>
      <c r="I70" s="464"/>
      <c r="J70" s="464"/>
      <c r="K70" s="464"/>
      <c r="L70" s="464"/>
      <c r="M70" s="464"/>
      <c r="N70" s="465"/>
      <c r="O70" s="465"/>
      <c r="P70" s="465"/>
      <c r="Q70" s="465"/>
      <c r="R70" s="465"/>
      <c r="S70" s="465"/>
    </row>
    <row r="71" spans="2:31">
      <c r="B71" s="458"/>
      <c r="C71" s="458"/>
      <c r="D71" s="458"/>
      <c r="E71" s="458"/>
      <c r="F71" s="458"/>
      <c r="G71" s="458"/>
      <c r="H71" s="458"/>
      <c r="I71" s="458"/>
      <c r="J71" s="458"/>
      <c r="K71" s="458"/>
      <c r="L71" s="458"/>
      <c r="M71" s="458"/>
      <c r="N71" s="58"/>
      <c r="O71" s="58"/>
      <c r="P71" s="58"/>
      <c r="Q71" s="58"/>
      <c r="R71" s="58"/>
      <c r="S71" s="58"/>
    </row>
    <row r="72" spans="2:31">
      <c r="B72" s="460"/>
      <c r="C72" s="460"/>
      <c r="D72" s="460"/>
      <c r="E72" s="460"/>
      <c r="F72" s="460"/>
      <c r="G72" s="460"/>
      <c r="H72" s="461"/>
      <c r="I72" s="461"/>
      <c r="J72" s="461"/>
      <c r="K72" s="461"/>
      <c r="L72" s="461"/>
      <c r="M72" s="461"/>
      <c r="N72" s="58"/>
      <c r="O72" s="58"/>
      <c r="P72" s="58"/>
      <c r="Q72" s="58"/>
      <c r="R72" s="58"/>
      <c r="S72" s="58"/>
    </row>
    <row r="73" spans="2:31">
      <c r="B73" s="462"/>
      <c r="C73" s="462"/>
      <c r="D73" s="462"/>
      <c r="E73" s="462"/>
      <c r="F73" s="462"/>
      <c r="G73" s="462"/>
      <c r="H73" s="461"/>
      <c r="I73" s="461"/>
      <c r="J73" s="461"/>
      <c r="K73" s="461"/>
      <c r="L73" s="461"/>
      <c r="M73" s="461"/>
      <c r="N73" s="58"/>
      <c r="O73" s="58"/>
      <c r="P73" s="58"/>
      <c r="Q73" s="58"/>
      <c r="R73" s="58"/>
      <c r="S73" s="58"/>
    </row>
    <row r="74" spans="2:31">
      <c r="B74" s="458"/>
      <c r="C74" s="458"/>
      <c r="D74" s="458"/>
      <c r="E74" s="458"/>
      <c r="F74" s="458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</row>
    <row r="75" spans="2:31">
      <c r="B75" s="356"/>
      <c r="C75" s="356"/>
      <c r="D75" s="356"/>
      <c r="E75" s="356"/>
      <c r="F75" s="356"/>
      <c r="G75" s="356"/>
      <c r="H75" s="445"/>
      <c r="I75" s="445"/>
      <c r="J75" s="445"/>
      <c r="K75" s="445"/>
      <c r="L75" s="445"/>
      <c r="M75" s="445"/>
      <c r="N75" s="449"/>
      <c r="O75" s="449"/>
      <c r="P75" s="449"/>
      <c r="Q75" s="449"/>
      <c r="R75" s="449"/>
      <c r="S75" s="449"/>
    </row>
    <row r="76" spans="2:31">
      <c r="B76" s="449"/>
      <c r="C76" s="449"/>
      <c r="D76" s="449"/>
      <c r="E76" s="449"/>
      <c r="F76" s="449"/>
      <c r="G76" s="449"/>
      <c r="H76" s="445"/>
      <c r="I76" s="445"/>
      <c r="J76" s="445"/>
      <c r="K76" s="445"/>
      <c r="L76" s="445"/>
      <c r="M76" s="445"/>
      <c r="N76" s="449"/>
      <c r="O76" s="449"/>
      <c r="P76" s="449"/>
      <c r="Q76" s="449"/>
      <c r="R76" s="449"/>
      <c r="S76" s="449"/>
    </row>
    <row r="77" spans="2:31">
      <c r="B77" s="449"/>
      <c r="C77" s="449"/>
      <c r="D77" s="449"/>
      <c r="E77" s="449"/>
      <c r="F77" s="449"/>
      <c r="G77" s="449"/>
      <c r="H77" s="467"/>
      <c r="I77" s="467"/>
      <c r="J77" s="467"/>
      <c r="K77" s="467"/>
      <c r="L77" s="467"/>
      <c r="M77" s="467"/>
      <c r="N77" s="463"/>
      <c r="O77" s="463"/>
      <c r="P77" s="463"/>
      <c r="Q77" s="463"/>
      <c r="R77" s="463"/>
      <c r="S77" s="463"/>
    </row>
    <row r="78" spans="2:31">
      <c r="B78" s="449"/>
      <c r="C78" s="449"/>
      <c r="D78" s="449"/>
      <c r="E78" s="449"/>
      <c r="F78" s="449"/>
      <c r="G78" s="449"/>
      <c r="H78" s="459"/>
      <c r="I78" s="459"/>
      <c r="J78" s="459"/>
      <c r="K78" s="459"/>
      <c r="L78" s="459"/>
      <c r="M78" s="459"/>
      <c r="N78" s="461"/>
      <c r="O78" s="461"/>
      <c r="P78" s="461"/>
      <c r="Q78" s="461"/>
      <c r="R78" s="461"/>
      <c r="S78" s="461"/>
    </row>
    <row r="79" spans="2:31">
      <c r="B79" s="449"/>
      <c r="C79" s="449"/>
      <c r="D79" s="449"/>
      <c r="E79" s="449"/>
      <c r="F79" s="449"/>
      <c r="G79" s="449"/>
      <c r="H79" s="459"/>
      <c r="I79" s="459"/>
      <c r="J79" s="459"/>
      <c r="K79" s="459"/>
      <c r="L79" s="459"/>
      <c r="M79" s="459"/>
      <c r="N79" s="461"/>
      <c r="O79" s="461"/>
      <c r="P79" s="461"/>
      <c r="Q79" s="461"/>
      <c r="R79" s="461"/>
      <c r="S79" s="461"/>
    </row>
    <row r="80" spans="2:31">
      <c r="B80" s="449"/>
      <c r="C80" s="449"/>
      <c r="D80" s="449"/>
      <c r="E80" s="449"/>
      <c r="F80" s="449"/>
      <c r="G80" s="449"/>
      <c r="H80" s="459"/>
      <c r="I80" s="459"/>
      <c r="J80" s="459"/>
      <c r="K80" s="459"/>
      <c r="L80" s="459"/>
      <c r="M80" s="459"/>
      <c r="N80" s="461"/>
      <c r="O80" s="461"/>
      <c r="P80" s="461"/>
      <c r="Q80" s="461"/>
      <c r="R80" s="461"/>
      <c r="S80" s="461"/>
    </row>
    <row r="81" spans="2:19">
      <c r="B81" s="449"/>
      <c r="C81" s="449"/>
      <c r="D81" s="449"/>
      <c r="E81" s="449"/>
      <c r="F81" s="449"/>
      <c r="G81" s="449"/>
      <c r="H81" s="459"/>
      <c r="I81" s="459"/>
      <c r="J81" s="459"/>
      <c r="K81" s="459"/>
      <c r="L81" s="459"/>
      <c r="M81" s="459"/>
      <c r="N81" s="461"/>
      <c r="O81" s="461"/>
      <c r="P81" s="461"/>
      <c r="Q81" s="461"/>
      <c r="R81" s="461"/>
      <c r="S81" s="461"/>
    </row>
    <row r="82" spans="2:19">
      <c r="B82" s="449"/>
      <c r="C82" s="449"/>
      <c r="D82" s="449"/>
      <c r="E82" s="449"/>
      <c r="F82" s="449"/>
      <c r="G82" s="449"/>
      <c r="H82" s="459"/>
      <c r="I82" s="459"/>
      <c r="J82" s="459"/>
      <c r="K82" s="459"/>
      <c r="L82" s="459"/>
      <c r="M82" s="459"/>
      <c r="N82" s="461"/>
      <c r="O82" s="461"/>
      <c r="P82" s="461"/>
      <c r="Q82" s="461"/>
      <c r="R82" s="461"/>
      <c r="S82" s="461"/>
    </row>
    <row r="83" spans="2:19">
      <c r="B83" s="449"/>
      <c r="C83" s="449"/>
      <c r="D83" s="449"/>
      <c r="E83" s="449"/>
      <c r="F83" s="449"/>
      <c r="G83" s="449"/>
      <c r="H83" s="459"/>
      <c r="I83" s="459"/>
      <c r="J83" s="459"/>
      <c r="K83" s="459"/>
      <c r="L83" s="459"/>
      <c r="M83" s="459"/>
      <c r="N83" s="461"/>
      <c r="O83" s="461"/>
      <c r="P83" s="461"/>
      <c r="Q83" s="461"/>
      <c r="R83" s="461"/>
      <c r="S83" s="461"/>
    </row>
    <row r="84" spans="2:19">
      <c r="B84" s="449"/>
      <c r="C84" s="449"/>
      <c r="D84" s="449"/>
      <c r="E84" s="449"/>
      <c r="F84" s="449"/>
      <c r="G84" s="449"/>
      <c r="H84" s="459"/>
      <c r="I84" s="459"/>
      <c r="J84" s="459"/>
      <c r="K84" s="459"/>
      <c r="L84" s="459"/>
      <c r="M84" s="459"/>
      <c r="N84" s="461"/>
      <c r="O84" s="461"/>
      <c r="P84" s="461"/>
      <c r="Q84" s="461"/>
      <c r="R84" s="461"/>
      <c r="S84" s="461"/>
    </row>
    <row r="85" spans="2:19">
      <c r="B85" s="449"/>
      <c r="C85" s="449"/>
      <c r="D85" s="449"/>
      <c r="E85" s="449"/>
      <c r="F85" s="449"/>
      <c r="G85" s="449"/>
      <c r="H85" s="459"/>
      <c r="I85" s="459"/>
      <c r="J85" s="459"/>
      <c r="K85" s="459"/>
      <c r="L85" s="459"/>
      <c r="M85" s="459"/>
      <c r="N85" s="461"/>
      <c r="O85" s="461"/>
      <c r="P85" s="461"/>
      <c r="Q85" s="461"/>
      <c r="R85" s="461"/>
      <c r="S85" s="461"/>
    </row>
    <row r="87" spans="2:19">
      <c r="B87" s="466"/>
      <c r="C87" s="466"/>
      <c r="D87" s="466"/>
      <c r="E87" s="466"/>
      <c r="F87" s="466"/>
      <c r="G87" s="466"/>
      <c r="H87" s="466"/>
      <c r="I87" s="466"/>
      <c r="J87" s="466"/>
      <c r="K87" s="466"/>
      <c r="L87" s="466"/>
      <c r="M87" s="466"/>
    </row>
    <row r="88" spans="2:19">
      <c r="B88" s="456"/>
      <c r="C88" s="456"/>
      <c r="D88" s="456"/>
      <c r="E88" s="456"/>
      <c r="F88" s="456"/>
      <c r="G88" s="456"/>
      <c r="H88" s="447"/>
      <c r="I88" s="447"/>
      <c r="J88" s="447"/>
      <c r="K88" s="447"/>
      <c r="L88" s="447"/>
      <c r="M88" s="447"/>
    </row>
    <row r="89" spans="2:19">
      <c r="B89" s="456"/>
      <c r="C89" s="456"/>
      <c r="D89" s="456"/>
      <c r="E89" s="456"/>
      <c r="F89" s="456"/>
      <c r="G89" s="456"/>
      <c r="H89" s="447"/>
      <c r="I89" s="447"/>
      <c r="J89" s="447"/>
      <c r="K89" s="447"/>
      <c r="L89" s="447"/>
      <c r="M89" s="447"/>
    </row>
    <row r="90" spans="2:19">
      <c r="B90" s="456"/>
      <c r="C90" s="456"/>
      <c r="D90" s="456"/>
      <c r="E90" s="456"/>
      <c r="F90" s="456"/>
      <c r="G90" s="456"/>
      <c r="H90" s="457"/>
      <c r="I90" s="457"/>
      <c r="J90" s="457"/>
      <c r="K90" s="457"/>
      <c r="L90" s="457"/>
      <c r="M90" s="457"/>
    </row>
    <row r="91" spans="2:19">
      <c r="B91" s="458"/>
      <c r="C91" s="458"/>
      <c r="D91" s="458"/>
      <c r="E91" s="458"/>
      <c r="F91" s="458"/>
      <c r="G91" s="458"/>
      <c r="H91" s="356"/>
      <c r="I91" s="356"/>
      <c r="J91" s="356"/>
      <c r="K91" s="356"/>
      <c r="L91" s="356"/>
      <c r="M91" s="356"/>
    </row>
    <row r="92" spans="2:19">
      <c r="B92" s="356"/>
      <c r="C92" s="356"/>
      <c r="D92" s="356"/>
      <c r="E92" s="356"/>
      <c r="F92" s="356"/>
      <c r="G92" s="356"/>
      <c r="H92" s="445"/>
      <c r="I92" s="445"/>
      <c r="J92" s="445"/>
      <c r="K92" s="445"/>
      <c r="L92" s="445"/>
      <c r="M92" s="445"/>
    </row>
    <row r="93" spans="2:19">
      <c r="B93" s="446"/>
      <c r="C93" s="446"/>
      <c r="D93" s="446"/>
      <c r="E93" s="446"/>
      <c r="F93" s="446"/>
      <c r="G93" s="446"/>
      <c r="H93" s="447"/>
      <c r="I93" s="447"/>
      <c r="J93" s="447"/>
      <c r="K93" s="447"/>
      <c r="L93" s="447"/>
      <c r="M93" s="447"/>
    </row>
    <row r="94" spans="2:19">
      <c r="B94" s="448"/>
      <c r="C94" s="448"/>
      <c r="D94" s="449"/>
      <c r="E94" s="449"/>
      <c r="F94" s="449"/>
      <c r="G94" s="449"/>
      <c r="H94" s="440"/>
      <c r="I94" s="440"/>
      <c r="J94" s="440"/>
      <c r="K94" s="440"/>
      <c r="L94" s="440"/>
      <c r="M94" s="440"/>
    </row>
    <row r="95" spans="2:19">
      <c r="B95" s="448"/>
      <c r="C95" s="448"/>
      <c r="D95" s="449"/>
      <c r="E95" s="449"/>
      <c r="F95" s="449"/>
      <c r="G95" s="449"/>
      <c r="H95" s="440"/>
      <c r="I95" s="440"/>
      <c r="J95" s="440"/>
      <c r="K95" s="440"/>
      <c r="L95" s="440"/>
      <c r="M95" s="440"/>
    </row>
    <row r="96" spans="2:19">
      <c r="B96" s="448"/>
      <c r="C96" s="448"/>
      <c r="D96" s="449"/>
      <c r="E96" s="449"/>
      <c r="F96" s="449"/>
      <c r="G96" s="449"/>
      <c r="H96" s="440"/>
      <c r="I96" s="440"/>
      <c r="J96" s="440"/>
      <c r="K96" s="440"/>
      <c r="L96" s="440"/>
      <c r="M96" s="440"/>
    </row>
  </sheetData>
  <mergeCells count="577">
    <mergeCell ref="T15:AD15"/>
    <mergeCell ref="AL18:AQ18"/>
    <mergeCell ref="AL19:AQ19"/>
    <mergeCell ref="BP8:BP18"/>
    <mergeCell ref="BP19:BP24"/>
    <mergeCell ref="BV25:CA25"/>
    <mergeCell ref="F2:CG2"/>
    <mergeCell ref="BJ28:BO29"/>
    <mergeCell ref="BP28:CG28"/>
    <mergeCell ref="T29:Y29"/>
    <mergeCell ref="Z29:AE29"/>
    <mergeCell ref="T26:Y26"/>
    <mergeCell ref="T27:Y27"/>
    <mergeCell ref="BP29:BU29"/>
    <mergeCell ref="BV29:CA29"/>
    <mergeCell ref="BK34:BK37"/>
    <mergeCell ref="CB35:CG35"/>
    <mergeCell ref="BP30:BU30"/>
    <mergeCell ref="AL22:AQ22"/>
    <mergeCell ref="Z21:AE21"/>
    <mergeCell ref="U22:Y22"/>
    <mergeCell ref="AF48:AW48"/>
    <mergeCell ref="BP36:BU36"/>
    <mergeCell ref="BV36:CA36"/>
    <mergeCell ref="CB36:CG36"/>
    <mergeCell ref="CB33:CG33"/>
    <mergeCell ref="BV33:CA33"/>
    <mergeCell ref="Z23:AE23"/>
    <mergeCell ref="Z24:AE24"/>
    <mergeCell ref="Z28:AE28"/>
    <mergeCell ref="BL35:BO35"/>
    <mergeCell ref="BL34:BO34"/>
    <mergeCell ref="CB37:CG37"/>
    <mergeCell ref="BV34:CA34"/>
    <mergeCell ref="CB34:CG34"/>
    <mergeCell ref="BP39:BU39"/>
    <mergeCell ref="BP40:BU40"/>
    <mergeCell ref="BP34:BU34"/>
    <mergeCell ref="T30:Y30"/>
    <mergeCell ref="T21:Y21"/>
    <mergeCell ref="BJ20:BO20"/>
    <mergeCell ref="BJ21:BO21"/>
    <mergeCell ref="BJ22:BO22"/>
    <mergeCell ref="BJ27:CG27"/>
    <mergeCell ref="CB29:CG29"/>
    <mergeCell ref="CB32:CG32"/>
    <mergeCell ref="BV22:CA22"/>
    <mergeCell ref="CB22:CG22"/>
    <mergeCell ref="BQ23:BU23"/>
    <mergeCell ref="BV23:CA23"/>
    <mergeCell ref="CB23:CG23"/>
    <mergeCell ref="CB31:CG31"/>
    <mergeCell ref="CB30:CG30"/>
    <mergeCell ref="CB25:CG25"/>
    <mergeCell ref="BP25:BU25"/>
    <mergeCell ref="CB24:CG24"/>
    <mergeCell ref="BL31:BO31"/>
    <mergeCell ref="BP31:BU31"/>
    <mergeCell ref="BV31:CA31"/>
    <mergeCell ref="Z30:AE30"/>
    <mergeCell ref="BJ30:BJ38"/>
    <mergeCell ref="BV30:CA30"/>
    <mergeCell ref="BL37:BO37"/>
    <mergeCell ref="CB4:CG4"/>
    <mergeCell ref="B5:G5"/>
    <mergeCell ref="BJ5:BO5"/>
    <mergeCell ref="AR4:AW4"/>
    <mergeCell ref="AX4:BC4"/>
    <mergeCell ref="BD4:BI4"/>
    <mergeCell ref="BJ4:BO4"/>
    <mergeCell ref="BP4:BU4"/>
    <mergeCell ref="BV4:CA4"/>
    <mergeCell ref="CB5:CG5"/>
    <mergeCell ref="BP5:BU5"/>
    <mergeCell ref="BV5:CA5"/>
    <mergeCell ref="AY5:BC5"/>
    <mergeCell ref="I5:M5"/>
    <mergeCell ref="O5:S5"/>
    <mergeCell ref="U5:Y5"/>
    <mergeCell ref="BE5:BI5"/>
    <mergeCell ref="AA5:AE5"/>
    <mergeCell ref="AG5:AK5"/>
    <mergeCell ref="AL5:AQ5"/>
    <mergeCell ref="T16:AE16"/>
    <mergeCell ref="T17:Y17"/>
    <mergeCell ref="Z17:AE17"/>
    <mergeCell ref="AL20:AQ20"/>
    <mergeCell ref="AL21:AQ21"/>
    <mergeCell ref="AR5:AW5"/>
    <mergeCell ref="T19:Y19"/>
    <mergeCell ref="Z19:AE19"/>
    <mergeCell ref="T3:Y3"/>
    <mergeCell ref="T18:Y18"/>
    <mergeCell ref="AL4:AQ4"/>
    <mergeCell ref="AL6:BO6"/>
    <mergeCell ref="AL7:AQ8"/>
    <mergeCell ref="AR7:BC7"/>
    <mergeCell ref="BD7:BO7"/>
    <mergeCell ref="AR8:AW8"/>
    <mergeCell ref="BD20:BI20"/>
    <mergeCell ref="AR21:AW21"/>
    <mergeCell ref="BD21:BI21"/>
    <mergeCell ref="AR20:AW20"/>
    <mergeCell ref="BD19:BI19"/>
    <mergeCell ref="AR15:AW15"/>
    <mergeCell ref="AX15:BC15"/>
    <mergeCell ref="BD15:BI15"/>
    <mergeCell ref="B4:G4"/>
    <mergeCell ref="AF4:AK4"/>
    <mergeCell ref="B8:L8"/>
    <mergeCell ref="B9:L9"/>
    <mergeCell ref="N7:S7"/>
    <mergeCell ref="N10:S10"/>
    <mergeCell ref="B14:L14"/>
    <mergeCell ref="B7:M7"/>
    <mergeCell ref="AF7:AK7"/>
    <mergeCell ref="AF8:AK8"/>
    <mergeCell ref="AF9:AK9"/>
    <mergeCell ref="AF10:AK10"/>
    <mergeCell ref="AF13:AK13"/>
    <mergeCell ref="AF14:AK14"/>
    <mergeCell ref="N14:S14"/>
    <mergeCell ref="N9:S9"/>
    <mergeCell ref="T14:AD14"/>
    <mergeCell ref="BV19:CA19"/>
    <mergeCell ref="BV8:CA8"/>
    <mergeCell ref="CB8:CG8"/>
    <mergeCell ref="BR9:BU9"/>
    <mergeCell ref="BV9:CA9"/>
    <mergeCell ref="CB9:CG9"/>
    <mergeCell ref="BR10:BU10"/>
    <mergeCell ref="BV10:CA10"/>
    <mergeCell ref="CB10:CG10"/>
    <mergeCell ref="BQ11:BU11"/>
    <mergeCell ref="BV11:CA11"/>
    <mergeCell ref="CB11:CG11"/>
    <mergeCell ref="CB15:CG15"/>
    <mergeCell ref="BQ15:BU15"/>
    <mergeCell ref="BV16:CA16"/>
    <mergeCell ref="CB16:CG16"/>
    <mergeCell ref="BQ17:BU17"/>
    <mergeCell ref="BV17:CA17"/>
    <mergeCell ref="CB14:CG14"/>
    <mergeCell ref="Z18:AE18"/>
    <mergeCell ref="AF15:AK15"/>
    <mergeCell ref="T20:Y20"/>
    <mergeCell ref="Z20:AE20"/>
    <mergeCell ref="BV15:CA15"/>
    <mergeCell ref="BQ14:BU14"/>
    <mergeCell ref="BV14:CA14"/>
    <mergeCell ref="N28:S28"/>
    <mergeCell ref="B27:S27"/>
    <mergeCell ref="H25:M25"/>
    <mergeCell ref="D24:G24"/>
    <mergeCell ref="D25:G25"/>
    <mergeCell ref="T25:AE25"/>
    <mergeCell ref="BD22:BI22"/>
    <mergeCell ref="Z22:AE22"/>
    <mergeCell ref="T23:Y23"/>
    <mergeCell ref="U24:Y24"/>
    <mergeCell ref="AX22:BC22"/>
    <mergeCell ref="H24:M24"/>
    <mergeCell ref="D26:G26"/>
    <mergeCell ref="H26:M26"/>
    <mergeCell ref="Z26:AE26"/>
    <mergeCell ref="Z27:AE27"/>
    <mergeCell ref="T28:Y28"/>
    <mergeCell ref="B18:G18"/>
    <mergeCell ref="H18:M18"/>
    <mergeCell ref="AR22:AW22"/>
    <mergeCell ref="B19:G19"/>
    <mergeCell ref="H19:M19"/>
    <mergeCell ref="T40:Y40"/>
    <mergeCell ref="Z40:AE40"/>
    <mergeCell ref="N45:S45"/>
    <mergeCell ref="B43:G43"/>
    <mergeCell ref="H43:M43"/>
    <mergeCell ref="N43:S43"/>
    <mergeCell ref="H44:M44"/>
    <mergeCell ref="N44:S44"/>
    <mergeCell ref="B41:G41"/>
    <mergeCell ref="H41:M41"/>
    <mergeCell ref="N41:S41"/>
    <mergeCell ref="B33:G33"/>
    <mergeCell ref="H33:M33"/>
    <mergeCell ref="N33:S33"/>
    <mergeCell ref="B35:G35"/>
    <mergeCell ref="H35:M35"/>
    <mergeCell ref="N35:S35"/>
    <mergeCell ref="B32:G32"/>
    <mergeCell ref="H32:M32"/>
    <mergeCell ref="N32:S32"/>
    <mergeCell ref="B30:G30"/>
    <mergeCell ref="H29:M29"/>
    <mergeCell ref="N29:S29"/>
    <mergeCell ref="B28:G28"/>
    <mergeCell ref="H28:M28"/>
    <mergeCell ref="H30:M30"/>
    <mergeCell ref="N30:S30"/>
    <mergeCell ref="B31:G31"/>
    <mergeCell ref="H31:M31"/>
    <mergeCell ref="B29:G29"/>
    <mergeCell ref="N31:S31"/>
    <mergeCell ref="B38:G38"/>
    <mergeCell ref="H38:M38"/>
    <mergeCell ref="B36:M36"/>
    <mergeCell ref="B37:G37"/>
    <mergeCell ref="H37:M37"/>
    <mergeCell ref="BQ24:BU24"/>
    <mergeCell ref="BV24:CA24"/>
    <mergeCell ref="B24:C26"/>
    <mergeCell ref="BQ19:BU19"/>
    <mergeCell ref="BL36:BO36"/>
    <mergeCell ref="BK38:BO38"/>
    <mergeCell ref="BP35:BU35"/>
    <mergeCell ref="BV35:CA35"/>
    <mergeCell ref="U31:Y31"/>
    <mergeCell ref="Z31:AE31"/>
    <mergeCell ref="T32:Y32"/>
    <mergeCell ref="Z32:AE32"/>
    <mergeCell ref="U33:Y33"/>
    <mergeCell ref="Z33:AE33"/>
    <mergeCell ref="BL32:BO32"/>
    <mergeCell ref="BP32:BU32"/>
    <mergeCell ref="BV32:CA32"/>
    <mergeCell ref="BK30:BK33"/>
    <mergeCell ref="BL30:BO30"/>
    <mergeCell ref="BV40:CA40"/>
    <mergeCell ref="CB40:CG40"/>
    <mergeCell ref="BV39:CA39"/>
    <mergeCell ref="CB39:CG39"/>
    <mergeCell ref="BP38:BU38"/>
    <mergeCell ref="BV38:CA38"/>
    <mergeCell ref="CB38:CG38"/>
    <mergeCell ref="BL33:BO33"/>
    <mergeCell ref="BP33:BU33"/>
    <mergeCell ref="BL39:BO39"/>
    <mergeCell ref="BP37:BU37"/>
    <mergeCell ref="BV37:CA37"/>
    <mergeCell ref="BJ39:BJ47"/>
    <mergeCell ref="BP45:BU45"/>
    <mergeCell ref="BL42:BO42"/>
    <mergeCell ref="BL43:BO43"/>
    <mergeCell ref="BP43:BU43"/>
    <mergeCell ref="BK44:BO44"/>
    <mergeCell ref="BP44:BU44"/>
    <mergeCell ref="CB43:CG43"/>
    <mergeCell ref="B45:G45"/>
    <mergeCell ref="B42:G42"/>
    <mergeCell ref="H42:M42"/>
    <mergeCell ref="N42:S42"/>
    <mergeCell ref="B44:G44"/>
    <mergeCell ref="BL40:BO40"/>
    <mergeCell ref="BK41:BK43"/>
    <mergeCell ref="BL41:BO41"/>
    <mergeCell ref="BK39:BK40"/>
    <mergeCell ref="B40:G40"/>
    <mergeCell ref="H40:M40"/>
    <mergeCell ref="N40:S40"/>
    <mergeCell ref="B39:S39"/>
    <mergeCell ref="B46:G46"/>
    <mergeCell ref="H46:M46"/>
    <mergeCell ref="N46:S46"/>
    <mergeCell ref="B57:G57"/>
    <mergeCell ref="H57:M57"/>
    <mergeCell ref="N57:S57"/>
    <mergeCell ref="T57:Y57"/>
    <mergeCell ref="Z57:AE57"/>
    <mergeCell ref="H52:Y52"/>
    <mergeCell ref="Z52:AE53"/>
    <mergeCell ref="B51:AE51"/>
    <mergeCell ref="B52:G53"/>
    <mergeCell ref="H53:M53"/>
    <mergeCell ref="B55:G55"/>
    <mergeCell ref="H55:M55"/>
    <mergeCell ref="N55:S55"/>
    <mergeCell ref="T55:Y55"/>
    <mergeCell ref="Z55:AE55"/>
    <mergeCell ref="B56:G56"/>
    <mergeCell ref="H56:M56"/>
    <mergeCell ref="N56:S56"/>
    <mergeCell ref="T56:Y56"/>
    <mergeCell ref="H54:M54"/>
    <mergeCell ref="Z56:AE56"/>
    <mergeCell ref="AR57:AW57"/>
    <mergeCell ref="AH54:AK54"/>
    <mergeCell ref="BP46:BU46"/>
    <mergeCell ref="BV46:CA46"/>
    <mergeCell ref="AX55:BI55"/>
    <mergeCell ref="CB46:CG46"/>
    <mergeCell ref="CB44:CG44"/>
    <mergeCell ref="BV43:CA43"/>
    <mergeCell ref="BV44:CA44"/>
    <mergeCell ref="CB45:CG45"/>
    <mergeCell ref="BV45:CA45"/>
    <mergeCell ref="BK45:BO45"/>
    <mergeCell ref="AG56:AK56"/>
    <mergeCell ref="AL56:AQ56"/>
    <mergeCell ref="AR56:AW56"/>
    <mergeCell ref="AL53:AQ53"/>
    <mergeCell ref="AR53:AW53"/>
    <mergeCell ref="AR52:AW52"/>
    <mergeCell ref="AH51:AK51"/>
    <mergeCell ref="AL51:AQ51"/>
    <mergeCell ref="AL50:AQ50"/>
    <mergeCell ref="AR50:AW50"/>
    <mergeCell ref="BK46:BO46"/>
    <mergeCell ref="AF49:AK49"/>
    <mergeCell ref="AR51:AW51"/>
    <mergeCell ref="N53:S53"/>
    <mergeCell ref="T53:Y53"/>
    <mergeCell ref="N54:S54"/>
    <mergeCell ref="T54:Y54"/>
    <mergeCell ref="Z54:AE54"/>
    <mergeCell ref="BV41:CA41"/>
    <mergeCell ref="CB41:CG41"/>
    <mergeCell ref="BP41:BU41"/>
    <mergeCell ref="CB42:CG42"/>
    <mergeCell ref="AF50:AF58"/>
    <mergeCell ref="AG50:AK50"/>
    <mergeCell ref="AH55:AK55"/>
    <mergeCell ref="AH57:AK57"/>
    <mergeCell ref="AH58:AK58"/>
    <mergeCell ref="BK47:BO47"/>
    <mergeCell ref="BP47:BU47"/>
    <mergeCell ref="BV47:CA47"/>
    <mergeCell ref="CB47:CG47"/>
    <mergeCell ref="BD56:BI56"/>
    <mergeCell ref="AX56:BC56"/>
    <mergeCell ref="AL58:AQ58"/>
    <mergeCell ref="AR58:AW58"/>
    <mergeCell ref="AL57:AQ57"/>
    <mergeCell ref="AH52:AK52"/>
    <mergeCell ref="AL52:AQ52"/>
    <mergeCell ref="B50:G50"/>
    <mergeCell ref="H50:M50"/>
    <mergeCell ref="N50:S50"/>
    <mergeCell ref="B49:G49"/>
    <mergeCell ref="H49:M49"/>
    <mergeCell ref="N49:S49"/>
    <mergeCell ref="B54:G54"/>
    <mergeCell ref="AL49:AQ49"/>
    <mergeCell ref="AL55:AQ55"/>
    <mergeCell ref="AR55:AW55"/>
    <mergeCell ref="H45:M45"/>
    <mergeCell ref="AL16:AQ16"/>
    <mergeCell ref="B47:G47"/>
    <mergeCell ref="H47:M47"/>
    <mergeCell ref="N47:S47"/>
    <mergeCell ref="B48:G48"/>
    <mergeCell ref="H48:M48"/>
    <mergeCell ref="N48:S48"/>
    <mergeCell ref="AR49:AW49"/>
    <mergeCell ref="B34:G34"/>
    <mergeCell ref="H34:M34"/>
    <mergeCell ref="N34:S34"/>
    <mergeCell ref="B23:G23"/>
    <mergeCell ref="H23:M23"/>
    <mergeCell ref="AL54:AQ54"/>
    <mergeCell ref="AR54:AW54"/>
    <mergeCell ref="AG53:AK53"/>
    <mergeCell ref="B17:G17"/>
    <mergeCell ref="H17:M17"/>
    <mergeCell ref="T39:AE39"/>
    <mergeCell ref="B22:G22"/>
    <mergeCell ref="H22:M22"/>
    <mergeCell ref="BD57:BI57"/>
    <mergeCell ref="AX57:BC57"/>
    <mergeCell ref="CB17:CG17"/>
    <mergeCell ref="BQ18:BU18"/>
    <mergeCell ref="BV18:CA18"/>
    <mergeCell ref="CB18:CG18"/>
    <mergeCell ref="AR10:AW10"/>
    <mergeCell ref="CB19:CG19"/>
    <mergeCell ref="BQ20:BU20"/>
    <mergeCell ref="BV20:CA20"/>
    <mergeCell ref="CB20:CG20"/>
    <mergeCell ref="BQ21:BU21"/>
    <mergeCell ref="BV21:CA21"/>
    <mergeCell ref="CB21:CG21"/>
    <mergeCell ref="BQ22:BU22"/>
    <mergeCell ref="BP42:BU42"/>
    <mergeCell ref="BV42:CA42"/>
    <mergeCell ref="AX10:BC10"/>
    <mergeCell ref="BJ18:BO18"/>
    <mergeCell ref="AR16:AW16"/>
    <mergeCell ref="AX16:BC16"/>
    <mergeCell ref="BJ12:BO12"/>
    <mergeCell ref="AR11:AW11"/>
    <mergeCell ref="BQ16:BU16"/>
    <mergeCell ref="AX59:BC59"/>
    <mergeCell ref="BD59:BI59"/>
    <mergeCell ref="BJ59:BO59"/>
    <mergeCell ref="BD58:BI58"/>
    <mergeCell ref="B59:G59"/>
    <mergeCell ref="H59:M59"/>
    <mergeCell ref="N59:S59"/>
    <mergeCell ref="T59:Y59"/>
    <mergeCell ref="Z59:AE59"/>
    <mergeCell ref="AF59:AK59"/>
    <mergeCell ref="B58:G58"/>
    <mergeCell ref="H58:M58"/>
    <mergeCell ref="BV59:CA59"/>
    <mergeCell ref="CB59:CG59"/>
    <mergeCell ref="BP59:BU59"/>
    <mergeCell ref="N58:S58"/>
    <mergeCell ref="T58:Y58"/>
    <mergeCell ref="Z58:AE58"/>
    <mergeCell ref="AX58:BC58"/>
    <mergeCell ref="V65:AA65"/>
    <mergeCell ref="B66:G66"/>
    <mergeCell ref="H66:M66"/>
    <mergeCell ref="N66:S66"/>
    <mergeCell ref="B64:G64"/>
    <mergeCell ref="H64:M64"/>
    <mergeCell ref="N64:S64"/>
    <mergeCell ref="V64:AA64"/>
    <mergeCell ref="B63:G63"/>
    <mergeCell ref="H63:M63"/>
    <mergeCell ref="N63:S63"/>
    <mergeCell ref="V63:AA63"/>
    <mergeCell ref="AF60:AK60"/>
    <mergeCell ref="AL60:AQ60"/>
    <mergeCell ref="B62:S62"/>
    <mergeCell ref="AL59:AQ59"/>
    <mergeCell ref="AR59:AW59"/>
    <mergeCell ref="B67:G67"/>
    <mergeCell ref="H67:M67"/>
    <mergeCell ref="N67:S67"/>
    <mergeCell ref="B68:G68"/>
    <mergeCell ref="H68:M68"/>
    <mergeCell ref="N68:S68"/>
    <mergeCell ref="B65:G65"/>
    <mergeCell ref="H65:M65"/>
    <mergeCell ref="N65:S65"/>
    <mergeCell ref="B78:G78"/>
    <mergeCell ref="H78:M78"/>
    <mergeCell ref="N78:S78"/>
    <mergeCell ref="B75:G75"/>
    <mergeCell ref="H75:M75"/>
    <mergeCell ref="N75:S75"/>
    <mergeCell ref="B76:G76"/>
    <mergeCell ref="H76:M76"/>
    <mergeCell ref="N76:S76"/>
    <mergeCell ref="B77:G77"/>
    <mergeCell ref="H77:M77"/>
    <mergeCell ref="N81:S81"/>
    <mergeCell ref="B82:G82"/>
    <mergeCell ref="H82:M82"/>
    <mergeCell ref="N82:S82"/>
    <mergeCell ref="B79:G79"/>
    <mergeCell ref="H79:M79"/>
    <mergeCell ref="N79:S79"/>
    <mergeCell ref="B80:G80"/>
    <mergeCell ref="H80:M80"/>
    <mergeCell ref="N80:S80"/>
    <mergeCell ref="N85:S85"/>
    <mergeCell ref="B87:M87"/>
    <mergeCell ref="B88:G88"/>
    <mergeCell ref="H88:M88"/>
    <mergeCell ref="B83:G83"/>
    <mergeCell ref="H83:M83"/>
    <mergeCell ref="N83:S83"/>
    <mergeCell ref="B84:G84"/>
    <mergeCell ref="H84:M84"/>
    <mergeCell ref="N84:S84"/>
    <mergeCell ref="B71:M71"/>
    <mergeCell ref="B72:G72"/>
    <mergeCell ref="H72:M72"/>
    <mergeCell ref="B73:G73"/>
    <mergeCell ref="H73:M73"/>
    <mergeCell ref="B74:S74"/>
    <mergeCell ref="B69:G69"/>
    <mergeCell ref="N77:S77"/>
    <mergeCell ref="H69:M69"/>
    <mergeCell ref="N69:S69"/>
    <mergeCell ref="B70:G70"/>
    <mergeCell ref="H70:M70"/>
    <mergeCell ref="N70:S70"/>
    <mergeCell ref="H89:M89"/>
    <mergeCell ref="B90:G90"/>
    <mergeCell ref="H90:M90"/>
    <mergeCell ref="B91:G91"/>
    <mergeCell ref="H91:M91"/>
    <mergeCell ref="B85:G85"/>
    <mergeCell ref="H85:M85"/>
    <mergeCell ref="B81:G81"/>
    <mergeCell ref="H81:M81"/>
    <mergeCell ref="H96:M96"/>
    <mergeCell ref="H4:M4"/>
    <mergeCell ref="N4:S4"/>
    <mergeCell ref="T4:Y4"/>
    <mergeCell ref="Z4:AE4"/>
    <mergeCell ref="B21:M21"/>
    <mergeCell ref="B20:G20"/>
    <mergeCell ref="H20:M20"/>
    <mergeCell ref="B92:G92"/>
    <mergeCell ref="H92:M92"/>
    <mergeCell ref="B93:G93"/>
    <mergeCell ref="H93:M93"/>
    <mergeCell ref="B94:C96"/>
    <mergeCell ref="D94:G94"/>
    <mergeCell ref="B13:L13"/>
    <mergeCell ref="B12:L12"/>
    <mergeCell ref="B11:L11"/>
    <mergeCell ref="B10:L10"/>
    <mergeCell ref="H94:M94"/>
    <mergeCell ref="D95:G95"/>
    <mergeCell ref="H95:M95"/>
    <mergeCell ref="D96:G96"/>
    <mergeCell ref="B6:AK6"/>
    <mergeCell ref="B89:G89"/>
    <mergeCell ref="BP6:CG6"/>
    <mergeCell ref="BP7:BU7"/>
    <mergeCell ref="BV7:CA7"/>
    <mergeCell ref="CB7:CG7"/>
    <mergeCell ref="T7:AE7"/>
    <mergeCell ref="T8:AD8"/>
    <mergeCell ref="T13:AD13"/>
    <mergeCell ref="T12:AD12"/>
    <mergeCell ref="T11:AD11"/>
    <mergeCell ref="T10:AD10"/>
    <mergeCell ref="T9:AD9"/>
    <mergeCell ref="BQ12:BU12"/>
    <mergeCell ref="BV12:CA12"/>
    <mergeCell ref="CB12:CG12"/>
    <mergeCell ref="BQ13:BU13"/>
    <mergeCell ref="BV13:CA13"/>
    <mergeCell ref="CB13:CG13"/>
    <mergeCell ref="BQ8:BU8"/>
    <mergeCell ref="AX20:BC20"/>
    <mergeCell ref="AX21:BC21"/>
    <mergeCell ref="BJ11:BO11"/>
    <mergeCell ref="AL12:AQ12"/>
    <mergeCell ref="AR12:AW12"/>
    <mergeCell ref="AX12:BC12"/>
    <mergeCell ref="BD12:BI12"/>
    <mergeCell ref="AR19:AW19"/>
    <mergeCell ref="AX19:BC19"/>
    <mergeCell ref="AX11:BC11"/>
    <mergeCell ref="BJ19:BO19"/>
    <mergeCell ref="AR14:BC14"/>
    <mergeCell ref="BD14:BO14"/>
    <mergeCell ref="BJ16:BO16"/>
    <mergeCell ref="BJ17:BO17"/>
    <mergeCell ref="BJ15:BO15"/>
    <mergeCell ref="BD11:BI11"/>
    <mergeCell ref="AL11:AQ11"/>
    <mergeCell ref="BD18:BI18"/>
    <mergeCell ref="AX17:BC17"/>
    <mergeCell ref="BD17:BI17"/>
    <mergeCell ref="AL17:AQ17"/>
    <mergeCell ref="AR17:AW17"/>
    <mergeCell ref="B2:E2"/>
    <mergeCell ref="AR18:AW18"/>
    <mergeCell ref="AX18:BC18"/>
    <mergeCell ref="BD16:BI16"/>
    <mergeCell ref="AL14:AQ15"/>
    <mergeCell ref="AX8:BC8"/>
    <mergeCell ref="BD8:BI8"/>
    <mergeCell ref="BJ8:BO8"/>
    <mergeCell ref="AL9:AN10"/>
    <mergeCell ref="AO9:AQ9"/>
    <mergeCell ref="AR9:AW9"/>
    <mergeCell ref="AX9:BC9"/>
    <mergeCell ref="BD9:BI9"/>
    <mergeCell ref="BJ9:BO9"/>
    <mergeCell ref="AO10:AQ10"/>
    <mergeCell ref="BD10:BI10"/>
    <mergeCell ref="BJ10:BO10"/>
    <mergeCell ref="B16:M16"/>
    <mergeCell ref="N11:S11"/>
    <mergeCell ref="AF11:AK11"/>
    <mergeCell ref="N13:S13"/>
    <mergeCell ref="N12:S12"/>
    <mergeCell ref="AF12:AK12"/>
    <mergeCell ref="N8:S8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1"/>
  <sheetViews>
    <sheetView showGridLines="0" view="pageBreakPreview" zoomScale="130" zoomScaleNormal="85" zoomScaleSheetLayoutView="130" zoomScalePageLayoutView="85" workbookViewId="0"/>
  </sheetViews>
  <sheetFormatPr defaultColWidth="8" defaultRowHeight="12"/>
  <cols>
    <col min="1" max="1" width="2.625" style="118" customWidth="1"/>
    <col min="2" max="85" width="1.625" style="118" customWidth="1"/>
    <col min="86" max="86" width="1" style="118" customWidth="1"/>
    <col min="87" max="87" width="2" style="118" customWidth="1"/>
    <col min="88" max="93" width="2.375" style="118" customWidth="1"/>
    <col min="94" max="16384" width="8" style="118"/>
  </cols>
  <sheetData>
    <row r="1" spans="1:85" ht="13.7" customHeight="1">
      <c r="B1" s="119" t="str">
        <f>B5&amp;"年産　農業経営統計調査（米生産費統計（組織法人経営体））　集計結果表№３"</f>
        <v>年産　農業経営統計調査（米生産費統計（組織法人経営体））　集計結果表№３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ht="9.75" customHeight="1" thickBot="1">
      <c r="B2" s="806" t="s">
        <v>420</v>
      </c>
      <c r="C2" s="806"/>
      <c r="D2" s="806"/>
      <c r="E2" s="806"/>
      <c r="F2" s="800" t="str">
        <f>IF('No1'!F2&lt;&gt;"",'No1'!F2,"")</f>
        <v/>
      </c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Z2" s="800"/>
      <c r="AA2" s="800"/>
      <c r="AB2" s="800"/>
      <c r="AC2" s="800"/>
      <c r="AD2" s="800"/>
      <c r="AE2" s="800"/>
      <c r="AF2" s="800"/>
      <c r="AG2" s="800"/>
      <c r="AH2" s="800"/>
      <c r="AI2" s="800"/>
      <c r="AJ2" s="800"/>
      <c r="AK2" s="800"/>
      <c r="AL2" s="800"/>
      <c r="AM2" s="800"/>
      <c r="AN2" s="800"/>
      <c r="AO2" s="800"/>
      <c r="AP2" s="800"/>
      <c r="AQ2" s="800"/>
      <c r="AR2" s="800"/>
      <c r="AS2" s="800"/>
      <c r="AT2" s="800"/>
      <c r="AU2" s="800"/>
      <c r="AV2" s="800"/>
      <c r="AW2" s="800"/>
      <c r="AX2" s="800"/>
      <c r="AY2" s="800"/>
      <c r="AZ2" s="800"/>
      <c r="BA2" s="800"/>
      <c r="BB2" s="800"/>
      <c r="BC2" s="800"/>
      <c r="BD2" s="800"/>
      <c r="BE2" s="800"/>
      <c r="BF2" s="800"/>
      <c r="BG2" s="800"/>
      <c r="BH2" s="800"/>
      <c r="BI2" s="800"/>
      <c r="BJ2" s="800"/>
      <c r="BK2" s="800"/>
      <c r="BL2" s="800"/>
      <c r="BM2" s="800"/>
      <c r="BN2" s="800"/>
      <c r="BO2" s="800"/>
      <c r="BP2" s="800"/>
      <c r="BQ2" s="800"/>
      <c r="BR2" s="800"/>
      <c r="BS2" s="800"/>
      <c r="BT2" s="800"/>
      <c r="BU2" s="800"/>
      <c r="BV2" s="800"/>
      <c r="BW2" s="800"/>
      <c r="BX2" s="800"/>
      <c r="BY2" s="800"/>
      <c r="BZ2" s="800"/>
      <c r="CA2" s="800"/>
      <c r="CB2" s="800"/>
      <c r="CC2" s="800"/>
      <c r="CD2" s="800"/>
      <c r="CE2" s="800"/>
      <c r="CF2" s="800"/>
      <c r="CG2" s="800"/>
    </row>
    <row r="3" spans="1:85" ht="9.75" customHeight="1" thickBot="1">
      <c r="B3" s="122" t="s">
        <v>247</v>
      </c>
      <c r="C3" s="123"/>
      <c r="D3" s="123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801"/>
      <c r="U3" s="801"/>
      <c r="V3" s="801"/>
      <c r="W3" s="801"/>
      <c r="X3" s="801"/>
      <c r="Y3" s="801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5"/>
      <c r="AS3" s="126"/>
      <c r="AT3" s="126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7"/>
    </row>
    <row r="4" spans="1:85" ht="9.75" customHeight="1">
      <c r="A4" s="128">
        <v>1</v>
      </c>
      <c r="B4" s="802" t="s">
        <v>0</v>
      </c>
      <c r="C4" s="788"/>
      <c r="D4" s="788"/>
      <c r="E4" s="788"/>
      <c r="F4" s="788"/>
      <c r="G4" s="789"/>
      <c r="H4" s="803" t="s">
        <v>243</v>
      </c>
      <c r="I4" s="804"/>
      <c r="J4" s="804"/>
      <c r="K4" s="804"/>
      <c r="L4" s="804"/>
      <c r="M4" s="805"/>
      <c r="N4" s="787" t="s">
        <v>352</v>
      </c>
      <c r="O4" s="788"/>
      <c r="P4" s="788"/>
      <c r="Q4" s="788"/>
      <c r="R4" s="788"/>
      <c r="S4" s="788"/>
      <c r="T4" s="787" t="s">
        <v>83</v>
      </c>
      <c r="U4" s="788"/>
      <c r="V4" s="788"/>
      <c r="W4" s="788"/>
      <c r="X4" s="788"/>
      <c r="Y4" s="788"/>
      <c r="Z4" s="787" t="s">
        <v>353</v>
      </c>
      <c r="AA4" s="788"/>
      <c r="AB4" s="788"/>
      <c r="AC4" s="788"/>
      <c r="AD4" s="788"/>
      <c r="AE4" s="789"/>
      <c r="AF4" s="790" t="s">
        <v>279</v>
      </c>
      <c r="AG4" s="790"/>
      <c r="AH4" s="790"/>
      <c r="AI4" s="790"/>
      <c r="AJ4" s="790"/>
      <c r="AK4" s="790"/>
      <c r="AL4" s="787" t="s">
        <v>339</v>
      </c>
      <c r="AM4" s="788"/>
      <c r="AN4" s="788"/>
      <c r="AO4" s="788"/>
      <c r="AP4" s="788"/>
      <c r="AQ4" s="789"/>
      <c r="AR4" s="787" t="s">
        <v>244</v>
      </c>
      <c r="AS4" s="788"/>
      <c r="AT4" s="788"/>
      <c r="AU4" s="788"/>
      <c r="AV4" s="788"/>
      <c r="AW4" s="789"/>
      <c r="AX4" s="790" t="s">
        <v>354</v>
      </c>
      <c r="AY4" s="790"/>
      <c r="AZ4" s="790"/>
      <c r="BA4" s="790"/>
      <c r="BB4" s="790"/>
      <c r="BC4" s="790"/>
      <c r="BD4" s="791" t="s">
        <v>342</v>
      </c>
      <c r="BE4" s="791"/>
      <c r="BF4" s="791"/>
      <c r="BG4" s="791"/>
      <c r="BH4" s="791"/>
      <c r="BI4" s="791"/>
      <c r="BJ4" s="784"/>
      <c r="BK4" s="784"/>
      <c r="BL4" s="784"/>
      <c r="BM4" s="784"/>
      <c r="BN4" s="784"/>
      <c r="BO4" s="784"/>
      <c r="BP4" s="786"/>
      <c r="BQ4" s="786"/>
      <c r="BR4" s="786"/>
      <c r="BS4" s="786"/>
      <c r="BT4" s="786"/>
      <c r="BU4" s="786"/>
      <c r="BV4" s="784"/>
      <c r="BW4" s="784"/>
      <c r="BX4" s="784"/>
      <c r="BY4" s="784"/>
      <c r="BZ4" s="784"/>
      <c r="CA4" s="784"/>
      <c r="CB4" s="784"/>
      <c r="CC4" s="784"/>
      <c r="CD4" s="784"/>
      <c r="CE4" s="784"/>
      <c r="CF4" s="784"/>
      <c r="CG4" s="785"/>
    </row>
    <row r="5" spans="1:85" ht="9.75" customHeight="1" thickBot="1">
      <c r="A5" s="128">
        <v>2</v>
      </c>
      <c r="B5" s="777" t="str">
        <f>IF('No1'!B5&lt;&gt;"",'No1'!B5,"")</f>
        <v/>
      </c>
      <c r="C5" s="778"/>
      <c r="D5" s="778"/>
      <c r="E5" s="778"/>
      <c r="F5" s="778"/>
      <c r="G5" s="779"/>
      <c r="H5" s="129" t="str">
        <f>IF('No1'!H5&lt;&gt;"",'No1'!H5,"")</f>
        <v/>
      </c>
      <c r="I5" s="780" t="str">
        <f>'No1'!I5</f>
        <v/>
      </c>
      <c r="J5" s="780"/>
      <c r="K5" s="780"/>
      <c r="L5" s="780"/>
      <c r="M5" s="781"/>
      <c r="N5" s="130" t="str">
        <f>IF('No1'!N5&lt;&gt;"",'No1'!N5,"")</f>
        <v/>
      </c>
      <c r="O5" s="782" t="str">
        <f>'No1'!O5</f>
        <v/>
      </c>
      <c r="P5" s="782"/>
      <c r="Q5" s="782"/>
      <c r="R5" s="782"/>
      <c r="S5" s="783"/>
      <c r="T5" s="130" t="str">
        <f>IF('No1'!T5&lt;&gt;"",'No1'!T5,"")</f>
        <v/>
      </c>
      <c r="U5" s="782" t="str">
        <f>'No1'!U5</f>
        <v/>
      </c>
      <c r="V5" s="782"/>
      <c r="W5" s="782"/>
      <c r="X5" s="782"/>
      <c r="Y5" s="783"/>
      <c r="Z5" s="131" t="str">
        <f>IF('No1'!Z5&lt;&gt;"",'No1'!Z5,"")</f>
        <v/>
      </c>
      <c r="AA5" s="792" t="str">
        <f>'No1'!AA5</f>
        <v/>
      </c>
      <c r="AB5" s="792"/>
      <c r="AC5" s="792"/>
      <c r="AD5" s="792"/>
      <c r="AE5" s="793"/>
      <c r="AF5" s="132" t="str">
        <f>IF('No1'!AF5&lt;&gt;"",'No1'!AF5,"")</f>
        <v/>
      </c>
      <c r="AG5" s="792" t="str">
        <f>'No1'!AG5</f>
        <v/>
      </c>
      <c r="AH5" s="792"/>
      <c r="AI5" s="792"/>
      <c r="AJ5" s="792"/>
      <c r="AK5" s="793"/>
      <c r="AL5" s="794" t="str">
        <f>IF('No1'!AL5&lt;&gt;"",'No1'!AL5,"")</f>
        <v/>
      </c>
      <c r="AM5" s="795"/>
      <c r="AN5" s="795"/>
      <c r="AO5" s="795"/>
      <c r="AP5" s="795"/>
      <c r="AQ5" s="796"/>
      <c r="AR5" s="797" t="str">
        <f>IF('No1'!AR5&lt;&gt;"",'No1'!AR5,"")</f>
        <v/>
      </c>
      <c r="AS5" s="798"/>
      <c r="AT5" s="798"/>
      <c r="AU5" s="798"/>
      <c r="AV5" s="798"/>
      <c r="AW5" s="799"/>
      <c r="AX5" s="133" t="str">
        <f>IF('No1'!AX5&lt;&gt;"",'No1'!AX5,"")</f>
        <v/>
      </c>
      <c r="AY5" s="792" t="str">
        <f>'No1'!AY5</f>
        <v/>
      </c>
      <c r="AZ5" s="792"/>
      <c r="BA5" s="792"/>
      <c r="BB5" s="792"/>
      <c r="BC5" s="793"/>
      <c r="BD5" s="132" t="str">
        <f>IF('No1'!BD5&lt;&gt;"",'No1'!BD5,"")</f>
        <v/>
      </c>
      <c r="BE5" s="792" t="str">
        <f>'No1'!BE5</f>
        <v/>
      </c>
      <c r="BF5" s="792"/>
      <c r="BG5" s="792"/>
      <c r="BH5" s="792"/>
      <c r="BI5" s="793"/>
      <c r="BJ5" s="775"/>
      <c r="BK5" s="775"/>
      <c r="BL5" s="775"/>
      <c r="BM5" s="775"/>
      <c r="BN5" s="775"/>
      <c r="BO5" s="775"/>
      <c r="BP5" s="775"/>
      <c r="BQ5" s="775"/>
      <c r="BR5" s="775"/>
      <c r="BS5" s="775"/>
      <c r="BT5" s="775"/>
      <c r="BU5" s="775"/>
      <c r="BV5" s="775"/>
      <c r="BW5" s="775"/>
      <c r="BX5" s="775"/>
      <c r="BY5" s="775"/>
      <c r="BZ5" s="775"/>
      <c r="CA5" s="775"/>
      <c r="CB5" s="775"/>
      <c r="CC5" s="775"/>
      <c r="CD5" s="775"/>
      <c r="CE5" s="775"/>
      <c r="CF5" s="775"/>
      <c r="CG5" s="776"/>
    </row>
    <row r="6" spans="1:85" ht="9.75" customHeight="1">
      <c r="A6" s="128">
        <v>3</v>
      </c>
      <c r="B6" s="757" t="s">
        <v>349</v>
      </c>
      <c r="C6" s="758"/>
      <c r="D6" s="758"/>
      <c r="E6" s="758"/>
      <c r="F6" s="758"/>
      <c r="G6" s="758"/>
      <c r="H6" s="758"/>
      <c r="I6" s="758"/>
      <c r="J6" s="758"/>
      <c r="K6" s="758"/>
      <c r="L6" s="758"/>
      <c r="M6" s="758"/>
      <c r="N6" s="758"/>
      <c r="O6" s="758"/>
      <c r="P6" s="758"/>
      <c r="Q6" s="758"/>
      <c r="R6" s="758"/>
      <c r="S6" s="758"/>
      <c r="T6" s="758"/>
      <c r="U6" s="758"/>
      <c r="V6" s="758"/>
      <c r="W6" s="758"/>
      <c r="X6" s="758"/>
      <c r="Y6" s="758"/>
      <c r="Z6" s="758"/>
      <c r="AA6" s="758"/>
      <c r="AB6" s="758"/>
      <c r="AC6" s="758"/>
      <c r="AD6" s="758"/>
      <c r="AE6" s="758"/>
      <c r="AF6" s="758"/>
      <c r="AG6" s="758"/>
      <c r="AH6" s="758"/>
      <c r="AI6" s="758"/>
      <c r="AJ6" s="758"/>
      <c r="AK6" s="758"/>
      <c r="AL6" s="758"/>
      <c r="AM6" s="758"/>
      <c r="AN6" s="758"/>
      <c r="AO6" s="758"/>
      <c r="AP6" s="758"/>
      <c r="AQ6" s="759"/>
      <c r="AR6" s="822" t="s">
        <v>436</v>
      </c>
      <c r="AS6" s="823"/>
      <c r="AT6" s="823"/>
      <c r="AU6" s="823"/>
      <c r="AV6" s="823"/>
      <c r="AW6" s="823"/>
      <c r="AX6" s="823"/>
      <c r="AY6" s="823"/>
      <c r="AZ6" s="823"/>
      <c r="BA6" s="823"/>
      <c r="BB6" s="823"/>
      <c r="BC6" s="823"/>
      <c r="BD6" s="823"/>
      <c r="BE6" s="823"/>
      <c r="BF6" s="823"/>
      <c r="BG6" s="823"/>
      <c r="BH6" s="823"/>
      <c r="BI6" s="823"/>
      <c r="BJ6" s="823"/>
      <c r="BK6" s="823"/>
      <c r="BL6" s="823"/>
      <c r="BM6" s="823"/>
      <c r="BN6" s="823"/>
      <c r="BO6" s="823"/>
      <c r="BP6" s="823"/>
      <c r="BQ6" s="823"/>
      <c r="BR6" s="823"/>
      <c r="BS6" s="823"/>
      <c r="BT6" s="823"/>
      <c r="BU6" s="824"/>
      <c r="BV6" s="807" t="s">
        <v>365</v>
      </c>
      <c r="BW6" s="808"/>
      <c r="BX6" s="808"/>
      <c r="BY6" s="808"/>
      <c r="BZ6" s="808"/>
      <c r="CA6" s="808"/>
      <c r="CB6" s="808"/>
      <c r="CC6" s="808"/>
      <c r="CD6" s="808"/>
      <c r="CE6" s="808"/>
      <c r="CF6" s="808"/>
      <c r="CG6" s="809"/>
    </row>
    <row r="7" spans="1:85" ht="9.75" customHeight="1">
      <c r="A7" s="128">
        <v>4</v>
      </c>
      <c r="B7" s="760"/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2"/>
      <c r="N7" s="766" t="s">
        <v>262</v>
      </c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  <c r="AA7" s="749"/>
      <c r="AB7" s="749"/>
      <c r="AC7" s="749"/>
      <c r="AD7" s="749"/>
      <c r="AE7" s="767"/>
      <c r="AF7" s="768" t="s">
        <v>263</v>
      </c>
      <c r="AG7" s="769"/>
      <c r="AH7" s="769"/>
      <c r="AI7" s="769"/>
      <c r="AJ7" s="769"/>
      <c r="AK7" s="769"/>
      <c r="AL7" s="769"/>
      <c r="AM7" s="769"/>
      <c r="AN7" s="769"/>
      <c r="AO7" s="769"/>
      <c r="AP7" s="769"/>
      <c r="AQ7" s="770"/>
      <c r="AR7" s="825"/>
      <c r="AS7" s="826"/>
      <c r="AT7" s="826"/>
      <c r="AU7" s="826"/>
      <c r="AV7" s="826"/>
      <c r="AW7" s="826"/>
      <c r="AX7" s="826"/>
      <c r="AY7" s="826"/>
      <c r="AZ7" s="826"/>
      <c r="BA7" s="826"/>
      <c r="BB7" s="826"/>
      <c r="BC7" s="826"/>
      <c r="BD7" s="827" t="s">
        <v>437</v>
      </c>
      <c r="BE7" s="828"/>
      <c r="BF7" s="828"/>
      <c r="BG7" s="828"/>
      <c r="BH7" s="828"/>
      <c r="BI7" s="828"/>
      <c r="BJ7" s="828" t="s">
        <v>246</v>
      </c>
      <c r="BK7" s="828"/>
      <c r="BL7" s="828"/>
      <c r="BM7" s="828"/>
      <c r="BN7" s="828"/>
      <c r="BO7" s="828"/>
      <c r="BP7" s="828" t="s">
        <v>7</v>
      </c>
      <c r="BQ7" s="828"/>
      <c r="BR7" s="828"/>
      <c r="BS7" s="828"/>
      <c r="BT7" s="828"/>
      <c r="BU7" s="829"/>
      <c r="BV7" s="816"/>
      <c r="BW7" s="817"/>
      <c r="BX7" s="817"/>
      <c r="BY7" s="817"/>
      <c r="BZ7" s="817"/>
      <c r="CA7" s="818"/>
      <c r="CB7" s="819"/>
      <c r="CC7" s="820"/>
      <c r="CD7" s="820"/>
      <c r="CE7" s="820"/>
      <c r="CF7" s="820"/>
      <c r="CG7" s="821"/>
    </row>
    <row r="8" spans="1:85" ht="9.75" customHeight="1">
      <c r="A8" s="128">
        <v>5</v>
      </c>
      <c r="B8" s="763"/>
      <c r="C8" s="764"/>
      <c r="D8" s="764"/>
      <c r="E8" s="764"/>
      <c r="F8" s="764"/>
      <c r="G8" s="764"/>
      <c r="H8" s="764"/>
      <c r="I8" s="764"/>
      <c r="J8" s="764"/>
      <c r="K8" s="764"/>
      <c r="L8" s="764"/>
      <c r="M8" s="765"/>
      <c r="N8" s="771" t="s">
        <v>12</v>
      </c>
      <c r="O8" s="772"/>
      <c r="P8" s="772"/>
      <c r="Q8" s="772"/>
      <c r="R8" s="772"/>
      <c r="S8" s="772"/>
      <c r="T8" s="772" t="s">
        <v>11</v>
      </c>
      <c r="U8" s="772"/>
      <c r="V8" s="772"/>
      <c r="W8" s="772"/>
      <c r="X8" s="772"/>
      <c r="Y8" s="772"/>
      <c r="Z8" s="772" t="s">
        <v>108</v>
      </c>
      <c r="AA8" s="772"/>
      <c r="AB8" s="772"/>
      <c r="AC8" s="772"/>
      <c r="AD8" s="772"/>
      <c r="AE8" s="773"/>
      <c r="AF8" s="771" t="s">
        <v>12</v>
      </c>
      <c r="AG8" s="772"/>
      <c r="AH8" s="772"/>
      <c r="AI8" s="772"/>
      <c r="AJ8" s="772"/>
      <c r="AK8" s="772"/>
      <c r="AL8" s="772" t="s">
        <v>11</v>
      </c>
      <c r="AM8" s="772"/>
      <c r="AN8" s="772"/>
      <c r="AO8" s="772"/>
      <c r="AP8" s="772"/>
      <c r="AQ8" s="774"/>
      <c r="AR8" s="830" t="s">
        <v>190</v>
      </c>
      <c r="AS8" s="831"/>
      <c r="AT8" s="836" t="s">
        <v>228</v>
      </c>
      <c r="AU8" s="836"/>
      <c r="AV8" s="836"/>
      <c r="AW8" s="836"/>
      <c r="AX8" s="836"/>
      <c r="AY8" s="836"/>
      <c r="AZ8" s="836"/>
      <c r="BA8" s="836"/>
      <c r="BB8" s="836"/>
      <c r="BC8" s="837"/>
      <c r="BD8" s="838"/>
      <c r="BE8" s="839"/>
      <c r="BF8" s="839"/>
      <c r="BG8" s="839"/>
      <c r="BH8" s="839"/>
      <c r="BI8" s="840"/>
      <c r="BJ8" s="819"/>
      <c r="BK8" s="820"/>
      <c r="BL8" s="820"/>
      <c r="BM8" s="820"/>
      <c r="BN8" s="820"/>
      <c r="BO8" s="841"/>
      <c r="BP8" s="842"/>
      <c r="BQ8" s="843"/>
      <c r="BR8" s="843"/>
      <c r="BS8" s="843"/>
      <c r="BT8" s="843"/>
      <c r="BU8" s="844"/>
      <c r="BV8" s="636"/>
      <c r="BW8" s="637"/>
      <c r="BX8" s="637"/>
      <c r="BY8" s="637"/>
      <c r="BZ8" s="637"/>
      <c r="CA8" s="638"/>
      <c r="CB8" s="639"/>
      <c r="CC8" s="640"/>
      <c r="CD8" s="640"/>
      <c r="CE8" s="640"/>
      <c r="CF8" s="640"/>
      <c r="CG8" s="641"/>
    </row>
    <row r="9" spans="1:85" ht="9.75" customHeight="1">
      <c r="A9" s="128">
        <v>6</v>
      </c>
      <c r="B9" s="745" t="s">
        <v>79</v>
      </c>
      <c r="C9" s="746"/>
      <c r="D9" s="749" t="s">
        <v>204</v>
      </c>
      <c r="E9" s="749"/>
      <c r="F9" s="749"/>
      <c r="G9" s="750" t="s">
        <v>82</v>
      </c>
      <c r="H9" s="750"/>
      <c r="I9" s="750"/>
      <c r="J9" s="750"/>
      <c r="K9" s="750"/>
      <c r="L9" s="750"/>
      <c r="M9" s="711"/>
      <c r="N9" s="751"/>
      <c r="O9" s="752"/>
      <c r="P9" s="752"/>
      <c r="Q9" s="752"/>
      <c r="R9" s="752"/>
      <c r="S9" s="752"/>
      <c r="T9" s="752"/>
      <c r="U9" s="752"/>
      <c r="V9" s="752"/>
      <c r="W9" s="752"/>
      <c r="X9" s="752"/>
      <c r="Y9" s="752"/>
      <c r="Z9" s="753"/>
      <c r="AA9" s="753"/>
      <c r="AB9" s="753"/>
      <c r="AC9" s="753"/>
      <c r="AD9" s="753"/>
      <c r="AE9" s="754"/>
      <c r="AF9" s="755"/>
      <c r="AG9" s="753"/>
      <c r="AH9" s="753"/>
      <c r="AI9" s="753"/>
      <c r="AJ9" s="753"/>
      <c r="AK9" s="753"/>
      <c r="AL9" s="753"/>
      <c r="AM9" s="753"/>
      <c r="AN9" s="753"/>
      <c r="AO9" s="753"/>
      <c r="AP9" s="753"/>
      <c r="AQ9" s="756"/>
      <c r="AR9" s="832"/>
      <c r="AS9" s="833"/>
      <c r="AT9" s="750" t="s">
        <v>423</v>
      </c>
      <c r="AU9" s="750"/>
      <c r="AV9" s="750"/>
      <c r="AW9" s="750"/>
      <c r="AX9" s="750"/>
      <c r="AY9" s="750"/>
      <c r="AZ9" s="750"/>
      <c r="BA9" s="750"/>
      <c r="BB9" s="750"/>
      <c r="BC9" s="711"/>
      <c r="BD9" s="680"/>
      <c r="BE9" s="681"/>
      <c r="BF9" s="681"/>
      <c r="BG9" s="681"/>
      <c r="BH9" s="681"/>
      <c r="BI9" s="682"/>
      <c r="BJ9" s="639"/>
      <c r="BK9" s="640"/>
      <c r="BL9" s="640"/>
      <c r="BM9" s="640"/>
      <c r="BN9" s="640"/>
      <c r="BO9" s="683"/>
      <c r="BP9" s="670"/>
      <c r="BQ9" s="671"/>
      <c r="BR9" s="671"/>
      <c r="BS9" s="671"/>
      <c r="BT9" s="671"/>
      <c r="BU9" s="672"/>
      <c r="BV9" s="636"/>
      <c r="BW9" s="637"/>
      <c r="BX9" s="637"/>
      <c r="BY9" s="637"/>
      <c r="BZ9" s="637"/>
      <c r="CA9" s="638"/>
      <c r="CB9" s="639"/>
      <c r="CC9" s="640"/>
      <c r="CD9" s="640"/>
      <c r="CE9" s="640"/>
      <c r="CF9" s="640"/>
      <c r="CG9" s="641"/>
    </row>
    <row r="10" spans="1:85" ht="9.75" customHeight="1">
      <c r="A10" s="128">
        <v>7</v>
      </c>
      <c r="B10" s="747"/>
      <c r="C10" s="748"/>
      <c r="D10" s="695"/>
      <c r="E10" s="695"/>
      <c r="F10" s="695"/>
      <c r="G10" s="673" t="s">
        <v>278</v>
      </c>
      <c r="H10" s="673"/>
      <c r="I10" s="673"/>
      <c r="J10" s="673"/>
      <c r="K10" s="673"/>
      <c r="L10" s="673"/>
      <c r="M10" s="674"/>
      <c r="N10" s="675"/>
      <c r="O10" s="676"/>
      <c r="P10" s="676"/>
      <c r="Q10" s="676"/>
      <c r="R10" s="676"/>
      <c r="S10" s="676"/>
      <c r="T10" s="676"/>
      <c r="U10" s="676"/>
      <c r="V10" s="676"/>
      <c r="W10" s="676"/>
      <c r="X10" s="676"/>
      <c r="Y10" s="676"/>
      <c r="Z10" s="677"/>
      <c r="AA10" s="677"/>
      <c r="AB10" s="677"/>
      <c r="AC10" s="677"/>
      <c r="AD10" s="677"/>
      <c r="AE10" s="670"/>
      <c r="AF10" s="678"/>
      <c r="AG10" s="677"/>
      <c r="AH10" s="677"/>
      <c r="AI10" s="677"/>
      <c r="AJ10" s="677"/>
      <c r="AK10" s="677"/>
      <c r="AL10" s="677"/>
      <c r="AM10" s="677"/>
      <c r="AN10" s="677"/>
      <c r="AO10" s="677"/>
      <c r="AP10" s="677"/>
      <c r="AQ10" s="679"/>
      <c r="AR10" s="832"/>
      <c r="AS10" s="833"/>
      <c r="AT10" s="673" t="s">
        <v>189</v>
      </c>
      <c r="AU10" s="673"/>
      <c r="AV10" s="673"/>
      <c r="AW10" s="673"/>
      <c r="AX10" s="673"/>
      <c r="AY10" s="673"/>
      <c r="AZ10" s="673"/>
      <c r="BA10" s="673"/>
      <c r="BB10" s="673"/>
      <c r="BC10" s="674"/>
      <c r="BD10" s="680"/>
      <c r="BE10" s="681"/>
      <c r="BF10" s="681"/>
      <c r="BG10" s="681"/>
      <c r="BH10" s="681"/>
      <c r="BI10" s="682"/>
      <c r="BJ10" s="639"/>
      <c r="BK10" s="640"/>
      <c r="BL10" s="640"/>
      <c r="BM10" s="640"/>
      <c r="BN10" s="640"/>
      <c r="BO10" s="683"/>
      <c r="BP10" s="670"/>
      <c r="BQ10" s="671"/>
      <c r="BR10" s="671"/>
      <c r="BS10" s="671"/>
      <c r="BT10" s="671"/>
      <c r="BU10" s="672"/>
      <c r="BV10" s="636"/>
      <c r="BW10" s="637"/>
      <c r="BX10" s="637"/>
      <c r="BY10" s="637"/>
      <c r="BZ10" s="637"/>
      <c r="CA10" s="638"/>
      <c r="CB10" s="639"/>
      <c r="CC10" s="640"/>
      <c r="CD10" s="640"/>
      <c r="CE10" s="640"/>
      <c r="CF10" s="640"/>
      <c r="CG10" s="641"/>
    </row>
    <row r="11" spans="1:85" ht="9.75" customHeight="1">
      <c r="A11" s="128">
        <v>8</v>
      </c>
      <c r="B11" s="747"/>
      <c r="C11" s="748"/>
      <c r="D11" s="695" t="s">
        <v>200</v>
      </c>
      <c r="E11" s="695"/>
      <c r="F11" s="695"/>
      <c r="G11" s="695"/>
      <c r="H11" s="695"/>
      <c r="I11" s="695"/>
      <c r="J11" s="695"/>
      <c r="K11" s="695"/>
      <c r="L11" s="695"/>
      <c r="M11" s="744"/>
      <c r="N11" s="675"/>
      <c r="O11" s="676"/>
      <c r="P11" s="676"/>
      <c r="Q11" s="676"/>
      <c r="R11" s="676"/>
      <c r="S11" s="676"/>
      <c r="T11" s="676"/>
      <c r="U11" s="676"/>
      <c r="V11" s="676"/>
      <c r="W11" s="676"/>
      <c r="X11" s="676"/>
      <c r="Y11" s="676"/>
      <c r="Z11" s="677"/>
      <c r="AA11" s="677"/>
      <c r="AB11" s="677"/>
      <c r="AC11" s="677"/>
      <c r="AD11" s="677"/>
      <c r="AE11" s="670"/>
      <c r="AF11" s="678"/>
      <c r="AG11" s="677"/>
      <c r="AH11" s="677"/>
      <c r="AI11" s="677"/>
      <c r="AJ11" s="677"/>
      <c r="AK11" s="677"/>
      <c r="AL11" s="677"/>
      <c r="AM11" s="677"/>
      <c r="AN11" s="677"/>
      <c r="AO11" s="677"/>
      <c r="AP11" s="677"/>
      <c r="AQ11" s="679"/>
      <c r="AR11" s="832"/>
      <c r="AS11" s="833"/>
      <c r="AT11" s="673" t="s">
        <v>424</v>
      </c>
      <c r="AU11" s="673"/>
      <c r="AV11" s="673"/>
      <c r="AW11" s="673"/>
      <c r="AX11" s="673"/>
      <c r="AY11" s="673"/>
      <c r="AZ11" s="673"/>
      <c r="BA11" s="673"/>
      <c r="BB11" s="673"/>
      <c r="BC11" s="674"/>
      <c r="BD11" s="680"/>
      <c r="BE11" s="681"/>
      <c r="BF11" s="681"/>
      <c r="BG11" s="681"/>
      <c r="BH11" s="681"/>
      <c r="BI11" s="682"/>
      <c r="BJ11" s="639"/>
      <c r="BK11" s="640"/>
      <c r="BL11" s="640"/>
      <c r="BM11" s="640"/>
      <c r="BN11" s="640"/>
      <c r="BO11" s="683"/>
      <c r="BP11" s="670"/>
      <c r="BQ11" s="671"/>
      <c r="BR11" s="671"/>
      <c r="BS11" s="671"/>
      <c r="BT11" s="671"/>
      <c r="BU11" s="672"/>
      <c r="BV11" s="636"/>
      <c r="BW11" s="637"/>
      <c r="BX11" s="637"/>
      <c r="BY11" s="637"/>
      <c r="BZ11" s="637"/>
      <c r="CA11" s="638"/>
      <c r="CB11" s="639"/>
      <c r="CC11" s="640"/>
      <c r="CD11" s="640"/>
      <c r="CE11" s="640"/>
      <c r="CF11" s="640"/>
      <c r="CG11" s="641"/>
    </row>
    <row r="12" spans="1:85" ht="9.75" customHeight="1">
      <c r="A12" s="128">
        <v>9</v>
      </c>
      <c r="B12" s="747"/>
      <c r="C12" s="748"/>
      <c r="D12" s="695" t="s">
        <v>1</v>
      </c>
      <c r="E12" s="695"/>
      <c r="F12" s="695"/>
      <c r="G12" s="695"/>
      <c r="H12" s="695"/>
      <c r="I12" s="695"/>
      <c r="J12" s="695"/>
      <c r="K12" s="695"/>
      <c r="L12" s="695"/>
      <c r="M12" s="744"/>
      <c r="N12" s="684"/>
      <c r="O12" s="685"/>
      <c r="P12" s="685"/>
      <c r="Q12" s="685"/>
      <c r="R12" s="685"/>
      <c r="S12" s="685"/>
      <c r="T12" s="677"/>
      <c r="U12" s="677"/>
      <c r="V12" s="677"/>
      <c r="W12" s="677"/>
      <c r="X12" s="677"/>
      <c r="Y12" s="677"/>
      <c r="Z12" s="685"/>
      <c r="AA12" s="685"/>
      <c r="AB12" s="685"/>
      <c r="AC12" s="685"/>
      <c r="AD12" s="685"/>
      <c r="AE12" s="686"/>
      <c r="AF12" s="684"/>
      <c r="AG12" s="685"/>
      <c r="AH12" s="685"/>
      <c r="AI12" s="685"/>
      <c r="AJ12" s="685"/>
      <c r="AK12" s="685"/>
      <c r="AL12" s="677"/>
      <c r="AM12" s="677"/>
      <c r="AN12" s="677"/>
      <c r="AO12" s="677"/>
      <c r="AP12" s="677"/>
      <c r="AQ12" s="679"/>
      <c r="AR12" s="832"/>
      <c r="AS12" s="833"/>
      <c r="AT12" s="673" t="s">
        <v>425</v>
      </c>
      <c r="AU12" s="673"/>
      <c r="AV12" s="673"/>
      <c r="AW12" s="673"/>
      <c r="AX12" s="673"/>
      <c r="AY12" s="673"/>
      <c r="AZ12" s="673"/>
      <c r="BA12" s="673"/>
      <c r="BB12" s="673"/>
      <c r="BC12" s="674"/>
      <c r="BD12" s="680"/>
      <c r="BE12" s="681"/>
      <c r="BF12" s="681"/>
      <c r="BG12" s="681"/>
      <c r="BH12" s="681"/>
      <c r="BI12" s="682"/>
      <c r="BJ12" s="639"/>
      <c r="BK12" s="640"/>
      <c r="BL12" s="640"/>
      <c r="BM12" s="640"/>
      <c r="BN12" s="640"/>
      <c r="BO12" s="683"/>
      <c r="BP12" s="670"/>
      <c r="BQ12" s="671"/>
      <c r="BR12" s="671"/>
      <c r="BS12" s="671"/>
      <c r="BT12" s="671"/>
      <c r="BU12" s="672"/>
      <c r="BV12" s="636"/>
      <c r="BW12" s="637"/>
      <c r="BX12" s="637"/>
      <c r="BY12" s="637"/>
      <c r="BZ12" s="637"/>
      <c r="CA12" s="638"/>
      <c r="CB12" s="639"/>
      <c r="CC12" s="640"/>
      <c r="CD12" s="640"/>
      <c r="CE12" s="640"/>
      <c r="CF12" s="640"/>
      <c r="CG12" s="641"/>
    </row>
    <row r="13" spans="1:85" ht="9.75" customHeight="1">
      <c r="A13" s="128">
        <v>10</v>
      </c>
      <c r="B13" s="715" t="s">
        <v>77</v>
      </c>
      <c r="C13" s="716"/>
      <c r="D13" s="734" t="s">
        <v>209</v>
      </c>
      <c r="E13" s="740"/>
      <c r="F13" s="740"/>
      <c r="G13" s="740"/>
      <c r="H13" s="740"/>
      <c r="I13" s="740"/>
      <c r="J13" s="740"/>
      <c r="K13" s="740"/>
      <c r="L13" s="740"/>
      <c r="M13" s="741"/>
      <c r="N13" s="675"/>
      <c r="O13" s="676"/>
      <c r="P13" s="676"/>
      <c r="Q13" s="676"/>
      <c r="R13" s="676"/>
      <c r="S13" s="676"/>
      <c r="T13" s="676"/>
      <c r="U13" s="676"/>
      <c r="V13" s="676"/>
      <c r="W13" s="676"/>
      <c r="X13" s="676"/>
      <c r="Y13" s="676"/>
      <c r="Z13" s="677"/>
      <c r="AA13" s="677"/>
      <c r="AB13" s="677"/>
      <c r="AC13" s="677"/>
      <c r="AD13" s="677"/>
      <c r="AE13" s="670"/>
      <c r="AF13" s="678"/>
      <c r="AG13" s="677"/>
      <c r="AH13" s="677"/>
      <c r="AI13" s="677"/>
      <c r="AJ13" s="677"/>
      <c r="AK13" s="677"/>
      <c r="AL13" s="677"/>
      <c r="AM13" s="677"/>
      <c r="AN13" s="677"/>
      <c r="AO13" s="677"/>
      <c r="AP13" s="677"/>
      <c r="AQ13" s="679"/>
      <c r="AR13" s="832"/>
      <c r="AS13" s="833"/>
      <c r="AT13" s="673" t="s">
        <v>268</v>
      </c>
      <c r="AU13" s="673"/>
      <c r="AV13" s="673"/>
      <c r="AW13" s="673"/>
      <c r="AX13" s="673"/>
      <c r="AY13" s="673"/>
      <c r="AZ13" s="673"/>
      <c r="BA13" s="673"/>
      <c r="BB13" s="673"/>
      <c r="BC13" s="674"/>
      <c r="BD13" s="680"/>
      <c r="BE13" s="681"/>
      <c r="BF13" s="681"/>
      <c r="BG13" s="681"/>
      <c r="BH13" s="681"/>
      <c r="BI13" s="682"/>
      <c r="BJ13" s="639"/>
      <c r="BK13" s="640"/>
      <c r="BL13" s="640"/>
      <c r="BM13" s="640"/>
      <c r="BN13" s="640"/>
      <c r="BO13" s="683"/>
      <c r="BP13" s="670"/>
      <c r="BQ13" s="671"/>
      <c r="BR13" s="671"/>
      <c r="BS13" s="671"/>
      <c r="BT13" s="671"/>
      <c r="BU13" s="672"/>
      <c r="BV13" s="636"/>
      <c r="BW13" s="637"/>
      <c r="BX13" s="637"/>
      <c r="BY13" s="637"/>
      <c r="BZ13" s="637"/>
      <c r="CA13" s="638"/>
      <c r="CB13" s="639"/>
      <c r="CC13" s="640"/>
      <c r="CD13" s="640"/>
      <c r="CE13" s="640"/>
      <c r="CF13" s="640"/>
      <c r="CG13" s="641"/>
    </row>
    <row r="14" spans="1:85" ht="9.75" customHeight="1">
      <c r="A14" s="128">
        <v>11</v>
      </c>
      <c r="B14" s="715"/>
      <c r="C14" s="716"/>
      <c r="D14" s="734" t="s">
        <v>210</v>
      </c>
      <c r="E14" s="740"/>
      <c r="F14" s="740"/>
      <c r="G14" s="740"/>
      <c r="H14" s="740"/>
      <c r="I14" s="740"/>
      <c r="J14" s="740"/>
      <c r="K14" s="740"/>
      <c r="L14" s="740"/>
      <c r="M14" s="741"/>
      <c r="N14" s="675"/>
      <c r="O14" s="676"/>
      <c r="P14" s="676"/>
      <c r="Q14" s="676"/>
      <c r="R14" s="676"/>
      <c r="S14" s="676"/>
      <c r="T14" s="676"/>
      <c r="U14" s="676"/>
      <c r="V14" s="676"/>
      <c r="W14" s="676"/>
      <c r="X14" s="676"/>
      <c r="Y14" s="676"/>
      <c r="Z14" s="677"/>
      <c r="AA14" s="677"/>
      <c r="AB14" s="677"/>
      <c r="AC14" s="677"/>
      <c r="AD14" s="677"/>
      <c r="AE14" s="670"/>
      <c r="AF14" s="678"/>
      <c r="AG14" s="677"/>
      <c r="AH14" s="677"/>
      <c r="AI14" s="677"/>
      <c r="AJ14" s="677"/>
      <c r="AK14" s="677"/>
      <c r="AL14" s="677"/>
      <c r="AM14" s="677"/>
      <c r="AN14" s="677"/>
      <c r="AO14" s="677"/>
      <c r="AP14" s="677"/>
      <c r="AQ14" s="679"/>
      <c r="AR14" s="832"/>
      <c r="AS14" s="833"/>
      <c r="AT14" s="673" t="s">
        <v>426</v>
      </c>
      <c r="AU14" s="673"/>
      <c r="AV14" s="673"/>
      <c r="AW14" s="673"/>
      <c r="AX14" s="673"/>
      <c r="AY14" s="673"/>
      <c r="AZ14" s="673"/>
      <c r="BA14" s="673"/>
      <c r="BB14" s="673"/>
      <c r="BC14" s="674"/>
      <c r="BD14" s="680"/>
      <c r="BE14" s="681"/>
      <c r="BF14" s="681"/>
      <c r="BG14" s="681"/>
      <c r="BH14" s="681"/>
      <c r="BI14" s="682"/>
      <c r="BJ14" s="639"/>
      <c r="BK14" s="640"/>
      <c r="BL14" s="640"/>
      <c r="BM14" s="640"/>
      <c r="BN14" s="640"/>
      <c r="BO14" s="683"/>
      <c r="BP14" s="670"/>
      <c r="BQ14" s="671"/>
      <c r="BR14" s="671"/>
      <c r="BS14" s="671"/>
      <c r="BT14" s="671"/>
      <c r="BU14" s="672"/>
      <c r="BV14" s="636"/>
      <c r="BW14" s="637"/>
      <c r="BX14" s="637"/>
      <c r="BY14" s="637"/>
      <c r="BZ14" s="637"/>
      <c r="CA14" s="638"/>
      <c r="CB14" s="639"/>
      <c r="CC14" s="640"/>
      <c r="CD14" s="640"/>
      <c r="CE14" s="640"/>
      <c r="CF14" s="640"/>
      <c r="CG14" s="641"/>
    </row>
    <row r="15" spans="1:85" ht="9.75" customHeight="1">
      <c r="A15" s="128">
        <v>12</v>
      </c>
      <c r="B15" s="715"/>
      <c r="C15" s="716"/>
      <c r="D15" s="734" t="s">
        <v>211</v>
      </c>
      <c r="E15" s="740"/>
      <c r="F15" s="740"/>
      <c r="G15" s="740"/>
      <c r="H15" s="740"/>
      <c r="I15" s="740"/>
      <c r="J15" s="740"/>
      <c r="K15" s="740"/>
      <c r="L15" s="740"/>
      <c r="M15" s="741"/>
      <c r="N15" s="675"/>
      <c r="O15" s="676"/>
      <c r="P15" s="676"/>
      <c r="Q15" s="676"/>
      <c r="R15" s="676"/>
      <c r="S15" s="676"/>
      <c r="T15" s="676"/>
      <c r="U15" s="676"/>
      <c r="V15" s="676"/>
      <c r="W15" s="676"/>
      <c r="X15" s="676"/>
      <c r="Y15" s="676"/>
      <c r="Z15" s="677"/>
      <c r="AA15" s="677"/>
      <c r="AB15" s="677"/>
      <c r="AC15" s="677"/>
      <c r="AD15" s="677"/>
      <c r="AE15" s="670"/>
      <c r="AF15" s="678"/>
      <c r="AG15" s="677"/>
      <c r="AH15" s="677"/>
      <c r="AI15" s="677"/>
      <c r="AJ15" s="677"/>
      <c r="AK15" s="677"/>
      <c r="AL15" s="677"/>
      <c r="AM15" s="677"/>
      <c r="AN15" s="677"/>
      <c r="AO15" s="677"/>
      <c r="AP15" s="677"/>
      <c r="AQ15" s="679"/>
      <c r="AR15" s="832"/>
      <c r="AS15" s="833"/>
      <c r="AT15" s="673" t="s">
        <v>427</v>
      </c>
      <c r="AU15" s="673"/>
      <c r="AV15" s="673"/>
      <c r="AW15" s="673"/>
      <c r="AX15" s="673"/>
      <c r="AY15" s="673"/>
      <c r="AZ15" s="673"/>
      <c r="BA15" s="673"/>
      <c r="BB15" s="673"/>
      <c r="BC15" s="674"/>
      <c r="BD15" s="680"/>
      <c r="BE15" s="681"/>
      <c r="BF15" s="681"/>
      <c r="BG15" s="681"/>
      <c r="BH15" s="681"/>
      <c r="BI15" s="682"/>
      <c r="BJ15" s="639"/>
      <c r="BK15" s="640"/>
      <c r="BL15" s="640"/>
      <c r="BM15" s="640"/>
      <c r="BN15" s="640"/>
      <c r="BO15" s="683"/>
      <c r="BP15" s="670"/>
      <c r="BQ15" s="671"/>
      <c r="BR15" s="671"/>
      <c r="BS15" s="671"/>
      <c r="BT15" s="671"/>
      <c r="BU15" s="672"/>
      <c r="BV15" s="636"/>
      <c r="BW15" s="637"/>
      <c r="BX15" s="637"/>
      <c r="BY15" s="637"/>
      <c r="BZ15" s="637"/>
      <c r="CA15" s="638"/>
      <c r="CB15" s="639"/>
      <c r="CC15" s="640"/>
      <c r="CD15" s="640"/>
      <c r="CE15" s="640"/>
      <c r="CF15" s="640"/>
      <c r="CG15" s="641"/>
    </row>
    <row r="16" spans="1:85" ht="9.75" customHeight="1">
      <c r="A16" s="128">
        <v>13</v>
      </c>
      <c r="B16" s="715"/>
      <c r="C16" s="716"/>
      <c r="D16" s="734" t="s">
        <v>212</v>
      </c>
      <c r="E16" s="734"/>
      <c r="F16" s="734"/>
      <c r="G16" s="734"/>
      <c r="H16" s="734"/>
      <c r="I16" s="734"/>
      <c r="J16" s="734"/>
      <c r="K16" s="734"/>
      <c r="L16" s="734"/>
      <c r="M16" s="735"/>
      <c r="N16" s="675"/>
      <c r="O16" s="676"/>
      <c r="P16" s="676"/>
      <c r="Q16" s="676"/>
      <c r="R16" s="676"/>
      <c r="S16" s="676"/>
      <c r="T16" s="676"/>
      <c r="U16" s="676"/>
      <c r="V16" s="676"/>
      <c r="W16" s="676"/>
      <c r="X16" s="676"/>
      <c r="Y16" s="676"/>
      <c r="Z16" s="677"/>
      <c r="AA16" s="677"/>
      <c r="AB16" s="677"/>
      <c r="AC16" s="677"/>
      <c r="AD16" s="677"/>
      <c r="AE16" s="670"/>
      <c r="AF16" s="678"/>
      <c r="AG16" s="677"/>
      <c r="AH16" s="677"/>
      <c r="AI16" s="677"/>
      <c r="AJ16" s="677"/>
      <c r="AK16" s="677"/>
      <c r="AL16" s="677"/>
      <c r="AM16" s="677"/>
      <c r="AN16" s="677"/>
      <c r="AO16" s="677"/>
      <c r="AP16" s="677"/>
      <c r="AQ16" s="679"/>
      <c r="AR16" s="832"/>
      <c r="AS16" s="833"/>
      <c r="AT16" s="673" t="s">
        <v>185</v>
      </c>
      <c r="AU16" s="673"/>
      <c r="AV16" s="673"/>
      <c r="AW16" s="673"/>
      <c r="AX16" s="673"/>
      <c r="AY16" s="673"/>
      <c r="AZ16" s="673"/>
      <c r="BA16" s="673"/>
      <c r="BB16" s="673"/>
      <c r="BC16" s="674"/>
      <c r="BD16" s="680"/>
      <c r="BE16" s="681"/>
      <c r="BF16" s="681"/>
      <c r="BG16" s="681"/>
      <c r="BH16" s="681"/>
      <c r="BI16" s="682"/>
      <c r="BJ16" s="639"/>
      <c r="BK16" s="640"/>
      <c r="BL16" s="640"/>
      <c r="BM16" s="640"/>
      <c r="BN16" s="640"/>
      <c r="BO16" s="683"/>
      <c r="BP16" s="670"/>
      <c r="BQ16" s="671"/>
      <c r="BR16" s="671"/>
      <c r="BS16" s="671"/>
      <c r="BT16" s="671"/>
      <c r="BU16" s="672"/>
      <c r="BV16" s="642"/>
      <c r="BW16" s="643"/>
      <c r="BX16" s="643"/>
      <c r="BY16" s="643"/>
      <c r="BZ16" s="643"/>
      <c r="CA16" s="644"/>
      <c r="CB16" s="645"/>
      <c r="CC16" s="646"/>
      <c r="CD16" s="646"/>
      <c r="CE16" s="646"/>
      <c r="CF16" s="646"/>
      <c r="CG16" s="647"/>
    </row>
    <row r="17" spans="1:119" ht="9.75" customHeight="1">
      <c r="A17" s="128">
        <v>14</v>
      </c>
      <c r="B17" s="715"/>
      <c r="C17" s="716"/>
      <c r="D17" s="673" t="s">
        <v>191</v>
      </c>
      <c r="E17" s="673"/>
      <c r="F17" s="673"/>
      <c r="G17" s="673"/>
      <c r="H17" s="673"/>
      <c r="I17" s="673"/>
      <c r="J17" s="673"/>
      <c r="K17" s="673"/>
      <c r="L17" s="673"/>
      <c r="M17" s="674"/>
      <c r="N17" s="675"/>
      <c r="O17" s="676"/>
      <c r="P17" s="676"/>
      <c r="Q17" s="676"/>
      <c r="R17" s="676"/>
      <c r="S17" s="676"/>
      <c r="T17" s="676"/>
      <c r="U17" s="676"/>
      <c r="V17" s="676"/>
      <c r="W17" s="676"/>
      <c r="X17" s="676"/>
      <c r="Y17" s="676"/>
      <c r="Z17" s="677"/>
      <c r="AA17" s="677"/>
      <c r="AB17" s="677"/>
      <c r="AC17" s="677"/>
      <c r="AD17" s="677"/>
      <c r="AE17" s="670"/>
      <c r="AF17" s="678"/>
      <c r="AG17" s="677"/>
      <c r="AH17" s="677"/>
      <c r="AI17" s="677"/>
      <c r="AJ17" s="677"/>
      <c r="AK17" s="677"/>
      <c r="AL17" s="677"/>
      <c r="AM17" s="677"/>
      <c r="AN17" s="677"/>
      <c r="AO17" s="677"/>
      <c r="AP17" s="677"/>
      <c r="AQ17" s="679"/>
      <c r="AR17" s="832"/>
      <c r="AS17" s="833"/>
      <c r="AT17" s="673" t="s">
        <v>187</v>
      </c>
      <c r="AU17" s="673"/>
      <c r="AV17" s="673"/>
      <c r="AW17" s="673"/>
      <c r="AX17" s="673"/>
      <c r="AY17" s="673"/>
      <c r="AZ17" s="673"/>
      <c r="BA17" s="673"/>
      <c r="BB17" s="673"/>
      <c r="BC17" s="674"/>
      <c r="BD17" s="680"/>
      <c r="BE17" s="681"/>
      <c r="BF17" s="681"/>
      <c r="BG17" s="681"/>
      <c r="BH17" s="681"/>
      <c r="BI17" s="682"/>
      <c r="BJ17" s="639"/>
      <c r="BK17" s="640"/>
      <c r="BL17" s="640"/>
      <c r="BM17" s="640"/>
      <c r="BN17" s="640"/>
      <c r="BO17" s="683"/>
      <c r="BP17" s="670"/>
      <c r="BQ17" s="671"/>
      <c r="BR17" s="671"/>
      <c r="BS17" s="671"/>
      <c r="BT17" s="671"/>
      <c r="BU17" s="672"/>
      <c r="BV17" s="810"/>
      <c r="BW17" s="811"/>
      <c r="BX17" s="811"/>
      <c r="BY17" s="811"/>
      <c r="BZ17" s="811"/>
      <c r="CA17" s="812"/>
      <c r="CB17" s="813"/>
      <c r="CC17" s="814"/>
      <c r="CD17" s="814"/>
      <c r="CE17" s="814"/>
      <c r="CF17" s="814"/>
      <c r="CG17" s="815"/>
    </row>
    <row r="18" spans="1:119" ht="9.75" customHeight="1">
      <c r="A18" s="128">
        <v>15</v>
      </c>
      <c r="B18" s="715"/>
      <c r="C18" s="716"/>
      <c r="D18" s="734" t="s">
        <v>213</v>
      </c>
      <c r="E18" s="740"/>
      <c r="F18" s="740"/>
      <c r="G18" s="740"/>
      <c r="H18" s="740"/>
      <c r="I18" s="740"/>
      <c r="J18" s="740"/>
      <c r="K18" s="740"/>
      <c r="L18" s="740"/>
      <c r="M18" s="741"/>
      <c r="N18" s="675"/>
      <c r="O18" s="676"/>
      <c r="P18" s="676"/>
      <c r="Q18" s="676"/>
      <c r="R18" s="676"/>
      <c r="S18" s="676"/>
      <c r="T18" s="676"/>
      <c r="U18" s="676"/>
      <c r="V18" s="676"/>
      <c r="W18" s="676"/>
      <c r="X18" s="676"/>
      <c r="Y18" s="676"/>
      <c r="Z18" s="677"/>
      <c r="AA18" s="677"/>
      <c r="AB18" s="677"/>
      <c r="AC18" s="677"/>
      <c r="AD18" s="677"/>
      <c r="AE18" s="670"/>
      <c r="AF18" s="678"/>
      <c r="AG18" s="677"/>
      <c r="AH18" s="677"/>
      <c r="AI18" s="677"/>
      <c r="AJ18" s="677"/>
      <c r="AK18" s="677"/>
      <c r="AL18" s="677"/>
      <c r="AM18" s="677"/>
      <c r="AN18" s="677"/>
      <c r="AO18" s="677"/>
      <c r="AP18" s="677"/>
      <c r="AQ18" s="679"/>
      <c r="AR18" s="832"/>
      <c r="AS18" s="833"/>
      <c r="AT18" s="673" t="s">
        <v>183</v>
      </c>
      <c r="AU18" s="673"/>
      <c r="AV18" s="673"/>
      <c r="AW18" s="673"/>
      <c r="AX18" s="673"/>
      <c r="AY18" s="673"/>
      <c r="AZ18" s="673"/>
      <c r="BA18" s="673"/>
      <c r="BB18" s="673"/>
      <c r="BC18" s="674"/>
      <c r="BD18" s="680"/>
      <c r="BE18" s="681"/>
      <c r="BF18" s="681"/>
      <c r="BG18" s="681"/>
      <c r="BH18" s="681"/>
      <c r="BI18" s="682"/>
      <c r="BJ18" s="639"/>
      <c r="BK18" s="640"/>
      <c r="BL18" s="640"/>
      <c r="BM18" s="640"/>
      <c r="BN18" s="640"/>
      <c r="BO18" s="683"/>
      <c r="BP18" s="670"/>
      <c r="BQ18" s="671"/>
      <c r="BR18" s="671"/>
      <c r="BS18" s="671"/>
      <c r="BT18" s="671"/>
      <c r="BU18" s="672"/>
      <c r="BV18" s="636"/>
      <c r="BW18" s="637"/>
      <c r="BX18" s="637"/>
      <c r="BY18" s="637"/>
      <c r="BZ18" s="637"/>
      <c r="CA18" s="638"/>
      <c r="CB18" s="639"/>
      <c r="CC18" s="640"/>
      <c r="CD18" s="640"/>
      <c r="CE18" s="640"/>
      <c r="CF18" s="640"/>
      <c r="CG18" s="641"/>
    </row>
    <row r="19" spans="1:119" ht="9.75" customHeight="1">
      <c r="A19" s="128">
        <v>16</v>
      </c>
      <c r="B19" s="715"/>
      <c r="C19" s="716"/>
      <c r="D19" s="673" t="s">
        <v>186</v>
      </c>
      <c r="E19" s="673"/>
      <c r="F19" s="673"/>
      <c r="G19" s="673"/>
      <c r="H19" s="673"/>
      <c r="I19" s="673"/>
      <c r="J19" s="673"/>
      <c r="K19" s="673"/>
      <c r="L19" s="673"/>
      <c r="M19" s="674"/>
      <c r="N19" s="684"/>
      <c r="O19" s="685"/>
      <c r="P19" s="685"/>
      <c r="Q19" s="685"/>
      <c r="R19" s="685"/>
      <c r="S19" s="685"/>
      <c r="T19" s="676"/>
      <c r="U19" s="676"/>
      <c r="V19" s="676"/>
      <c r="W19" s="676"/>
      <c r="X19" s="676"/>
      <c r="Y19" s="676"/>
      <c r="Z19" s="685"/>
      <c r="AA19" s="685"/>
      <c r="AB19" s="685"/>
      <c r="AC19" s="685"/>
      <c r="AD19" s="685"/>
      <c r="AE19" s="686"/>
      <c r="AF19" s="684"/>
      <c r="AG19" s="685"/>
      <c r="AH19" s="685"/>
      <c r="AI19" s="685"/>
      <c r="AJ19" s="685"/>
      <c r="AK19" s="685"/>
      <c r="AL19" s="677"/>
      <c r="AM19" s="677"/>
      <c r="AN19" s="677"/>
      <c r="AO19" s="677"/>
      <c r="AP19" s="677"/>
      <c r="AQ19" s="679"/>
      <c r="AR19" s="832"/>
      <c r="AS19" s="833"/>
      <c r="AT19" s="673" t="s">
        <v>428</v>
      </c>
      <c r="AU19" s="673"/>
      <c r="AV19" s="673"/>
      <c r="AW19" s="673"/>
      <c r="AX19" s="673"/>
      <c r="AY19" s="673"/>
      <c r="AZ19" s="673"/>
      <c r="BA19" s="673"/>
      <c r="BB19" s="673"/>
      <c r="BC19" s="674"/>
      <c r="BD19" s="680"/>
      <c r="BE19" s="681"/>
      <c r="BF19" s="681"/>
      <c r="BG19" s="681"/>
      <c r="BH19" s="681"/>
      <c r="BI19" s="682"/>
      <c r="BJ19" s="639"/>
      <c r="BK19" s="640"/>
      <c r="BL19" s="640"/>
      <c r="BM19" s="640"/>
      <c r="BN19" s="640"/>
      <c r="BO19" s="683"/>
      <c r="BP19" s="670"/>
      <c r="BQ19" s="671"/>
      <c r="BR19" s="671"/>
      <c r="BS19" s="671"/>
      <c r="BT19" s="671"/>
      <c r="BU19" s="672"/>
      <c r="BV19" s="636"/>
      <c r="BW19" s="637"/>
      <c r="BX19" s="637"/>
      <c r="BY19" s="637"/>
      <c r="BZ19" s="637"/>
      <c r="CA19" s="638"/>
      <c r="CB19" s="639"/>
      <c r="CC19" s="640"/>
      <c r="CD19" s="640"/>
      <c r="CE19" s="640"/>
      <c r="CF19" s="640"/>
      <c r="CG19" s="641"/>
    </row>
    <row r="20" spans="1:119" ht="9.75" customHeight="1">
      <c r="A20" s="128">
        <v>17</v>
      </c>
      <c r="B20" s="715"/>
      <c r="C20" s="716"/>
      <c r="D20" s="673" t="s">
        <v>184</v>
      </c>
      <c r="E20" s="673"/>
      <c r="F20" s="673"/>
      <c r="G20" s="673"/>
      <c r="H20" s="673"/>
      <c r="I20" s="673"/>
      <c r="J20" s="673"/>
      <c r="K20" s="673"/>
      <c r="L20" s="673"/>
      <c r="M20" s="674"/>
      <c r="N20" s="675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7"/>
      <c r="AA20" s="677"/>
      <c r="AB20" s="677"/>
      <c r="AC20" s="677"/>
      <c r="AD20" s="677"/>
      <c r="AE20" s="670"/>
      <c r="AF20" s="678"/>
      <c r="AG20" s="677"/>
      <c r="AH20" s="677"/>
      <c r="AI20" s="677"/>
      <c r="AJ20" s="677"/>
      <c r="AK20" s="677"/>
      <c r="AL20" s="677"/>
      <c r="AM20" s="677"/>
      <c r="AN20" s="677"/>
      <c r="AO20" s="677"/>
      <c r="AP20" s="677"/>
      <c r="AQ20" s="679"/>
      <c r="AR20" s="832"/>
      <c r="AS20" s="833"/>
      <c r="AT20" s="673" t="s">
        <v>188</v>
      </c>
      <c r="AU20" s="673"/>
      <c r="AV20" s="673"/>
      <c r="AW20" s="673"/>
      <c r="AX20" s="673"/>
      <c r="AY20" s="673"/>
      <c r="AZ20" s="673"/>
      <c r="BA20" s="673"/>
      <c r="BB20" s="673"/>
      <c r="BC20" s="674"/>
      <c r="BD20" s="680"/>
      <c r="BE20" s="681"/>
      <c r="BF20" s="681"/>
      <c r="BG20" s="681"/>
      <c r="BH20" s="681"/>
      <c r="BI20" s="682"/>
      <c r="BJ20" s="639"/>
      <c r="BK20" s="640"/>
      <c r="BL20" s="640"/>
      <c r="BM20" s="640"/>
      <c r="BN20" s="640"/>
      <c r="BO20" s="683"/>
      <c r="BP20" s="670"/>
      <c r="BQ20" s="671"/>
      <c r="BR20" s="671"/>
      <c r="BS20" s="671"/>
      <c r="BT20" s="671"/>
      <c r="BU20" s="672"/>
      <c r="BV20" s="636"/>
      <c r="BW20" s="637"/>
      <c r="BX20" s="637"/>
      <c r="BY20" s="637"/>
      <c r="BZ20" s="637"/>
      <c r="CA20" s="638"/>
      <c r="CB20" s="639"/>
      <c r="CC20" s="640"/>
      <c r="CD20" s="640"/>
      <c r="CE20" s="640"/>
      <c r="CF20" s="640"/>
      <c r="CG20" s="641"/>
    </row>
    <row r="21" spans="1:119" ht="9.75" customHeight="1">
      <c r="A21" s="128">
        <v>18</v>
      </c>
      <c r="B21" s="715"/>
      <c r="C21" s="716"/>
      <c r="D21" s="673" t="s">
        <v>90</v>
      </c>
      <c r="E21" s="673"/>
      <c r="F21" s="673"/>
      <c r="G21" s="673"/>
      <c r="H21" s="673"/>
      <c r="I21" s="673"/>
      <c r="J21" s="673"/>
      <c r="K21" s="673"/>
      <c r="L21" s="673"/>
      <c r="M21" s="674"/>
      <c r="N21" s="684"/>
      <c r="O21" s="685"/>
      <c r="P21" s="685"/>
      <c r="Q21" s="685"/>
      <c r="R21" s="685"/>
      <c r="S21" s="685"/>
      <c r="T21" s="676"/>
      <c r="U21" s="676"/>
      <c r="V21" s="676"/>
      <c r="W21" s="676"/>
      <c r="X21" s="676"/>
      <c r="Y21" s="676"/>
      <c r="Z21" s="685"/>
      <c r="AA21" s="685"/>
      <c r="AB21" s="685"/>
      <c r="AC21" s="685"/>
      <c r="AD21" s="685"/>
      <c r="AE21" s="686"/>
      <c r="AF21" s="684"/>
      <c r="AG21" s="685"/>
      <c r="AH21" s="685"/>
      <c r="AI21" s="685"/>
      <c r="AJ21" s="685"/>
      <c r="AK21" s="685"/>
      <c r="AL21" s="677"/>
      <c r="AM21" s="677"/>
      <c r="AN21" s="677"/>
      <c r="AO21" s="677"/>
      <c r="AP21" s="677"/>
      <c r="AQ21" s="679"/>
      <c r="AR21" s="832"/>
      <c r="AS21" s="833"/>
      <c r="AT21" s="673" t="s">
        <v>182</v>
      </c>
      <c r="AU21" s="673"/>
      <c r="AV21" s="673"/>
      <c r="AW21" s="673"/>
      <c r="AX21" s="673"/>
      <c r="AY21" s="673"/>
      <c r="AZ21" s="673"/>
      <c r="BA21" s="673"/>
      <c r="BB21" s="673"/>
      <c r="BC21" s="674"/>
      <c r="BD21" s="680"/>
      <c r="BE21" s="681"/>
      <c r="BF21" s="681"/>
      <c r="BG21" s="681"/>
      <c r="BH21" s="681"/>
      <c r="BI21" s="682"/>
      <c r="BJ21" s="639"/>
      <c r="BK21" s="640"/>
      <c r="BL21" s="640"/>
      <c r="BM21" s="640"/>
      <c r="BN21" s="640"/>
      <c r="BO21" s="683"/>
      <c r="BP21" s="670"/>
      <c r="BQ21" s="671"/>
      <c r="BR21" s="671"/>
      <c r="BS21" s="671"/>
      <c r="BT21" s="671"/>
      <c r="BU21" s="672"/>
      <c r="BV21" s="636"/>
      <c r="BW21" s="637"/>
      <c r="BX21" s="637"/>
      <c r="BY21" s="637"/>
      <c r="BZ21" s="637"/>
      <c r="CA21" s="638"/>
      <c r="CB21" s="639"/>
      <c r="CC21" s="640"/>
      <c r="CD21" s="640"/>
      <c r="CE21" s="640"/>
      <c r="CF21" s="640"/>
      <c r="CG21" s="641"/>
    </row>
    <row r="22" spans="1:119" ht="9.75" customHeight="1">
      <c r="A22" s="128">
        <v>19</v>
      </c>
      <c r="B22" s="715"/>
      <c r="C22" s="716"/>
      <c r="D22" s="695" t="s">
        <v>278</v>
      </c>
      <c r="E22" s="695"/>
      <c r="F22" s="695"/>
      <c r="G22" s="673" t="s">
        <v>91</v>
      </c>
      <c r="H22" s="673"/>
      <c r="I22" s="673"/>
      <c r="J22" s="673"/>
      <c r="K22" s="673"/>
      <c r="L22" s="673"/>
      <c r="M22" s="674"/>
      <c r="N22" s="675"/>
      <c r="O22" s="676"/>
      <c r="P22" s="676"/>
      <c r="Q22" s="676"/>
      <c r="R22" s="676"/>
      <c r="S22" s="676"/>
      <c r="T22" s="676"/>
      <c r="U22" s="676"/>
      <c r="V22" s="676"/>
      <c r="W22" s="676"/>
      <c r="X22" s="676"/>
      <c r="Y22" s="676"/>
      <c r="Z22" s="677"/>
      <c r="AA22" s="677"/>
      <c r="AB22" s="677"/>
      <c r="AC22" s="677"/>
      <c r="AD22" s="677"/>
      <c r="AE22" s="670"/>
      <c r="AF22" s="678"/>
      <c r="AG22" s="677"/>
      <c r="AH22" s="677"/>
      <c r="AI22" s="677"/>
      <c r="AJ22" s="677"/>
      <c r="AK22" s="677"/>
      <c r="AL22" s="677"/>
      <c r="AM22" s="677"/>
      <c r="AN22" s="677"/>
      <c r="AO22" s="677"/>
      <c r="AP22" s="677"/>
      <c r="AQ22" s="679"/>
      <c r="AR22" s="832"/>
      <c r="AS22" s="833"/>
      <c r="AT22" s="673" t="s">
        <v>90</v>
      </c>
      <c r="AU22" s="673"/>
      <c r="AV22" s="673"/>
      <c r="AW22" s="673"/>
      <c r="AX22" s="673"/>
      <c r="AY22" s="673"/>
      <c r="AZ22" s="673"/>
      <c r="BA22" s="673"/>
      <c r="BB22" s="673"/>
      <c r="BC22" s="674"/>
      <c r="BD22" s="680"/>
      <c r="BE22" s="681"/>
      <c r="BF22" s="681"/>
      <c r="BG22" s="681"/>
      <c r="BH22" s="681"/>
      <c r="BI22" s="682"/>
      <c r="BJ22" s="639"/>
      <c r="BK22" s="640"/>
      <c r="BL22" s="640"/>
      <c r="BM22" s="640"/>
      <c r="BN22" s="640"/>
      <c r="BO22" s="683"/>
      <c r="BP22" s="670"/>
      <c r="BQ22" s="671"/>
      <c r="BR22" s="671"/>
      <c r="BS22" s="671"/>
      <c r="BT22" s="671"/>
      <c r="BU22" s="672"/>
      <c r="BV22" s="636"/>
      <c r="BW22" s="637"/>
      <c r="BX22" s="637"/>
      <c r="BY22" s="637"/>
      <c r="BZ22" s="637"/>
      <c r="CA22" s="638"/>
      <c r="CB22" s="639"/>
      <c r="CC22" s="640"/>
      <c r="CD22" s="640"/>
      <c r="CE22" s="640"/>
      <c r="CF22" s="640"/>
      <c r="CG22" s="641"/>
    </row>
    <row r="23" spans="1:119" ht="9.75" customHeight="1">
      <c r="A23" s="128">
        <v>20</v>
      </c>
      <c r="B23" s="715"/>
      <c r="C23" s="716"/>
      <c r="D23" s="695"/>
      <c r="E23" s="695"/>
      <c r="F23" s="695"/>
      <c r="G23" s="673" t="s">
        <v>181</v>
      </c>
      <c r="H23" s="673"/>
      <c r="I23" s="673"/>
      <c r="J23" s="673"/>
      <c r="K23" s="673"/>
      <c r="L23" s="673"/>
      <c r="M23" s="674"/>
      <c r="N23" s="675"/>
      <c r="O23" s="676"/>
      <c r="P23" s="676"/>
      <c r="Q23" s="676"/>
      <c r="R23" s="676"/>
      <c r="S23" s="676"/>
      <c r="T23" s="676"/>
      <c r="U23" s="676"/>
      <c r="V23" s="676"/>
      <c r="W23" s="676"/>
      <c r="X23" s="676"/>
      <c r="Y23" s="676"/>
      <c r="Z23" s="677"/>
      <c r="AA23" s="677"/>
      <c r="AB23" s="677"/>
      <c r="AC23" s="677"/>
      <c r="AD23" s="677"/>
      <c r="AE23" s="670"/>
      <c r="AF23" s="678"/>
      <c r="AG23" s="677"/>
      <c r="AH23" s="677"/>
      <c r="AI23" s="677"/>
      <c r="AJ23" s="677"/>
      <c r="AK23" s="677"/>
      <c r="AL23" s="677"/>
      <c r="AM23" s="677"/>
      <c r="AN23" s="677"/>
      <c r="AO23" s="677"/>
      <c r="AP23" s="677"/>
      <c r="AQ23" s="679"/>
      <c r="AR23" s="832"/>
      <c r="AS23" s="833"/>
      <c r="AT23" s="728" t="s">
        <v>1</v>
      </c>
      <c r="AU23" s="728"/>
      <c r="AV23" s="728"/>
      <c r="AW23" s="673"/>
      <c r="AX23" s="673"/>
      <c r="AY23" s="673"/>
      <c r="AZ23" s="673"/>
      <c r="BA23" s="673"/>
      <c r="BB23" s="673"/>
      <c r="BC23" s="674"/>
      <c r="BD23" s="680"/>
      <c r="BE23" s="681"/>
      <c r="BF23" s="681"/>
      <c r="BG23" s="681"/>
      <c r="BH23" s="681"/>
      <c r="BI23" s="682"/>
      <c r="BJ23" s="670"/>
      <c r="BK23" s="671"/>
      <c r="BL23" s="671"/>
      <c r="BM23" s="671"/>
      <c r="BN23" s="671"/>
      <c r="BO23" s="687"/>
      <c r="BP23" s="670"/>
      <c r="BQ23" s="671"/>
      <c r="BR23" s="671"/>
      <c r="BS23" s="671"/>
      <c r="BT23" s="671"/>
      <c r="BU23" s="672"/>
      <c r="BV23" s="636"/>
      <c r="BW23" s="637"/>
      <c r="BX23" s="637"/>
      <c r="BY23" s="637"/>
      <c r="BZ23" s="637"/>
      <c r="CA23" s="638"/>
      <c r="CB23" s="639"/>
      <c r="CC23" s="640"/>
      <c r="CD23" s="640"/>
      <c r="CE23" s="640"/>
      <c r="CF23" s="640"/>
      <c r="CG23" s="641"/>
    </row>
    <row r="24" spans="1:119" ht="9.75" customHeight="1">
      <c r="A24" s="128">
        <v>21</v>
      </c>
      <c r="B24" s="715"/>
      <c r="C24" s="716"/>
      <c r="D24" s="695"/>
      <c r="E24" s="695"/>
      <c r="F24" s="695"/>
      <c r="G24" s="673" t="s">
        <v>180</v>
      </c>
      <c r="H24" s="673"/>
      <c r="I24" s="673"/>
      <c r="J24" s="673"/>
      <c r="K24" s="673"/>
      <c r="L24" s="673"/>
      <c r="M24" s="674"/>
      <c r="N24" s="675"/>
      <c r="O24" s="676"/>
      <c r="P24" s="676"/>
      <c r="Q24" s="676"/>
      <c r="R24" s="676"/>
      <c r="S24" s="676"/>
      <c r="T24" s="676"/>
      <c r="U24" s="676"/>
      <c r="V24" s="676"/>
      <c r="W24" s="676"/>
      <c r="X24" s="676"/>
      <c r="Y24" s="676"/>
      <c r="Z24" s="677"/>
      <c r="AA24" s="677"/>
      <c r="AB24" s="677"/>
      <c r="AC24" s="677"/>
      <c r="AD24" s="677"/>
      <c r="AE24" s="670"/>
      <c r="AF24" s="678"/>
      <c r="AG24" s="677"/>
      <c r="AH24" s="677"/>
      <c r="AI24" s="677"/>
      <c r="AJ24" s="677"/>
      <c r="AK24" s="677"/>
      <c r="AL24" s="677"/>
      <c r="AM24" s="677"/>
      <c r="AN24" s="677"/>
      <c r="AO24" s="677"/>
      <c r="AP24" s="677"/>
      <c r="AQ24" s="679"/>
      <c r="AR24" s="834"/>
      <c r="AS24" s="835"/>
      <c r="AT24" s="113"/>
      <c r="AU24" s="114"/>
      <c r="AV24" s="115"/>
      <c r="AW24" s="673" t="s">
        <v>254</v>
      </c>
      <c r="AX24" s="673"/>
      <c r="AY24" s="673"/>
      <c r="AZ24" s="673"/>
      <c r="BA24" s="673"/>
      <c r="BB24" s="673"/>
      <c r="BC24" s="674"/>
      <c r="BD24" s="680"/>
      <c r="BE24" s="681"/>
      <c r="BF24" s="681"/>
      <c r="BG24" s="681"/>
      <c r="BH24" s="681"/>
      <c r="BI24" s="682"/>
      <c r="BJ24" s="639"/>
      <c r="BK24" s="640"/>
      <c r="BL24" s="640"/>
      <c r="BM24" s="640"/>
      <c r="BN24" s="640"/>
      <c r="BO24" s="683"/>
      <c r="BP24" s="670"/>
      <c r="BQ24" s="671"/>
      <c r="BR24" s="671"/>
      <c r="BS24" s="671"/>
      <c r="BT24" s="671"/>
      <c r="BU24" s="672"/>
      <c r="BV24" s="636"/>
      <c r="BW24" s="637"/>
      <c r="BX24" s="637"/>
      <c r="BY24" s="637"/>
      <c r="BZ24" s="637"/>
      <c r="CA24" s="638"/>
      <c r="CB24" s="639"/>
      <c r="CC24" s="640"/>
      <c r="CD24" s="640"/>
      <c r="CE24" s="640"/>
      <c r="CF24" s="640"/>
      <c r="CG24" s="641"/>
    </row>
    <row r="25" spans="1:119" ht="9.75" customHeight="1">
      <c r="A25" s="128">
        <v>22</v>
      </c>
      <c r="B25" s="715"/>
      <c r="C25" s="716"/>
      <c r="D25" s="695"/>
      <c r="E25" s="695"/>
      <c r="F25" s="695"/>
      <c r="G25" s="673" t="s">
        <v>90</v>
      </c>
      <c r="H25" s="673"/>
      <c r="I25" s="673"/>
      <c r="J25" s="673"/>
      <c r="K25" s="673"/>
      <c r="L25" s="673"/>
      <c r="M25" s="674"/>
      <c r="N25" s="684"/>
      <c r="O25" s="685"/>
      <c r="P25" s="685"/>
      <c r="Q25" s="685"/>
      <c r="R25" s="685"/>
      <c r="S25" s="685"/>
      <c r="T25" s="676"/>
      <c r="U25" s="676"/>
      <c r="V25" s="676"/>
      <c r="W25" s="676"/>
      <c r="X25" s="676"/>
      <c r="Y25" s="676"/>
      <c r="Z25" s="685"/>
      <c r="AA25" s="685"/>
      <c r="AB25" s="685"/>
      <c r="AC25" s="685"/>
      <c r="AD25" s="685"/>
      <c r="AE25" s="686"/>
      <c r="AF25" s="684"/>
      <c r="AG25" s="685"/>
      <c r="AH25" s="685"/>
      <c r="AI25" s="685"/>
      <c r="AJ25" s="685"/>
      <c r="AK25" s="685"/>
      <c r="AL25" s="677"/>
      <c r="AM25" s="677"/>
      <c r="AN25" s="677"/>
      <c r="AO25" s="677"/>
      <c r="AP25" s="677"/>
      <c r="AQ25" s="679"/>
      <c r="AR25" s="747" t="s">
        <v>18</v>
      </c>
      <c r="AS25" s="748"/>
      <c r="AT25" s="673" t="s">
        <v>229</v>
      </c>
      <c r="AU25" s="673"/>
      <c r="AV25" s="673"/>
      <c r="AW25" s="673"/>
      <c r="AX25" s="673"/>
      <c r="AY25" s="673"/>
      <c r="AZ25" s="673"/>
      <c r="BA25" s="673"/>
      <c r="BB25" s="673"/>
      <c r="BC25" s="674"/>
      <c r="BD25" s="692"/>
      <c r="BE25" s="640"/>
      <c r="BF25" s="640"/>
      <c r="BG25" s="640"/>
      <c r="BH25" s="640"/>
      <c r="BI25" s="683"/>
      <c r="BJ25" s="639"/>
      <c r="BK25" s="640"/>
      <c r="BL25" s="640"/>
      <c r="BM25" s="640"/>
      <c r="BN25" s="640"/>
      <c r="BO25" s="683"/>
      <c r="BP25" s="670"/>
      <c r="BQ25" s="671"/>
      <c r="BR25" s="671"/>
      <c r="BS25" s="671"/>
      <c r="BT25" s="671"/>
      <c r="BU25" s="672"/>
      <c r="BV25" s="636"/>
      <c r="BW25" s="637"/>
      <c r="BX25" s="637"/>
      <c r="BY25" s="637"/>
      <c r="BZ25" s="637"/>
      <c r="CA25" s="638"/>
      <c r="CB25" s="639"/>
      <c r="CC25" s="640"/>
      <c r="CD25" s="640"/>
      <c r="CE25" s="640"/>
      <c r="CF25" s="640"/>
      <c r="CG25" s="641"/>
    </row>
    <row r="26" spans="1:119" ht="9.75" customHeight="1">
      <c r="A26" s="128">
        <v>23</v>
      </c>
      <c r="B26" s="715"/>
      <c r="C26" s="716"/>
      <c r="D26" s="673" t="s">
        <v>1</v>
      </c>
      <c r="E26" s="673"/>
      <c r="F26" s="673"/>
      <c r="G26" s="673"/>
      <c r="H26" s="673"/>
      <c r="I26" s="673"/>
      <c r="J26" s="673"/>
      <c r="K26" s="673"/>
      <c r="L26" s="673"/>
      <c r="M26" s="674"/>
      <c r="N26" s="684"/>
      <c r="O26" s="685"/>
      <c r="P26" s="685"/>
      <c r="Q26" s="685"/>
      <c r="R26" s="685"/>
      <c r="S26" s="685"/>
      <c r="T26" s="677"/>
      <c r="U26" s="677"/>
      <c r="V26" s="677"/>
      <c r="W26" s="677"/>
      <c r="X26" s="677"/>
      <c r="Y26" s="677"/>
      <c r="Z26" s="685"/>
      <c r="AA26" s="685"/>
      <c r="AB26" s="685"/>
      <c r="AC26" s="685"/>
      <c r="AD26" s="685"/>
      <c r="AE26" s="686"/>
      <c r="AF26" s="684"/>
      <c r="AG26" s="685"/>
      <c r="AH26" s="685"/>
      <c r="AI26" s="685"/>
      <c r="AJ26" s="685"/>
      <c r="AK26" s="685"/>
      <c r="AL26" s="677"/>
      <c r="AM26" s="677"/>
      <c r="AN26" s="677"/>
      <c r="AO26" s="677"/>
      <c r="AP26" s="677"/>
      <c r="AQ26" s="679"/>
      <c r="AR26" s="747"/>
      <c r="AS26" s="748"/>
      <c r="AT26" s="673" t="s">
        <v>90</v>
      </c>
      <c r="AU26" s="673"/>
      <c r="AV26" s="673"/>
      <c r="AW26" s="673"/>
      <c r="AX26" s="673"/>
      <c r="AY26" s="673"/>
      <c r="AZ26" s="673"/>
      <c r="BA26" s="673"/>
      <c r="BB26" s="673"/>
      <c r="BC26" s="674"/>
      <c r="BD26" s="680"/>
      <c r="BE26" s="681"/>
      <c r="BF26" s="681"/>
      <c r="BG26" s="681"/>
      <c r="BH26" s="681"/>
      <c r="BI26" s="682"/>
      <c r="BJ26" s="639"/>
      <c r="BK26" s="640"/>
      <c r="BL26" s="640"/>
      <c r="BM26" s="640"/>
      <c r="BN26" s="640"/>
      <c r="BO26" s="683"/>
      <c r="BP26" s="670"/>
      <c r="BQ26" s="671"/>
      <c r="BR26" s="671"/>
      <c r="BS26" s="671"/>
      <c r="BT26" s="671"/>
      <c r="BU26" s="672"/>
      <c r="BV26" s="636"/>
      <c r="BW26" s="637"/>
      <c r="BX26" s="637"/>
      <c r="BY26" s="637"/>
      <c r="BZ26" s="637"/>
      <c r="CA26" s="638"/>
      <c r="CB26" s="639"/>
      <c r="CC26" s="640"/>
      <c r="CD26" s="640"/>
      <c r="CE26" s="640"/>
      <c r="CF26" s="640"/>
      <c r="CG26" s="641"/>
    </row>
    <row r="27" spans="1:119" ht="9.75" customHeight="1">
      <c r="A27" s="128">
        <v>24</v>
      </c>
      <c r="B27" s="715" t="s">
        <v>179</v>
      </c>
      <c r="C27" s="716"/>
      <c r="D27" s="673" t="s">
        <v>178</v>
      </c>
      <c r="E27" s="673"/>
      <c r="F27" s="673"/>
      <c r="G27" s="673"/>
      <c r="H27" s="673"/>
      <c r="I27" s="673"/>
      <c r="J27" s="673"/>
      <c r="K27" s="673"/>
      <c r="L27" s="673"/>
      <c r="M27" s="674"/>
      <c r="N27" s="684"/>
      <c r="O27" s="685"/>
      <c r="P27" s="685"/>
      <c r="Q27" s="685"/>
      <c r="R27" s="685"/>
      <c r="S27" s="685"/>
      <c r="T27" s="676"/>
      <c r="U27" s="676"/>
      <c r="V27" s="676"/>
      <c r="W27" s="676"/>
      <c r="X27" s="676"/>
      <c r="Y27" s="676"/>
      <c r="Z27" s="685"/>
      <c r="AA27" s="685"/>
      <c r="AB27" s="685"/>
      <c r="AC27" s="685"/>
      <c r="AD27" s="685"/>
      <c r="AE27" s="686"/>
      <c r="AF27" s="684"/>
      <c r="AG27" s="685"/>
      <c r="AH27" s="685"/>
      <c r="AI27" s="685"/>
      <c r="AJ27" s="685"/>
      <c r="AK27" s="685"/>
      <c r="AL27" s="677"/>
      <c r="AM27" s="677"/>
      <c r="AN27" s="677"/>
      <c r="AO27" s="677"/>
      <c r="AP27" s="677"/>
      <c r="AQ27" s="679"/>
      <c r="AR27" s="747"/>
      <c r="AS27" s="748"/>
      <c r="AT27" s="728" t="s">
        <v>1</v>
      </c>
      <c r="AU27" s="728"/>
      <c r="AV27" s="728"/>
      <c r="AW27" s="673"/>
      <c r="AX27" s="673"/>
      <c r="AY27" s="673"/>
      <c r="AZ27" s="673"/>
      <c r="BA27" s="673"/>
      <c r="BB27" s="673"/>
      <c r="BC27" s="674"/>
      <c r="BD27" s="680"/>
      <c r="BE27" s="681"/>
      <c r="BF27" s="681"/>
      <c r="BG27" s="681"/>
      <c r="BH27" s="681"/>
      <c r="BI27" s="682"/>
      <c r="BJ27" s="670"/>
      <c r="BK27" s="671"/>
      <c r="BL27" s="671"/>
      <c r="BM27" s="671"/>
      <c r="BN27" s="671"/>
      <c r="BO27" s="687"/>
      <c r="BP27" s="670"/>
      <c r="BQ27" s="671"/>
      <c r="BR27" s="671"/>
      <c r="BS27" s="671"/>
      <c r="BT27" s="671"/>
      <c r="BU27" s="672"/>
      <c r="BV27" s="636"/>
      <c r="BW27" s="637"/>
      <c r="BX27" s="637"/>
      <c r="BY27" s="637"/>
      <c r="BZ27" s="637"/>
      <c r="CA27" s="638"/>
      <c r="CB27" s="639"/>
      <c r="CC27" s="640"/>
      <c r="CD27" s="640"/>
      <c r="CE27" s="640"/>
      <c r="CF27" s="640"/>
      <c r="CG27" s="641"/>
    </row>
    <row r="28" spans="1:119" ht="9.75" customHeight="1">
      <c r="A28" s="128">
        <v>25</v>
      </c>
      <c r="B28" s="715"/>
      <c r="C28" s="716"/>
      <c r="D28" s="673" t="s">
        <v>177</v>
      </c>
      <c r="E28" s="673"/>
      <c r="F28" s="673"/>
      <c r="G28" s="673"/>
      <c r="H28" s="673"/>
      <c r="I28" s="673"/>
      <c r="J28" s="673"/>
      <c r="K28" s="673"/>
      <c r="L28" s="673"/>
      <c r="M28" s="674"/>
      <c r="N28" s="684"/>
      <c r="O28" s="685"/>
      <c r="P28" s="685"/>
      <c r="Q28" s="685"/>
      <c r="R28" s="685"/>
      <c r="S28" s="685"/>
      <c r="T28" s="676"/>
      <c r="U28" s="676"/>
      <c r="V28" s="676"/>
      <c r="W28" s="676"/>
      <c r="X28" s="676"/>
      <c r="Y28" s="676"/>
      <c r="Z28" s="685"/>
      <c r="AA28" s="685"/>
      <c r="AB28" s="685"/>
      <c r="AC28" s="685"/>
      <c r="AD28" s="685"/>
      <c r="AE28" s="686"/>
      <c r="AF28" s="684"/>
      <c r="AG28" s="685"/>
      <c r="AH28" s="685"/>
      <c r="AI28" s="685"/>
      <c r="AJ28" s="685"/>
      <c r="AK28" s="685"/>
      <c r="AL28" s="677"/>
      <c r="AM28" s="677"/>
      <c r="AN28" s="677"/>
      <c r="AO28" s="677"/>
      <c r="AP28" s="677"/>
      <c r="AQ28" s="679"/>
      <c r="AR28" s="747"/>
      <c r="AS28" s="748"/>
      <c r="AT28" s="113"/>
      <c r="AU28" s="114"/>
      <c r="AV28" s="115"/>
      <c r="AW28" s="673" t="s">
        <v>254</v>
      </c>
      <c r="AX28" s="673"/>
      <c r="AY28" s="673"/>
      <c r="AZ28" s="673"/>
      <c r="BA28" s="673"/>
      <c r="BB28" s="673"/>
      <c r="BC28" s="674"/>
      <c r="BD28" s="680"/>
      <c r="BE28" s="681"/>
      <c r="BF28" s="681"/>
      <c r="BG28" s="681"/>
      <c r="BH28" s="681"/>
      <c r="BI28" s="682"/>
      <c r="BJ28" s="639"/>
      <c r="BK28" s="640"/>
      <c r="BL28" s="640"/>
      <c r="BM28" s="640"/>
      <c r="BN28" s="640"/>
      <c r="BO28" s="683"/>
      <c r="BP28" s="670"/>
      <c r="BQ28" s="671"/>
      <c r="BR28" s="671"/>
      <c r="BS28" s="671"/>
      <c r="BT28" s="671"/>
      <c r="BU28" s="672"/>
      <c r="BV28" s="636"/>
      <c r="BW28" s="637"/>
      <c r="BX28" s="637"/>
      <c r="BY28" s="637"/>
      <c r="BZ28" s="637"/>
      <c r="CA28" s="638"/>
      <c r="CB28" s="639"/>
      <c r="CC28" s="640"/>
      <c r="CD28" s="640"/>
      <c r="CE28" s="640"/>
      <c r="CF28" s="640"/>
      <c r="CG28" s="641"/>
    </row>
    <row r="29" spans="1:119" ht="9.75" customHeight="1">
      <c r="A29" s="128">
        <v>26</v>
      </c>
      <c r="B29" s="715"/>
      <c r="C29" s="716"/>
      <c r="D29" s="673" t="s">
        <v>176</v>
      </c>
      <c r="E29" s="673"/>
      <c r="F29" s="673"/>
      <c r="G29" s="673"/>
      <c r="H29" s="673"/>
      <c r="I29" s="673"/>
      <c r="J29" s="673"/>
      <c r="K29" s="673"/>
      <c r="L29" s="673"/>
      <c r="M29" s="674"/>
      <c r="N29" s="684"/>
      <c r="O29" s="685"/>
      <c r="P29" s="685"/>
      <c r="Q29" s="685"/>
      <c r="R29" s="685"/>
      <c r="S29" s="685"/>
      <c r="T29" s="676"/>
      <c r="U29" s="676"/>
      <c r="V29" s="676"/>
      <c r="W29" s="676"/>
      <c r="X29" s="676"/>
      <c r="Y29" s="676"/>
      <c r="Z29" s="685"/>
      <c r="AA29" s="685"/>
      <c r="AB29" s="685"/>
      <c r="AC29" s="685"/>
      <c r="AD29" s="685"/>
      <c r="AE29" s="686"/>
      <c r="AF29" s="684"/>
      <c r="AG29" s="685"/>
      <c r="AH29" s="685"/>
      <c r="AI29" s="685"/>
      <c r="AJ29" s="685"/>
      <c r="AK29" s="685"/>
      <c r="AL29" s="677"/>
      <c r="AM29" s="677"/>
      <c r="AN29" s="677"/>
      <c r="AO29" s="677"/>
      <c r="AP29" s="677"/>
      <c r="AQ29" s="679"/>
      <c r="AR29" s="853" t="s">
        <v>16</v>
      </c>
      <c r="AS29" s="854"/>
      <c r="AT29" s="673" t="s">
        <v>174</v>
      </c>
      <c r="AU29" s="673"/>
      <c r="AV29" s="673"/>
      <c r="AW29" s="673"/>
      <c r="AX29" s="673"/>
      <c r="AY29" s="673"/>
      <c r="AZ29" s="673"/>
      <c r="BA29" s="673"/>
      <c r="BB29" s="673"/>
      <c r="BC29" s="674"/>
      <c r="BD29" s="692"/>
      <c r="BE29" s="640"/>
      <c r="BF29" s="640"/>
      <c r="BG29" s="640"/>
      <c r="BH29" s="640"/>
      <c r="BI29" s="683"/>
      <c r="BJ29" s="639"/>
      <c r="BK29" s="640"/>
      <c r="BL29" s="640"/>
      <c r="BM29" s="640"/>
      <c r="BN29" s="640"/>
      <c r="BO29" s="683"/>
      <c r="BP29" s="670"/>
      <c r="BQ29" s="671"/>
      <c r="BR29" s="671"/>
      <c r="BS29" s="671"/>
      <c r="BT29" s="671"/>
      <c r="BU29" s="672"/>
      <c r="BV29" s="636"/>
      <c r="BW29" s="637"/>
      <c r="BX29" s="637"/>
      <c r="BY29" s="637"/>
      <c r="BZ29" s="637"/>
      <c r="CA29" s="638"/>
      <c r="CB29" s="639"/>
      <c r="CC29" s="640"/>
      <c r="CD29" s="640"/>
      <c r="CE29" s="640"/>
      <c r="CF29" s="640"/>
      <c r="CG29" s="641"/>
    </row>
    <row r="30" spans="1:119" ht="9.75" customHeight="1">
      <c r="A30" s="128">
        <v>27</v>
      </c>
      <c r="B30" s="715"/>
      <c r="C30" s="716"/>
      <c r="D30" s="673" t="s">
        <v>175</v>
      </c>
      <c r="E30" s="673"/>
      <c r="F30" s="673"/>
      <c r="G30" s="673"/>
      <c r="H30" s="673"/>
      <c r="I30" s="673"/>
      <c r="J30" s="673"/>
      <c r="K30" s="673"/>
      <c r="L30" s="673"/>
      <c r="M30" s="674"/>
      <c r="N30" s="684"/>
      <c r="O30" s="685"/>
      <c r="P30" s="685"/>
      <c r="Q30" s="685"/>
      <c r="R30" s="685"/>
      <c r="S30" s="685"/>
      <c r="T30" s="676"/>
      <c r="U30" s="676"/>
      <c r="V30" s="676"/>
      <c r="W30" s="676"/>
      <c r="X30" s="676"/>
      <c r="Y30" s="676"/>
      <c r="Z30" s="685"/>
      <c r="AA30" s="685"/>
      <c r="AB30" s="685"/>
      <c r="AC30" s="685"/>
      <c r="AD30" s="685"/>
      <c r="AE30" s="686"/>
      <c r="AF30" s="684"/>
      <c r="AG30" s="685"/>
      <c r="AH30" s="685"/>
      <c r="AI30" s="685"/>
      <c r="AJ30" s="685"/>
      <c r="AK30" s="685"/>
      <c r="AL30" s="677"/>
      <c r="AM30" s="677"/>
      <c r="AN30" s="677"/>
      <c r="AO30" s="677"/>
      <c r="AP30" s="677"/>
      <c r="AQ30" s="679"/>
      <c r="AR30" s="832"/>
      <c r="AS30" s="833"/>
      <c r="AT30" s="673" t="s">
        <v>173</v>
      </c>
      <c r="AU30" s="673"/>
      <c r="AV30" s="673"/>
      <c r="AW30" s="673"/>
      <c r="AX30" s="673"/>
      <c r="AY30" s="673"/>
      <c r="AZ30" s="673"/>
      <c r="BA30" s="673"/>
      <c r="BB30" s="673"/>
      <c r="BC30" s="674"/>
      <c r="BD30" s="692"/>
      <c r="BE30" s="640"/>
      <c r="BF30" s="640"/>
      <c r="BG30" s="640"/>
      <c r="BH30" s="640"/>
      <c r="BI30" s="683"/>
      <c r="BJ30" s="639"/>
      <c r="BK30" s="640"/>
      <c r="BL30" s="640"/>
      <c r="BM30" s="640"/>
      <c r="BN30" s="640"/>
      <c r="BO30" s="683"/>
      <c r="BP30" s="670"/>
      <c r="BQ30" s="671"/>
      <c r="BR30" s="671"/>
      <c r="BS30" s="671"/>
      <c r="BT30" s="671"/>
      <c r="BU30" s="672"/>
      <c r="BV30" s="636"/>
      <c r="BW30" s="637"/>
      <c r="BX30" s="637"/>
      <c r="BY30" s="637"/>
      <c r="BZ30" s="637"/>
      <c r="CA30" s="638"/>
      <c r="CB30" s="639"/>
      <c r="CC30" s="640"/>
      <c r="CD30" s="640"/>
      <c r="CE30" s="640"/>
      <c r="CF30" s="640"/>
      <c r="CG30" s="641"/>
      <c r="CL30" s="727"/>
      <c r="CM30" s="697"/>
      <c r="CN30" s="697"/>
      <c r="CO30" s="697"/>
      <c r="CP30" s="697"/>
      <c r="CQ30" s="697"/>
      <c r="CR30" s="697"/>
      <c r="CS30" s="697"/>
      <c r="CT30" s="697"/>
      <c r="CU30" s="697"/>
      <c r="CV30" s="697"/>
      <c r="CW30" s="697"/>
      <c r="CX30" s="697"/>
      <c r="CY30" s="697"/>
      <c r="CZ30" s="697"/>
      <c r="DA30" s="697"/>
      <c r="DB30" s="697"/>
      <c r="DC30" s="697"/>
      <c r="DD30" s="697"/>
      <c r="DE30" s="697"/>
      <c r="DF30" s="697"/>
      <c r="DG30" s="697"/>
      <c r="DH30" s="697"/>
      <c r="DI30" s="697"/>
      <c r="DJ30" s="697"/>
      <c r="DK30" s="697"/>
      <c r="DL30" s="697"/>
      <c r="DM30" s="697"/>
      <c r="DN30" s="697"/>
      <c r="DO30" s="697"/>
    </row>
    <row r="31" spans="1:119" ht="9.75" customHeight="1">
      <c r="A31" s="128">
        <v>28</v>
      </c>
      <c r="B31" s="715"/>
      <c r="C31" s="716"/>
      <c r="D31" s="673" t="s">
        <v>90</v>
      </c>
      <c r="E31" s="673"/>
      <c r="F31" s="673"/>
      <c r="G31" s="673"/>
      <c r="H31" s="673"/>
      <c r="I31" s="673"/>
      <c r="J31" s="673"/>
      <c r="K31" s="673"/>
      <c r="L31" s="673"/>
      <c r="M31" s="674"/>
      <c r="N31" s="684"/>
      <c r="O31" s="685"/>
      <c r="P31" s="685"/>
      <c r="Q31" s="685"/>
      <c r="R31" s="685"/>
      <c r="S31" s="685"/>
      <c r="T31" s="676"/>
      <c r="U31" s="676"/>
      <c r="V31" s="676"/>
      <c r="W31" s="676"/>
      <c r="X31" s="676"/>
      <c r="Y31" s="676"/>
      <c r="Z31" s="685"/>
      <c r="AA31" s="685"/>
      <c r="AB31" s="685"/>
      <c r="AC31" s="685"/>
      <c r="AD31" s="685"/>
      <c r="AE31" s="686"/>
      <c r="AF31" s="684"/>
      <c r="AG31" s="685"/>
      <c r="AH31" s="685"/>
      <c r="AI31" s="685"/>
      <c r="AJ31" s="685"/>
      <c r="AK31" s="685"/>
      <c r="AL31" s="677"/>
      <c r="AM31" s="677"/>
      <c r="AN31" s="677"/>
      <c r="AO31" s="677"/>
      <c r="AP31" s="677"/>
      <c r="AQ31" s="679"/>
      <c r="AR31" s="832"/>
      <c r="AS31" s="833"/>
      <c r="AT31" s="673" t="s">
        <v>169</v>
      </c>
      <c r="AU31" s="673"/>
      <c r="AV31" s="673"/>
      <c r="AW31" s="673"/>
      <c r="AX31" s="673"/>
      <c r="AY31" s="673"/>
      <c r="AZ31" s="673"/>
      <c r="BA31" s="673"/>
      <c r="BB31" s="673"/>
      <c r="BC31" s="674"/>
      <c r="BD31" s="692"/>
      <c r="BE31" s="640"/>
      <c r="BF31" s="640"/>
      <c r="BG31" s="640"/>
      <c r="BH31" s="640"/>
      <c r="BI31" s="683"/>
      <c r="BJ31" s="639"/>
      <c r="BK31" s="640"/>
      <c r="BL31" s="640"/>
      <c r="BM31" s="640"/>
      <c r="BN31" s="640"/>
      <c r="BO31" s="683"/>
      <c r="BP31" s="670"/>
      <c r="BQ31" s="671"/>
      <c r="BR31" s="671"/>
      <c r="BS31" s="671"/>
      <c r="BT31" s="671"/>
      <c r="BU31" s="672"/>
      <c r="BV31" s="636"/>
      <c r="BW31" s="637"/>
      <c r="BX31" s="637"/>
      <c r="BY31" s="637"/>
      <c r="BZ31" s="637"/>
      <c r="CA31" s="638"/>
      <c r="CB31" s="639"/>
      <c r="CC31" s="640"/>
      <c r="CD31" s="640"/>
      <c r="CE31" s="640"/>
      <c r="CF31" s="640"/>
      <c r="CG31" s="641"/>
      <c r="CL31" s="697"/>
      <c r="CM31" s="697"/>
      <c r="CN31" s="697"/>
      <c r="CO31" s="697"/>
      <c r="CP31" s="697"/>
      <c r="CQ31" s="697"/>
      <c r="CR31" s="697"/>
      <c r="CS31" s="697"/>
      <c r="CT31" s="697"/>
      <c r="CU31" s="697"/>
      <c r="CV31" s="697"/>
      <c r="CW31" s="697"/>
      <c r="CX31" s="697"/>
      <c r="CY31" s="697"/>
      <c r="CZ31" s="697"/>
      <c r="DA31" s="697"/>
      <c r="DB31" s="697"/>
      <c r="DC31" s="697"/>
      <c r="DD31" s="652"/>
      <c r="DE31" s="652"/>
      <c r="DF31" s="652"/>
      <c r="DG31" s="652"/>
      <c r="DH31" s="652"/>
      <c r="DI31" s="652"/>
      <c r="DJ31" s="652"/>
      <c r="DK31" s="652"/>
      <c r="DL31" s="652"/>
      <c r="DM31" s="652"/>
      <c r="DN31" s="652"/>
      <c r="DO31" s="652"/>
    </row>
    <row r="32" spans="1:119" ht="9.75" customHeight="1">
      <c r="A32" s="128">
        <v>29</v>
      </c>
      <c r="B32" s="715"/>
      <c r="C32" s="716"/>
      <c r="D32" s="673" t="s">
        <v>1</v>
      </c>
      <c r="E32" s="673"/>
      <c r="F32" s="673"/>
      <c r="G32" s="673"/>
      <c r="H32" s="673"/>
      <c r="I32" s="673"/>
      <c r="J32" s="673"/>
      <c r="K32" s="673"/>
      <c r="L32" s="673"/>
      <c r="M32" s="674"/>
      <c r="N32" s="684"/>
      <c r="O32" s="685"/>
      <c r="P32" s="685"/>
      <c r="Q32" s="685"/>
      <c r="R32" s="685"/>
      <c r="S32" s="685"/>
      <c r="T32" s="677"/>
      <c r="U32" s="677"/>
      <c r="V32" s="677"/>
      <c r="W32" s="677"/>
      <c r="X32" s="677"/>
      <c r="Y32" s="677"/>
      <c r="Z32" s="685"/>
      <c r="AA32" s="685"/>
      <c r="AB32" s="685"/>
      <c r="AC32" s="685"/>
      <c r="AD32" s="685"/>
      <c r="AE32" s="686"/>
      <c r="AF32" s="684"/>
      <c r="AG32" s="685"/>
      <c r="AH32" s="685"/>
      <c r="AI32" s="685"/>
      <c r="AJ32" s="685"/>
      <c r="AK32" s="685"/>
      <c r="AL32" s="677"/>
      <c r="AM32" s="677"/>
      <c r="AN32" s="677"/>
      <c r="AO32" s="677"/>
      <c r="AP32" s="677"/>
      <c r="AQ32" s="679"/>
      <c r="AR32" s="832"/>
      <c r="AS32" s="833"/>
      <c r="AT32" s="718" t="s">
        <v>227</v>
      </c>
      <c r="AU32" s="719"/>
      <c r="AV32" s="720"/>
      <c r="AW32" s="673" t="s">
        <v>167</v>
      </c>
      <c r="AX32" s="673"/>
      <c r="AY32" s="673"/>
      <c r="AZ32" s="673"/>
      <c r="BA32" s="673"/>
      <c r="BB32" s="673"/>
      <c r="BC32" s="674"/>
      <c r="BD32" s="692"/>
      <c r="BE32" s="640"/>
      <c r="BF32" s="640"/>
      <c r="BG32" s="640"/>
      <c r="BH32" s="640"/>
      <c r="BI32" s="683"/>
      <c r="BJ32" s="639"/>
      <c r="BK32" s="640"/>
      <c r="BL32" s="640"/>
      <c r="BM32" s="640"/>
      <c r="BN32" s="640"/>
      <c r="BO32" s="683"/>
      <c r="BP32" s="670"/>
      <c r="BQ32" s="671"/>
      <c r="BR32" s="671"/>
      <c r="BS32" s="671"/>
      <c r="BT32" s="671"/>
      <c r="BU32" s="672"/>
      <c r="BV32" s="636"/>
      <c r="BW32" s="637"/>
      <c r="BX32" s="637"/>
      <c r="BY32" s="637"/>
      <c r="BZ32" s="637"/>
      <c r="CA32" s="638"/>
      <c r="CB32" s="639"/>
      <c r="CC32" s="640"/>
      <c r="CD32" s="640"/>
      <c r="CE32" s="640"/>
      <c r="CF32" s="640"/>
      <c r="CG32" s="641"/>
      <c r="CL32" s="717"/>
      <c r="CM32" s="717"/>
      <c r="CN32" s="648"/>
      <c r="CO32" s="648"/>
      <c r="CP32" s="648"/>
      <c r="CQ32" s="648"/>
      <c r="CR32" s="648"/>
      <c r="CS32" s="648"/>
      <c r="CT32" s="648"/>
      <c r="CU32" s="648"/>
      <c r="CV32" s="648"/>
      <c r="CW32" s="648"/>
      <c r="CX32" s="714"/>
      <c r="CY32" s="714"/>
      <c r="CZ32" s="714"/>
      <c r="DA32" s="714"/>
      <c r="DB32" s="714"/>
      <c r="DC32" s="714"/>
      <c r="DD32" s="650"/>
      <c r="DE32" s="650"/>
      <c r="DF32" s="650"/>
      <c r="DG32" s="650"/>
      <c r="DH32" s="650"/>
      <c r="DI32" s="650"/>
      <c r="DJ32" s="651"/>
      <c r="DK32" s="651"/>
      <c r="DL32" s="651"/>
      <c r="DM32" s="651"/>
      <c r="DN32" s="651"/>
      <c r="DO32" s="651"/>
    </row>
    <row r="33" spans="1:119" ht="9.75" customHeight="1">
      <c r="A33" s="128">
        <v>30</v>
      </c>
      <c r="B33" s="715" t="s">
        <v>172</v>
      </c>
      <c r="C33" s="716"/>
      <c r="D33" s="694" t="s">
        <v>171</v>
      </c>
      <c r="E33" s="694"/>
      <c r="F33" s="694"/>
      <c r="G33" s="673" t="s">
        <v>170</v>
      </c>
      <c r="H33" s="673"/>
      <c r="I33" s="673"/>
      <c r="J33" s="673"/>
      <c r="K33" s="673"/>
      <c r="L33" s="673"/>
      <c r="M33" s="674"/>
      <c r="N33" s="675"/>
      <c r="O33" s="676"/>
      <c r="P33" s="676"/>
      <c r="Q33" s="676"/>
      <c r="R33" s="676"/>
      <c r="S33" s="676"/>
      <c r="T33" s="676"/>
      <c r="U33" s="676"/>
      <c r="V33" s="676"/>
      <c r="W33" s="676"/>
      <c r="X33" s="676"/>
      <c r="Y33" s="676"/>
      <c r="Z33" s="677"/>
      <c r="AA33" s="677"/>
      <c r="AB33" s="677"/>
      <c r="AC33" s="677"/>
      <c r="AD33" s="677"/>
      <c r="AE33" s="670"/>
      <c r="AF33" s="678"/>
      <c r="AG33" s="677"/>
      <c r="AH33" s="677"/>
      <c r="AI33" s="677"/>
      <c r="AJ33" s="677"/>
      <c r="AK33" s="677"/>
      <c r="AL33" s="677"/>
      <c r="AM33" s="677"/>
      <c r="AN33" s="677"/>
      <c r="AO33" s="677"/>
      <c r="AP33" s="677"/>
      <c r="AQ33" s="679"/>
      <c r="AR33" s="832"/>
      <c r="AS33" s="833"/>
      <c r="AT33" s="721"/>
      <c r="AU33" s="722"/>
      <c r="AV33" s="723"/>
      <c r="AW33" s="673" t="s">
        <v>165</v>
      </c>
      <c r="AX33" s="673"/>
      <c r="AY33" s="673"/>
      <c r="AZ33" s="673"/>
      <c r="BA33" s="673"/>
      <c r="BB33" s="673"/>
      <c r="BC33" s="674"/>
      <c r="BD33" s="692"/>
      <c r="BE33" s="640"/>
      <c r="BF33" s="640"/>
      <c r="BG33" s="640"/>
      <c r="BH33" s="640"/>
      <c r="BI33" s="683"/>
      <c r="BJ33" s="639"/>
      <c r="BK33" s="640"/>
      <c r="BL33" s="640"/>
      <c r="BM33" s="640"/>
      <c r="BN33" s="640"/>
      <c r="BO33" s="683"/>
      <c r="BP33" s="670"/>
      <c r="BQ33" s="671"/>
      <c r="BR33" s="671"/>
      <c r="BS33" s="671"/>
      <c r="BT33" s="671"/>
      <c r="BU33" s="672"/>
      <c r="BV33" s="636"/>
      <c r="BW33" s="637"/>
      <c r="BX33" s="637"/>
      <c r="BY33" s="637"/>
      <c r="BZ33" s="637"/>
      <c r="CA33" s="638"/>
      <c r="CB33" s="639"/>
      <c r="CC33" s="640"/>
      <c r="CD33" s="640"/>
      <c r="CE33" s="640"/>
      <c r="CF33" s="640"/>
      <c r="CG33" s="641"/>
      <c r="CL33" s="717"/>
      <c r="CM33" s="717"/>
      <c r="CN33" s="648"/>
      <c r="CO33" s="648"/>
      <c r="CP33" s="648"/>
      <c r="CQ33" s="648"/>
      <c r="CR33" s="648"/>
      <c r="CS33" s="648"/>
      <c r="CT33" s="648"/>
      <c r="CU33" s="648"/>
      <c r="CV33" s="648"/>
      <c r="CW33" s="648"/>
      <c r="CX33" s="714"/>
      <c r="CY33" s="714"/>
      <c r="CZ33" s="714"/>
      <c r="DA33" s="714"/>
      <c r="DB33" s="714"/>
      <c r="DC33" s="714"/>
      <c r="DD33" s="650"/>
      <c r="DE33" s="650"/>
      <c r="DF33" s="650"/>
      <c r="DG33" s="650"/>
      <c r="DH33" s="650"/>
      <c r="DI33" s="650"/>
      <c r="DJ33" s="651"/>
      <c r="DK33" s="651"/>
      <c r="DL33" s="651"/>
      <c r="DM33" s="651"/>
      <c r="DN33" s="651"/>
      <c r="DO33" s="651"/>
    </row>
    <row r="34" spans="1:119" ht="9.75" customHeight="1">
      <c r="A34" s="128">
        <v>31</v>
      </c>
      <c r="B34" s="715"/>
      <c r="C34" s="716"/>
      <c r="D34" s="694"/>
      <c r="E34" s="694"/>
      <c r="F34" s="694"/>
      <c r="G34" s="673" t="s">
        <v>168</v>
      </c>
      <c r="H34" s="673"/>
      <c r="I34" s="673"/>
      <c r="J34" s="673"/>
      <c r="K34" s="673"/>
      <c r="L34" s="673"/>
      <c r="M34" s="674"/>
      <c r="N34" s="675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7"/>
      <c r="AA34" s="677"/>
      <c r="AB34" s="677"/>
      <c r="AC34" s="677"/>
      <c r="AD34" s="677"/>
      <c r="AE34" s="670"/>
      <c r="AF34" s="678"/>
      <c r="AG34" s="677"/>
      <c r="AH34" s="677"/>
      <c r="AI34" s="677"/>
      <c r="AJ34" s="677"/>
      <c r="AK34" s="677"/>
      <c r="AL34" s="677"/>
      <c r="AM34" s="677"/>
      <c r="AN34" s="677"/>
      <c r="AO34" s="677"/>
      <c r="AP34" s="677"/>
      <c r="AQ34" s="679"/>
      <c r="AR34" s="832"/>
      <c r="AS34" s="833"/>
      <c r="AT34" s="721"/>
      <c r="AU34" s="722"/>
      <c r="AV34" s="723"/>
      <c r="AW34" s="673" t="s">
        <v>429</v>
      </c>
      <c r="AX34" s="673"/>
      <c r="AY34" s="673"/>
      <c r="AZ34" s="673"/>
      <c r="BA34" s="673"/>
      <c r="BB34" s="673"/>
      <c r="BC34" s="674"/>
      <c r="BD34" s="692"/>
      <c r="BE34" s="640"/>
      <c r="BF34" s="640"/>
      <c r="BG34" s="640"/>
      <c r="BH34" s="640"/>
      <c r="BI34" s="683"/>
      <c r="BJ34" s="639"/>
      <c r="BK34" s="640"/>
      <c r="BL34" s="640"/>
      <c r="BM34" s="640"/>
      <c r="BN34" s="640"/>
      <c r="BO34" s="683"/>
      <c r="BP34" s="670"/>
      <c r="BQ34" s="671"/>
      <c r="BR34" s="671"/>
      <c r="BS34" s="671"/>
      <c r="BT34" s="671"/>
      <c r="BU34" s="672"/>
      <c r="BV34" s="636"/>
      <c r="BW34" s="637"/>
      <c r="BX34" s="637"/>
      <c r="BY34" s="637"/>
      <c r="BZ34" s="637"/>
      <c r="CA34" s="638"/>
      <c r="CB34" s="639"/>
      <c r="CC34" s="640"/>
      <c r="CD34" s="640"/>
      <c r="CE34" s="640"/>
      <c r="CF34" s="640"/>
      <c r="CG34" s="641"/>
      <c r="CL34" s="717"/>
      <c r="CM34" s="717"/>
      <c r="CN34" s="648"/>
      <c r="CO34" s="648"/>
      <c r="CP34" s="648"/>
      <c r="CQ34" s="648"/>
      <c r="CR34" s="648"/>
      <c r="CS34" s="648"/>
      <c r="CT34" s="648"/>
      <c r="CU34" s="648"/>
      <c r="CV34" s="648"/>
      <c r="CW34" s="648"/>
      <c r="CX34" s="714"/>
      <c r="CY34" s="714"/>
      <c r="CZ34" s="714"/>
      <c r="DA34" s="714"/>
      <c r="DB34" s="714"/>
      <c r="DC34" s="714"/>
      <c r="DD34" s="650"/>
      <c r="DE34" s="650"/>
      <c r="DF34" s="650"/>
      <c r="DG34" s="650"/>
      <c r="DH34" s="650"/>
      <c r="DI34" s="650"/>
      <c r="DJ34" s="651"/>
      <c r="DK34" s="651"/>
      <c r="DL34" s="651"/>
      <c r="DM34" s="651"/>
      <c r="DN34" s="651"/>
      <c r="DO34" s="651"/>
    </row>
    <row r="35" spans="1:119" ht="9.75" customHeight="1">
      <c r="A35" s="128">
        <v>32</v>
      </c>
      <c r="B35" s="715"/>
      <c r="C35" s="716"/>
      <c r="D35" s="694"/>
      <c r="E35" s="694"/>
      <c r="F35" s="694"/>
      <c r="G35" s="673" t="s">
        <v>166</v>
      </c>
      <c r="H35" s="673"/>
      <c r="I35" s="673"/>
      <c r="J35" s="673"/>
      <c r="K35" s="673"/>
      <c r="L35" s="673"/>
      <c r="M35" s="674"/>
      <c r="N35" s="675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7"/>
      <c r="AA35" s="677"/>
      <c r="AB35" s="677"/>
      <c r="AC35" s="677"/>
      <c r="AD35" s="677"/>
      <c r="AE35" s="670"/>
      <c r="AF35" s="678"/>
      <c r="AG35" s="677"/>
      <c r="AH35" s="677"/>
      <c r="AI35" s="677"/>
      <c r="AJ35" s="677"/>
      <c r="AK35" s="677"/>
      <c r="AL35" s="677"/>
      <c r="AM35" s="677"/>
      <c r="AN35" s="677"/>
      <c r="AO35" s="677"/>
      <c r="AP35" s="677"/>
      <c r="AQ35" s="679"/>
      <c r="AR35" s="832"/>
      <c r="AS35" s="833"/>
      <c r="AT35" s="721"/>
      <c r="AU35" s="722"/>
      <c r="AV35" s="723"/>
      <c r="AW35" s="673" t="s">
        <v>430</v>
      </c>
      <c r="AX35" s="673"/>
      <c r="AY35" s="673"/>
      <c r="AZ35" s="673"/>
      <c r="BA35" s="673"/>
      <c r="BB35" s="673"/>
      <c r="BC35" s="674"/>
      <c r="BD35" s="692"/>
      <c r="BE35" s="640"/>
      <c r="BF35" s="640"/>
      <c r="BG35" s="640"/>
      <c r="BH35" s="640"/>
      <c r="BI35" s="683"/>
      <c r="BJ35" s="639"/>
      <c r="BK35" s="640"/>
      <c r="BL35" s="640"/>
      <c r="BM35" s="640"/>
      <c r="BN35" s="640"/>
      <c r="BO35" s="683"/>
      <c r="BP35" s="670"/>
      <c r="BQ35" s="671"/>
      <c r="BR35" s="671"/>
      <c r="BS35" s="671"/>
      <c r="BT35" s="671"/>
      <c r="BU35" s="672"/>
      <c r="BV35" s="636"/>
      <c r="BW35" s="637"/>
      <c r="BX35" s="637"/>
      <c r="BY35" s="637"/>
      <c r="BZ35" s="637"/>
      <c r="CA35" s="638"/>
      <c r="CB35" s="639"/>
      <c r="CC35" s="640"/>
      <c r="CD35" s="640"/>
      <c r="CE35" s="640"/>
      <c r="CF35" s="640"/>
      <c r="CG35" s="641"/>
      <c r="CL35" s="717"/>
      <c r="CM35" s="717"/>
      <c r="CN35" s="648"/>
      <c r="CO35" s="648"/>
      <c r="CP35" s="648"/>
      <c r="CQ35" s="648"/>
      <c r="CR35" s="648"/>
      <c r="CS35" s="648"/>
      <c r="CT35" s="648"/>
      <c r="CU35" s="648"/>
      <c r="CV35" s="648"/>
      <c r="CW35" s="648"/>
      <c r="CX35" s="714"/>
      <c r="CY35" s="714"/>
      <c r="CZ35" s="714"/>
      <c r="DA35" s="714"/>
      <c r="DB35" s="714"/>
      <c r="DC35" s="714"/>
      <c r="DD35" s="650"/>
      <c r="DE35" s="650"/>
      <c r="DF35" s="650"/>
      <c r="DG35" s="650"/>
      <c r="DH35" s="650"/>
      <c r="DI35" s="650"/>
      <c r="DJ35" s="651"/>
      <c r="DK35" s="651"/>
      <c r="DL35" s="651"/>
      <c r="DM35" s="651"/>
      <c r="DN35" s="651"/>
      <c r="DO35" s="651"/>
    </row>
    <row r="36" spans="1:119" ht="9.75" customHeight="1">
      <c r="A36" s="128">
        <v>33</v>
      </c>
      <c r="B36" s="715"/>
      <c r="C36" s="716"/>
      <c r="D36" s="694"/>
      <c r="E36" s="694"/>
      <c r="F36" s="694"/>
      <c r="G36" s="673" t="s">
        <v>255</v>
      </c>
      <c r="H36" s="673"/>
      <c r="I36" s="673"/>
      <c r="J36" s="673"/>
      <c r="K36" s="673"/>
      <c r="L36" s="673"/>
      <c r="M36" s="674"/>
      <c r="N36" s="675"/>
      <c r="O36" s="676"/>
      <c r="P36" s="676"/>
      <c r="Q36" s="676"/>
      <c r="R36" s="676"/>
      <c r="S36" s="676"/>
      <c r="T36" s="676"/>
      <c r="U36" s="676"/>
      <c r="V36" s="676"/>
      <c r="W36" s="676"/>
      <c r="X36" s="676"/>
      <c r="Y36" s="676"/>
      <c r="Z36" s="677"/>
      <c r="AA36" s="677"/>
      <c r="AB36" s="677"/>
      <c r="AC36" s="677"/>
      <c r="AD36" s="677"/>
      <c r="AE36" s="670"/>
      <c r="AF36" s="678"/>
      <c r="AG36" s="677"/>
      <c r="AH36" s="677"/>
      <c r="AI36" s="677"/>
      <c r="AJ36" s="677"/>
      <c r="AK36" s="677"/>
      <c r="AL36" s="677"/>
      <c r="AM36" s="677"/>
      <c r="AN36" s="677"/>
      <c r="AO36" s="677"/>
      <c r="AP36" s="677"/>
      <c r="AQ36" s="679"/>
      <c r="AR36" s="832"/>
      <c r="AS36" s="833"/>
      <c r="AT36" s="724"/>
      <c r="AU36" s="725"/>
      <c r="AV36" s="726"/>
      <c r="AW36" s="673" t="s">
        <v>438</v>
      </c>
      <c r="AX36" s="673"/>
      <c r="AY36" s="673"/>
      <c r="AZ36" s="673"/>
      <c r="BA36" s="673"/>
      <c r="BB36" s="673"/>
      <c r="BC36" s="674"/>
      <c r="BD36" s="692"/>
      <c r="BE36" s="640"/>
      <c r="BF36" s="640"/>
      <c r="BG36" s="640"/>
      <c r="BH36" s="640"/>
      <c r="BI36" s="683"/>
      <c r="BJ36" s="639"/>
      <c r="BK36" s="640"/>
      <c r="BL36" s="640"/>
      <c r="BM36" s="640"/>
      <c r="BN36" s="640"/>
      <c r="BO36" s="683"/>
      <c r="BP36" s="670"/>
      <c r="BQ36" s="671"/>
      <c r="BR36" s="671"/>
      <c r="BS36" s="671"/>
      <c r="BT36" s="671"/>
      <c r="BU36" s="672"/>
      <c r="BV36" s="636"/>
      <c r="BW36" s="637"/>
      <c r="BX36" s="637"/>
      <c r="BY36" s="637"/>
      <c r="BZ36" s="637"/>
      <c r="CA36" s="638"/>
      <c r="CB36" s="639"/>
      <c r="CC36" s="640"/>
      <c r="CD36" s="640"/>
      <c r="CE36" s="640"/>
      <c r="CF36" s="640"/>
      <c r="CG36" s="641"/>
      <c r="CL36" s="717"/>
      <c r="CM36" s="717"/>
      <c r="CN36" s="648"/>
      <c r="CO36" s="648"/>
      <c r="CP36" s="648"/>
      <c r="CQ36" s="648"/>
      <c r="CR36" s="648"/>
      <c r="CS36" s="648"/>
      <c r="CT36" s="648"/>
      <c r="CU36" s="648"/>
      <c r="CV36" s="648"/>
      <c r="CW36" s="648"/>
      <c r="CX36" s="714"/>
      <c r="CY36" s="714"/>
      <c r="CZ36" s="714"/>
      <c r="DA36" s="714"/>
      <c r="DB36" s="714"/>
      <c r="DC36" s="714"/>
      <c r="DD36" s="650"/>
      <c r="DE36" s="650"/>
      <c r="DF36" s="650"/>
      <c r="DG36" s="650"/>
      <c r="DH36" s="650"/>
      <c r="DI36" s="650"/>
      <c r="DJ36" s="651"/>
      <c r="DK36" s="651"/>
      <c r="DL36" s="651"/>
      <c r="DM36" s="651"/>
      <c r="DN36" s="651"/>
      <c r="DO36" s="651"/>
    </row>
    <row r="37" spans="1:119" ht="9.75" customHeight="1">
      <c r="A37" s="128">
        <v>34</v>
      </c>
      <c r="B37" s="715"/>
      <c r="C37" s="716"/>
      <c r="D37" s="694"/>
      <c r="E37" s="694"/>
      <c r="F37" s="694"/>
      <c r="G37" s="673" t="s">
        <v>164</v>
      </c>
      <c r="H37" s="673"/>
      <c r="I37" s="673"/>
      <c r="J37" s="673"/>
      <c r="K37" s="673"/>
      <c r="L37" s="673"/>
      <c r="M37" s="674"/>
      <c r="N37" s="675"/>
      <c r="O37" s="676"/>
      <c r="P37" s="676"/>
      <c r="Q37" s="676"/>
      <c r="R37" s="676"/>
      <c r="S37" s="676"/>
      <c r="T37" s="676"/>
      <c r="U37" s="676"/>
      <c r="V37" s="676"/>
      <c r="W37" s="676"/>
      <c r="X37" s="676"/>
      <c r="Y37" s="676"/>
      <c r="Z37" s="677"/>
      <c r="AA37" s="677"/>
      <c r="AB37" s="677"/>
      <c r="AC37" s="677"/>
      <c r="AD37" s="677"/>
      <c r="AE37" s="670"/>
      <c r="AF37" s="678"/>
      <c r="AG37" s="677"/>
      <c r="AH37" s="677"/>
      <c r="AI37" s="677"/>
      <c r="AJ37" s="677"/>
      <c r="AK37" s="677"/>
      <c r="AL37" s="677"/>
      <c r="AM37" s="677"/>
      <c r="AN37" s="677"/>
      <c r="AO37" s="677"/>
      <c r="AP37" s="677"/>
      <c r="AQ37" s="679"/>
      <c r="AR37" s="832"/>
      <c r="AS37" s="833"/>
      <c r="AT37" s="696" t="s">
        <v>163</v>
      </c>
      <c r="AU37" s="696"/>
      <c r="AV37" s="696"/>
      <c r="AW37" s="696"/>
      <c r="AX37" s="696"/>
      <c r="AY37" s="696"/>
      <c r="AZ37" s="696"/>
      <c r="BA37" s="696"/>
      <c r="BB37" s="696"/>
      <c r="BC37" s="865"/>
      <c r="BD37" s="692"/>
      <c r="BE37" s="640"/>
      <c r="BF37" s="640"/>
      <c r="BG37" s="640"/>
      <c r="BH37" s="640"/>
      <c r="BI37" s="683"/>
      <c r="BJ37" s="639"/>
      <c r="BK37" s="640"/>
      <c r="BL37" s="640"/>
      <c r="BM37" s="640"/>
      <c r="BN37" s="640"/>
      <c r="BO37" s="683"/>
      <c r="BP37" s="670"/>
      <c r="BQ37" s="671"/>
      <c r="BR37" s="671"/>
      <c r="BS37" s="671"/>
      <c r="BT37" s="671"/>
      <c r="BU37" s="672"/>
      <c r="BV37" s="636"/>
      <c r="BW37" s="637"/>
      <c r="BX37" s="637"/>
      <c r="BY37" s="637"/>
      <c r="BZ37" s="637"/>
      <c r="CA37" s="638"/>
      <c r="CB37" s="639"/>
      <c r="CC37" s="640"/>
      <c r="CD37" s="640"/>
      <c r="CE37" s="640"/>
      <c r="CF37" s="640"/>
      <c r="CG37" s="641"/>
      <c r="CL37" s="717"/>
      <c r="CM37" s="717"/>
      <c r="CN37" s="648"/>
      <c r="CO37" s="648"/>
      <c r="CP37" s="648"/>
      <c r="CQ37" s="648"/>
      <c r="CR37" s="648"/>
      <c r="CS37" s="648"/>
      <c r="CT37" s="648"/>
      <c r="CU37" s="648"/>
      <c r="CV37" s="648"/>
      <c r="CW37" s="648"/>
      <c r="CX37" s="714"/>
      <c r="CY37" s="714"/>
      <c r="CZ37" s="714"/>
      <c r="DA37" s="714"/>
      <c r="DB37" s="714"/>
      <c r="DC37" s="714"/>
      <c r="DD37" s="650"/>
      <c r="DE37" s="650"/>
      <c r="DF37" s="650"/>
      <c r="DG37" s="650"/>
      <c r="DH37" s="650"/>
      <c r="DI37" s="650"/>
      <c r="DJ37" s="651"/>
      <c r="DK37" s="651"/>
      <c r="DL37" s="651"/>
      <c r="DM37" s="651"/>
      <c r="DN37" s="651"/>
      <c r="DO37" s="651"/>
    </row>
    <row r="38" spans="1:119" ht="9.75" customHeight="1">
      <c r="A38" s="128">
        <v>35</v>
      </c>
      <c r="B38" s="715"/>
      <c r="C38" s="716"/>
      <c r="D38" s="694"/>
      <c r="E38" s="694"/>
      <c r="F38" s="694"/>
      <c r="G38" s="673" t="s">
        <v>162</v>
      </c>
      <c r="H38" s="673"/>
      <c r="I38" s="673"/>
      <c r="J38" s="673"/>
      <c r="K38" s="673"/>
      <c r="L38" s="673"/>
      <c r="M38" s="674"/>
      <c r="N38" s="675"/>
      <c r="O38" s="676"/>
      <c r="P38" s="676"/>
      <c r="Q38" s="676"/>
      <c r="R38" s="676"/>
      <c r="S38" s="676"/>
      <c r="T38" s="676"/>
      <c r="U38" s="676"/>
      <c r="V38" s="676"/>
      <c r="W38" s="676"/>
      <c r="X38" s="676"/>
      <c r="Y38" s="676"/>
      <c r="Z38" s="677"/>
      <c r="AA38" s="677"/>
      <c r="AB38" s="677"/>
      <c r="AC38" s="677"/>
      <c r="AD38" s="677"/>
      <c r="AE38" s="670"/>
      <c r="AF38" s="678"/>
      <c r="AG38" s="677"/>
      <c r="AH38" s="677"/>
      <c r="AI38" s="677"/>
      <c r="AJ38" s="677"/>
      <c r="AK38" s="677"/>
      <c r="AL38" s="677"/>
      <c r="AM38" s="677"/>
      <c r="AN38" s="677"/>
      <c r="AO38" s="677"/>
      <c r="AP38" s="677"/>
      <c r="AQ38" s="679"/>
      <c r="AR38" s="832"/>
      <c r="AS38" s="833"/>
      <c r="AT38" s="673" t="s">
        <v>160</v>
      </c>
      <c r="AU38" s="673"/>
      <c r="AV38" s="673"/>
      <c r="AW38" s="673"/>
      <c r="AX38" s="673"/>
      <c r="AY38" s="673"/>
      <c r="AZ38" s="673"/>
      <c r="BA38" s="673"/>
      <c r="BB38" s="673"/>
      <c r="BC38" s="674"/>
      <c r="BD38" s="692"/>
      <c r="BE38" s="640"/>
      <c r="BF38" s="640"/>
      <c r="BG38" s="640"/>
      <c r="BH38" s="640"/>
      <c r="BI38" s="683"/>
      <c r="BJ38" s="639"/>
      <c r="BK38" s="640"/>
      <c r="BL38" s="640"/>
      <c r="BM38" s="640"/>
      <c r="BN38" s="640"/>
      <c r="BO38" s="683"/>
      <c r="BP38" s="670"/>
      <c r="BQ38" s="671"/>
      <c r="BR38" s="671"/>
      <c r="BS38" s="671"/>
      <c r="BT38" s="671"/>
      <c r="BU38" s="672"/>
      <c r="BV38" s="636"/>
      <c r="BW38" s="637"/>
      <c r="BX38" s="637"/>
      <c r="BY38" s="637"/>
      <c r="BZ38" s="637"/>
      <c r="CA38" s="638"/>
      <c r="CB38" s="639"/>
      <c r="CC38" s="640"/>
      <c r="CD38" s="640"/>
      <c r="CE38" s="640"/>
      <c r="CF38" s="640"/>
      <c r="CG38" s="641"/>
      <c r="CL38" s="717"/>
      <c r="CM38" s="717"/>
      <c r="CN38" s="648"/>
      <c r="CO38" s="648"/>
      <c r="CP38" s="648"/>
      <c r="CQ38" s="648"/>
      <c r="CR38" s="648"/>
      <c r="CS38" s="648"/>
      <c r="CT38" s="648"/>
      <c r="CU38" s="648"/>
      <c r="CV38" s="648"/>
      <c r="CW38" s="648"/>
      <c r="CX38" s="714"/>
      <c r="CY38" s="714"/>
      <c r="CZ38" s="714"/>
      <c r="DA38" s="714"/>
      <c r="DB38" s="714"/>
      <c r="DC38" s="714"/>
      <c r="DD38" s="650"/>
      <c r="DE38" s="650"/>
      <c r="DF38" s="650"/>
      <c r="DG38" s="650"/>
      <c r="DH38" s="650"/>
      <c r="DI38" s="650"/>
      <c r="DJ38" s="651"/>
      <c r="DK38" s="651"/>
      <c r="DL38" s="651"/>
      <c r="DM38" s="651"/>
      <c r="DN38" s="651"/>
      <c r="DO38" s="651"/>
    </row>
    <row r="39" spans="1:119" ht="9.75" customHeight="1">
      <c r="A39" s="128">
        <v>36</v>
      </c>
      <c r="B39" s="715"/>
      <c r="C39" s="716"/>
      <c r="D39" s="673" t="s">
        <v>161</v>
      </c>
      <c r="E39" s="673"/>
      <c r="F39" s="673"/>
      <c r="G39" s="673"/>
      <c r="H39" s="673"/>
      <c r="I39" s="673"/>
      <c r="J39" s="673"/>
      <c r="K39" s="673"/>
      <c r="L39" s="673"/>
      <c r="M39" s="674"/>
      <c r="N39" s="684"/>
      <c r="O39" s="685"/>
      <c r="P39" s="685"/>
      <c r="Q39" s="685"/>
      <c r="R39" s="685"/>
      <c r="S39" s="685"/>
      <c r="T39" s="676"/>
      <c r="U39" s="676"/>
      <c r="V39" s="676"/>
      <c r="W39" s="676"/>
      <c r="X39" s="676"/>
      <c r="Y39" s="676"/>
      <c r="Z39" s="685"/>
      <c r="AA39" s="685"/>
      <c r="AB39" s="685"/>
      <c r="AC39" s="685"/>
      <c r="AD39" s="685"/>
      <c r="AE39" s="686"/>
      <c r="AF39" s="684"/>
      <c r="AG39" s="685"/>
      <c r="AH39" s="685"/>
      <c r="AI39" s="685"/>
      <c r="AJ39" s="685"/>
      <c r="AK39" s="685"/>
      <c r="AL39" s="677"/>
      <c r="AM39" s="677"/>
      <c r="AN39" s="677"/>
      <c r="AO39" s="677"/>
      <c r="AP39" s="677"/>
      <c r="AQ39" s="679"/>
      <c r="AR39" s="832"/>
      <c r="AS39" s="833"/>
      <c r="AT39" s="705" t="s">
        <v>159</v>
      </c>
      <c r="AU39" s="706"/>
      <c r="AV39" s="707"/>
      <c r="AW39" s="673" t="s">
        <v>158</v>
      </c>
      <c r="AX39" s="673"/>
      <c r="AY39" s="673"/>
      <c r="AZ39" s="673"/>
      <c r="BA39" s="673"/>
      <c r="BB39" s="673"/>
      <c r="BC39" s="674"/>
      <c r="BD39" s="692"/>
      <c r="BE39" s="640"/>
      <c r="BF39" s="640"/>
      <c r="BG39" s="640"/>
      <c r="BH39" s="640"/>
      <c r="BI39" s="683"/>
      <c r="BJ39" s="639"/>
      <c r="BK39" s="640"/>
      <c r="BL39" s="640"/>
      <c r="BM39" s="640"/>
      <c r="BN39" s="640"/>
      <c r="BO39" s="683"/>
      <c r="BP39" s="670"/>
      <c r="BQ39" s="671"/>
      <c r="BR39" s="671"/>
      <c r="BS39" s="671"/>
      <c r="BT39" s="671"/>
      <c r="BU39" s="672"/>
      <c r="BV39" s="636"/>
      <c r="BW39" s="637"/>
      <c r="BX39" s="637"/>
      <c r="BY39" s="637"/>
      <c r="BZ39" s="637"/>
      <c r="CA39" s="638"/>
      <c r="CB39" s="639"/>
      <c r="CC39" s="640"/>
      <c r="CD39" s="640"/>
      <c r="CE39" s="640"/>
      <c r="CF39" s="640"/>
      <c r="CG39" s="641"/>
      <c r="CL39" s="717"/>
      <c r="CM39" s="717"/>
      <c r="CN39" s="648"/>
      <c r="CO39" s="648"/>
      <c r="CP39" s="648"/>
      <c r="CQ39" s="648"/>
      <c r="CR39" s="648"/>
      <c r="CS39" s="648"/>
      <c r="CT39" s="648"/>
      <c r="CU39" s="648"/>
      <c r="CV39" s="648"/>
      <c r="CW39" s="648"/>
      <c r="CX39" s="714"/>
      <c r="CY39" s="714"/>
      <c r="CZ39" s="714"/>
      <c r="DA39" s="714"/>
      <c r="DB39" s="714"/>
      <c r="DC39" s="714"/>
      <c r="DD39" s="650"/>
      <c r="DE39" s="650"/>
      <c r="DF39" s="650"/>
      <c r="DG39" s="650"/>
      <c r="DH39" s="650"/>
      <c r="DI39" s="650"/>
      <c r="DJ39" s="651"/>
      <c r="DK39" s="651"/>
      <c r="DL39" s="651"/>
      <c r="DM39" s="651"/>
      <c r="DN39" s="651"/>
      <c r="DO39" s="651"/>
    </row>
    <row r="40" spans="1:119" ht="9.75" customHeight="1">
      <c r="A40" s="128">
        <v>37</v>
      </c>
      <c r="B40" s="715"/>
      <c r="C40" s="716"/>
      <c r="D40" s="673" t="s">
        <v>90</v>
      </c>
      <c r="E40" s="673"/>
      <c r="F40" s="673"/>
      <c r="G40" s="673"/>
      <c r="H40" s="673"/>
      <c r="I40" s="673"/>
      <c r="J40" s="673"/>
      <c r="K40" s="673"/>
      <c r="L40" s="673"/>
      <c r="M40" s="674"/>
      <c r="N40" s="684"/>
      <c r="O40" s="685"/>
      <c r="P40" s="685"/>
      <c r="Q40" s="685"/>
      <c r="R40" s="685"/>
      <c r="S40" s="685"/>
      <c r="T40" s="676"/>
      <c r="U40" s="676"/>
      <c r="V40" s="676"/>
      <c r="W40" s="676"/>
      <c r="X40" s="676"/>
      <c r="Y40" s="676"/>
      <c r="Z40" s="685"/>
      <c r="AA40" s="685"/>
      <c r="AB40" s="685"/>
      <c r="AC40" s="685"/>
      <c r="AD40" s="685"/>
      <c r="AE40" s="686"/>
      <c r="AF40" s="684"/>
      <c r="AG40" s="685"/>
      <c r="AH40" s="685"/>
      <c r="AI40" s="685"/>
      <c r="AJ40" s="685"/>
      <c r="AK40" s="685"/>
      <c r="AL40" s="677"/>
      <c r="AM40" s="677"/>
      <c r="AN40" s="677"/>
      <c r="AO40" s="677"/>
      <c r="AP40" s="677"/>
      <c r="AQ40" s="679"/>
      <c r="AR40" s="832"/>
      <c r="AS40" s="833"/>
      <c r="AT40" s="708"/>
      <c r="AU40" s="709"/>
      <c r="AV40" s="710"/>
      <c r="AW40" s="673" t="s">
        <v>431</v>
      </c>
      <c r="AX40" s="673"/>
      <c r="AY40" s="673"/>
      <c r="AZ40" s="673"/>
      <c r="BA40" s="673"/>
      <c r="BB40" s="673"/>
      <c r="BC40" s="674"/>
      <c r="BD40" s="692"/>
      <c r="BE40" s="640"/>
      <c r="BF40" s="640"/>
      <c r="BG40" s="640"/>
      <c r="BH40" s="640"/>
      <c r="BI40" s="683"/>
      <c r="BJ40" s="639"/>
      <c r="BK40" s="640"/>
      <c r="BL40" s="640"/>
      <c r="BM40" s="640"/>
      <c r="BN40" s="640"/>
      <c r="BO40" s="683"/>
      <c r="BP40" s="670"/>
      <c r="BQ40" s="671"/>
      <c r="BR40" s="671"/>
      <c r="BS40" s="671"/>
      <c r="BT40" s="671"/>
      <c r="BU40" s="672"/>
      <c r="BV40" s="636"/>
      <c r="BW40" s="637"/>
      <c r="BX40" s="637"/>
      <c r="BY40" s="637"/>
      <c r="BZ40" s="637"/>
      <c r="CA40" s="638"/>
      <c r="CB40" s="639"/>
      <c r="CC40" s="640"/>
      <c r="CD40" s="640"/>
      <c r="CE40" s="640"/>
      <c r="CF40" s="640"/>
      <c r="CG40" s="641"/>
      <c r="CL40" s="717"/>
      <c r="CM40" s="717"/>
      <c r="CN40" s="648"/>
      <c r="CO40" s="648"/>
      <c r="CP40" s="648"/>
      <c r="CQ40" s="648"/>
      <c r="CR40" s="648"/>
      <c r="CS40" s="648"/>
      <c r="CT40" s="648"/>
      <c r="CU40" s="648"/>
      <c r="CV40" s="648"/>
      <c r="CW40" s="648"/>
      <c r="CX40" s="714"/>
      <c r="CY40" s="714"/>
      <c r="CZ40" s="714"/>
      <c r="DA40" s="714"/>
      <c r="DB40" s="714"/>
      <c r="DC40" s="714"/>
      <c r="DD40" s="651"/>
      <c r="DE40" s="651"/>
      <c r="DF40" s="651"/>
      <c r="DG40" s="651"/>
      <c r="DH40" s="651"/>
      <c r="DI40" s="651"/>
      <c r="DJ40" s="651"/>
      <c r="DK40" s="651"/>
      <c r="DL40" s="651"/>
      <c r="DM40" s="651"/>
      <c r="DN40" s="651"/>
      <c r="DO40" s="651"/>
    </row>
    <row r="41" spans="1:119" ht="9.75" customHeight="1">
      <c r="A41" s="128">
        <v>38</v>
      </c>
      <c r="B41" s="715"/>
      <c r="C41" s="716"/>
      <c r="D41" s="673" t="s">
        <v>278</v>
      </c>
      <c r="E41" s="673"/>
      <c r="F41" s="673"/>
      <c r="G41" s="673"/>
      <c r="H41" s="673"/>
      <c r="I41" s="673"/>
      <c r="J41" s="673"/>
      <c r="K41" s="673"/>
      <c r="L41" s="673"/>
      <c r="M41" s="674"/>
      <c r="N41" s="684"/>
      <c r="O41" s="685"/>
      <c r="P41" s="685"/>
      <c r="Q41" s="685"/>
      <c r="R41" s="685"/>
      <c r="S41" s="685"/>
      <c r="T41" s="676"/>
      <c r="U41" s="676"/>
      <c r="V41" s="676"/>
      <c r="W41" s="676"/>
      <c r="X41" s="676"/>
      <c r="Y41" s="676"/>
      <c r="Z41" s="685"/>
      <c r="AA41" s="685"/>
      <c r="AB41" s="685"/>
      <c r="AC41" s="685"/>
      <c r="AD41" s="685"/>
      <c r="AE41" s="686"/>
      <c r="AF41" s="684"/>
      <c r="AG41" s="685"/>
      <c r="AH41" s="685"/>
      <c r="AI41" s="685"/>
      <c r="AJ41" s="685"/>
      <c r="AK41" s="685"/>
      <c r="AL41" s="677"/>
      <c r="AM41" s="677"/>
      <c r="AN41" s="677"/>
      <c r="AO41" s="677"/>
      <c r="AP41" s="677"/>
      <c r="AQ41" s="679"/>
      <c r="AR41" s="832"/>
      <c r="AS41" s="833"/>
      <c r="AT41" s="708"/>
      <c r="AU41" s="709"/>
      <c r="AV41" s="710"/>
      <c r="AW41" s="673" t="s">
        <v>432</v>
      </c>
      <c r="AX41" s="673"/>
      <c r="AY41" s="673"/>
      <c r="AZ41" s="673"/>
      <c r="BA41" s="673"/>
      <c r="BB41" s="673"/>
      <c r="BC41" s="674"/>
      <c r="BD41" s="692"/>
      <c r="BE41" s="640"/>
      <c r="BF41" s="640"/>
      <c r="BG41" s="640"/>
      <c r="BH41" s="640"/>
      <c r="BI41" s="683"/>
      <c r="BJ41" s="639"/>
      <c r="BK41" s="640"/>
      <c r="BL41" s="640"/>
      <c r="BM41" s="640"/>
      <c r="BN41" s="640"/>
      <c r="BO41" s="683"/>
      <c r="BP41" s="670"/>
      <c r="BQ41" s="671"/>
      <c r="BR41" s="671"/>
      <c r="BS41" s="671"/>
      <c r="BT41" s="671"/>
      <c r="BU41" s="672"/>
      <c r="BV41" s="636"/>
      <c r="BW41" s="637"/>
      <c r="BX41" s="637"/>
      <c r="BY41" s="637"/>
      <c r="BZ41" s="637"/>
      <c r="CA41" s="638"/>
      <c r="CB41" s="639"/>
      <c r="CC41" s="640"/>
      <c r="CD41" s="640"/>
      <c r="CE41" s="640"/>
      <c r="CF41" s="640"/>
      <c r="CG41" s="641"/>
      <c r="CL41" s="717"/>
      <c r="CM41" s="717"/>
      <c r="CQ41" s="648"/>
      <c r="CR41" s="648"/>
      <c r="CS41" s="648"/>
      <c r="CT41" s="648"/>
      <c r="CU41" s="648"/>
      <c r="CV41" s="648"/>
      <c r="CW41" s="648"/>
      <c r="CX41" s="714"/>
      <c r="CY41" s="714"/>
      <c r="CZ41" s="714"/>
      <c r="DA41" s="714"/>
      <c r="DB41" s="714"/>
      <c r="DC41" s="714"/>
      <c r="DD41" s="650"/>
      <c r="DE41" s="650"/>
      <c r="DF41" s="650"/>
      <c r="DG41" s="650"/>
      <c r="DH41" s="650"/>
      <c r="DI41" s="650"/>
      <c r="DJ41" s="651"/>
      <c r="DK41" s="651"/>
      <c r="DL41" s="651"/>
      <c r="DM41" s="651"/>
      <c r="DN41" s="651"/>
      <c r="DO41" s="651"/>
    </row>
    <row r="42" spans="1:119" ht="9.75" customHeight="1">
      <c r="A42" s="128">
        <v>39</v>
      </c>
      <c r="B42" s="715"/>
      <c r="C42" s="716"/>
      <c r="D42" s="673" t="s">
        <v>1</v>
      </c>
      <c r="E42" s="673"/>
      <c r="F42" s="673"/>
      <c r="G42" s="673"/>
      <c r="H42" s="673"/>
      <c r="I42" s="673"/>
      <c r="J42" s="673"/>
      <c r="K42" s="673"/>
      <c r="L42" s="673"/>
      <c r="M42" s="674"/>
      <c r="N42" s="684"/>
      <c r="O42" s="685"/>
      <c r="P42" s="685"/>
      <c r="Q42" s="685"/>
      <c r="R42" s="685"/>
      <c r="S42" s="685"/>
      <c r="T42" s="677"/>
      <c r="U42" s="677"/>
      <c r="V42" s="677"/>
      <c r="W42" s="677"/>
      <c r="X42" s="677"/>
      <c r="Y42" s="677"/>
      <c r="Z42" s="685"/>
      <c r="AA42" s="685"/>
      <c r="AB42" s="685"/>
      <c r="AC42" s="685"/>
      <c r="AD42" s="685"/>
      <c r="AE42" s="686"/>
      <c r="AF42" s="684"/>
      <c r="AG42" s="685"/>
      <c r="AH42" s="685"/>
      <c r="AI42" s="685"/>
      <c r="AJ42" s="685"/>
      <c r="AK42" s="685"/>
      <c r="AL42" s="677"/>
      <c r="AM42" s="677"/>
      <c r="AN42" s="677"/>
      <c r="AO42" s="677"/>
      <c r="AP42" s="677"/>
      <c r="AQ42" s="679"/>
      <c r="AR42" s="832"/>
      <c r="AS42" s="833"/>
      <c r="AT42" s="711"/>
      <c r="AU42" s="712"/>
      <c r="AV42" s="713"/>
      <c r="AW42" s="673" t="s">
        <v>439</v>
      </c>
      <c r="AX42" s="673"/>
      <c r="AY42" s="673"/>
      <c r="AZ42" s="673"/>
      <c r="BA42" s="673"/>
      <c r="BB42" s="673"/>
      <c r="BC42" s="674"/>
      <c r="BD42" s="692"/>
      <c r="BE42" s="640"/>
      <c r="BF42" s="640"/>
      <c r="BG42" s="640"/>
      <c r="BH42" s="640"/>
      <c r="BI42" s="683"/>
      <c r="BJ42" s="639"/>
      <c r="BK42" s="640"/>
      <c r="BL42" s="640"/>
      <c r="BM42" s="640"/>
      <c r="BN42" s="640"/>
      <c r="BO42" s="683"/>
      <c r="BP42" s="670"/>
      <c r="BQ42" s="671"/>
      <c r="BR42" s="671"/>
      <c r="BS42" s="671"/>
      <c r="BT42" s="671"/>
      <c r="BU42" s="672"/>
      <c r="BV42" s="636"/>
      <c r="BW42" s="637"/>
      <c r="BX42" s="637"/>
      <c r="BY42" s="637"/>
      <c r="BZ42" s="637"/>
      <c r="CA42" s="638"/>
      <c r="CB42" s="639"/>
      <c r="CC42" s="640"/>
      <c r="CD42" s="640"/>
      <c r="CE42" s="640"/>
      <c r="CF42" s="640"/>
      <c r="CG42" s="641"/>
      <c r="CX42" s="652"/>
      <c r="CY42" s="652"/>
      <c r="CZ42" s="652"/>
      <c r="DA42" s="652"/>
      <c r="DB42" s="652"/>
      <c r="DC42" s="652"/>
      <c r="DD42" s="652"/>
      <c r="DE42" s="652"/>
      <c r="DF42" s="652"/>
      <c r="DG42" s="652"/>
      <c r="DH42" s="652"/>
      <c r="DI42" s="652"/>
      <c r="DJ42" s="652"/>
      <c r="DK42" s="652"/>
      <c r="DL42" s="652"/>
      <c r="DM42" s="652"/>
      <c r="DN42" s="652"/>
      <c r="DO42" s="652"/>
    </row>
    <row r="43" spans="1:119" ht="9.75" customHeight="1">
      <c r="A43" s="128">
        <v>40</v>
      </c>
      <c r="B43" s="700" t="s">
        <v>256</v>
      </c>
      <c r="C43" s="701"/>
      <c r="D43" s="702" t="s">
        <v>214</v>
      </c>
      <c r="E43" s="703"/>
      <c r="F43" s="703"/>
      <c r="G43" s="703"/>
      <c r="H43" s="703"/>
      <c r="I43" s="703"/>
      <c r="J43" s="703"/>
      <c r="K43" s="703"/>
      <c r="L43" s="703"/>
      <c r="M43" s="704"/>
      <c r="N43" s="675"/>
      <c r="O43" s="676"/>
      <c r="P43" s="676"/>
      <c r="Q43" s="676"/>
      <c r="R43" s="676"/>
      <c r="S43" s="676"/>
      <c r="T43" s="676"/>
      <c r="U43" s="676"/>
      <c r="V43" s="676"/>
      <c r="W43" s="676"/>
      <c r="X43" s="676"/>
      <c r="Y43" s="676"/>
      <c r="Z43" s="677"/>
      <c r="AA43" s="677"/>
      <c r="AB43" s="677"/>
      <c r="AC43" s="677"/>
      <c r="AD43" s="677"/>
      <c r="AE43" s="670"/>
      <c r="AF43" s="678"/>
      <c r="AG43" s="677"/>
      <c r="AH43" s="677"/>
      <c r="AI43" s="677"/>
      <c r="AJ43" s="677"/>
      <c r="AK43" s="677"/>
      <c r="AL43" s="677"/>
      <c r="AM43" s="677"/>
      <c r="AN43" s="677"/>
      <c r="AO43" s="677"/>
      <c r="AP43" s="677"/>
      <c r="AQ43" s="679"/>
      <c r="AR43" s="832"/>
      <c r="AS43" s="833"/>
      <c r="AT43" s="673" t="s">
        <v>157</v>
      </c>
      <c r="AU43" s="673"/>
      <c r="AV43" s="673"/>
      <c r="AW43" s="673"/>
      <c r="AX43" s="673"/>
      <c r="AY43" s="673"/>
      <c r="AZ43" s="673"/>
      <c r="BA43" s="673"/>
      <c r="BB43" s="673"/>
      <c r="BC43" s="674"/>
      <c r="BD43" s="692"/>
      <c r="BE43" s="640"/>
      <c r="BF43" s="640"/>
      <c r="BG43" s="640"/>
      <c r="BH43" s="640"/>
      <c r="BI43" s="683"/>
      <c r="BJ43" s="639"/>
      <c r="BK43" s="640"/>
      <c r="BL43" s="640"/>
      <c r="BM43" s="640"/>
      <c r="BN43" s="640"/>
      <c r="BO43" s="683"/>
      <c r="BP43" s="670"/>
      <c r="BQ43" s="671"/>
      <c r="BR43" s="671"/>
      <c r="BS43" s="671"/>
      <c r="BT43" s="671"/>
      <c r="BU43" s="672"/>
      <c r="BV43" s="636"/>
      <c r="BW43" s="637"/>
      <c r="BX43" s="637"/>
      <c r="BY43" s="637"/>
      <c r="BZ43" s="637"/>
      <c r="CA43" s="638"/>
      <c r="CB43" s="639"/>
      <c r="CC43" s="640"/>
      <c r="CD43" s="640"/>
      <c r="CE43" s="640"/>
      <c r="CF43" s="640"/>
      <c r="CG43" s="641"/>
      <c r="CL43" s="699"/>
      <c r="CM43" s="699"/>
      <c r="CN43" s="648"/>
      <c r="CO43" s="648"/>
      <c r="CP43" s="648"/>
      <c r="CQ43" s="648"/>
      <c r="CR43" s="648"/>
      <c r="CS43" s="648"/>
      <c r="CT43" s="648"/>
      <c r="CU43" s="648"/>
      <c r="CV43" s="648"/>
      <c r="CW43" s="648"/>
      <c r="CX43" s="654"/>
      <c r="CY43" s="654"/>
      <c r="CZ43" s="654"/>
      <c r="DA43" s="654"/>
      <c r="DB43" s="654"/>
      <c r="DC43" s="654"/>
      <c r="DD43" s="650"/>
      <c r="DE43" s="650"/>
      <c r="DF43" s="650"/>
      <c r="DG43" s="650"/>
      <c r="DH43" s="650"/>
      <c r="DI43" s="650"/>
      <c r="DJ43" s="651"/>
      <c r="DK43" s="651"/>
      <c r="DL43" s="651"/>
      <c r="DM43" s="651"/>
      <c r="DN43" s="651"/>
      <c r="DO43" s="651"/>
    </row>
    <row r="44" spans="1:119" ht="9.75" customHeight="1">
      <c r="A44" s="128">
        <v>41</v>
      </c>
      <c r="B44" s="700"/>
      <c r="C44" s="701"/>
      <c r="D44" s="673" t="s">
        <v>90</v>
      </c>
      <c r="E44" s="673"/>
      <c r="F44" s="673"/>
      <c r="G44" s="673"/>
      <c r="H44" s="673"/>
      <c r="I44" s="673"/>
      <c r="J44" s="673"/>
      <c r="K44" s="673"/>
      <c r="L44" s="673"/>
      <c r="M44" s="674"/>
      <c r="N44" s="684"/>
      <c r="O44" s="685"/>
      <c r="P44" s="685"/>
      <c r="Q44" s="685"/>
      <c r="R44" s="685"/>
      <c r="S44" s="685"/>
      <c r="T44" s="676"/>
      <c r="U44" s="676"/>
      <c r="V44" s="676"/>
      <c r="W44" s="676"/>
      <c r="X44" s="676"/>
      <c r="Y44" s="676"/>
      <c r="Z44" s="685"/>
      <c r="AA44" s="685"/>
      <c r="AB44" s="685"/>
      <c r="AC44" s="685"/>
      <c r="AD44" s="685"/>
      <c r="AE44" s="686"/>
      <c r="AF44" s="684"/>
      <c r="AG44" s="685"/>
      <c r="AH44" s="685"/>
      <c r="AI44" s="685"/>
      <c r="AJ44" s="685"/>
      <c r="AK44" s="685"/>
      <c r="AL44" s="677"/>
      <c r="AM44" s="677"/>
      <c r="AN44" s="677"/>
      <c r="AO44" s="677"/>
      <c r="AP44" s="677"/>
      <c r="AQ44" s="679"/>
      <c r="AR44" s="832"/>
      <c r="AS44" s="833"/>
      <c r="AT44" s="673" t="s">
        <v>156</v>
      </c>
      <c r="AU44" s="673"/>
      <c r="AV44" s="673"/>
      <c r="AW44" s="673"/>
      <c r="AX44" s="673"/>
      <c r="AY44" s="673"/>
      <c r="AZ44" s="673"/>
      <c r="BA44" s="673"/>
      <c r="BB44" s="673"/>
      <c r="BC44" s="674"/>
      <c r="BD44" s="692"/>
      <c r="BE44" s="640"/>
      <c r="BF44" s="640"/>
      <c r="BG44" s="640"/>
      <c r="BH44" s="640"/>
      <c r="BI44" s="683"/>
      <c r="BJ44" s="639"/>
      <c r="BK44" s="640"/>
      <c r="BL44" s="640"/>
      <c r="BM44" s="640"/>
      <c r="BN44" s="640"/>
      <c r="BO44" s="683"/>
      <c r="BP44" s="670"/>
      <c r="BQ44" s="671"/>
      <c r="BR44" s="671"/>
      <c r="BS44" s="671"/>
      <c r="BT44" s="671"/>
      <c r="BU44" s="672"/>
      <c r="BV44" s="636"/>
      <c r="BW44" s="637"/>
      <c r="BX44" s="637"/>
      <c r="BY44" s="637"/>
      <c r="BZ44" s="637"/>
      <c r="CA44" s="638"/>
      <c r="CB44" s="639"/>
      <c r="CC44" s="640"/>
      <c r="CD44" s="640"/>
      <c r="CE44" s="640"/>
      <c r="CF44" s="640"/>
      <c r="CG44" s="641"/>
      <c r="CL44" s="699"/>
      <c r="CM44" s="699"/>
      <c r="CN44" s="648"/>
      <c r="CO44" s="648"/>
      <c r="CP44" s="648"/>
      <c r="CQ44" s="648"/>
      <c r="CR44" s="648"/>
      <c r="CS44" s="648"/>
      <c r="CT44" s="648"/>
      <c r="CU44" s="648"/>
      <c r="CV44" s="648"/>
      <c r="CW44" s="648"/>
      <c r="CX44" s="698"/>
      <c r="CY44" s="698"/>
      <c r="CZ44" s="698"/>
      <c r="DA44" s="698"/>
      <c r="DB44" s="698"/>
      <c r="DC44" s="698"/>
      <c r="DD44" s="650"/>
      <c r="DE44" s="650"/>
      <c r="DF44" s="650"/>
      <c r="DG44" s="650"/>
      <c r="DH44" s="650"/>
      <c r="DI44" s="650"/>
      <c r="DJ44" s="651"/>
      <c r="DK44" s="651"/>
      <c r="DL44" s="651"/>
      <c r="DM44" s="651"/>
      <c r="DN44" s="651"/>
      <c r="DO44" s="651"/>
    </row>
    <row r="45" spans="1:119" ht="9.75" customHeight="1">
      <c r="A45" s="128">
        <v>42</v>
      </c>
      <c r="B45" s="700"/>
      <c r="C45" s="701"/>
      <c r="D45" s="673" t="s">
        <v>278</v>
      </c>
      <c r="E45" s="673"/>
      <c r="F45" s="673"/>
      <c r="G45" s="673"/>
      <c r="H45" s="673"/>
      <c r="I45" s="673"/>
      <c r="J45" s="673"/>
      <c r="K45" s="673"/>
      <c r="L45" s="673"/>
      <c r="M45" s="674"/>
      <c r="N45" s="684"/>
      <c r="O45" s="685"/>
      <c r="P45" s="685"/>
      <c r="Q45" s="685"/>
      <c r="R45" s="685"/>
      <c r="S45" s="685"/>
      <c r="T45" s="676"/>
      <c r="U45" s="676"/>
      <c r="V45" s="676"/>
      <c r="W45" s="676"/>
      <c r="X45" s="676"/>
      <c r="Y45" s="676"/>
      <c r="Z45" s="685"/>
      <c r="AA45" s="685"/>
      <c r="AB45" s="685"/>
      <c r="AC45" s="685"/>
      <c r="AD45" s="685"/>
      <c r="AE45" s="686"/>
      <c r="AF45" s="684"/>
      <c r="AG45" s="685"/>
      <c r="AH45" s="685"/>
      <c r="AI45" s="685"/>
      <c r="AJ45" s="685"/>
      <c r="AK45" s="685"/>
      <c r="AL45" s="677"/>
      <c r="AM45" s="677"/>
      <c r="AN45" s="677"/>
      <c r="AO45" s="677"/>
      <c r="AP45" s="677"/>
      <c r="AQ45" s="679"/>
      <c r="AR45" s="832"/>
      <c r="AS45" s="833"/>
      <c r="AT45" s="673" t="s">
        <v>257</v>
      </c>
      <c r="AU45" s="673"/>
      <c r="AV45" s="673"/>
      <c r="AW45" s="673"/>
      <c r="AX45" s="673"/>
      <c r="AY45" s="673"/>
      <c r="AZ45" s="673"/>
      <c r="BA45" s="673"/>
      <c r="BB45" s="673"/>
      <c r="BC45" s="674"/>
      <c r="BD45" s="692"/>
      <c r="BE45" s="640"/>
      <c r="BF45" s="640"/>
      <c r="BG45" s="640"/>
      <c r="BH45" s="640"/>
      <c r="BI45" s="683"/>
      <c r="BJ45" s="639"/>
      <c r="BK45" s="640"/>
      <c r="BL45" s="640"/>
      <c r="BM45" s="640"/>
      <c r="BN45" s="640"/>
      <c r="BO45" s="683"/>
      <c r="BP45" s="670"/>
      <c r="BQ45" s="671"/>
      <c r="BR45" s="671"/>
      <c r="BS45" s="671"/>
      <c r="BT45" s="671"/>
      <c r="BU45" s="672"/>
      <c r="BV45" s="636"/>
      <c r="BW45" s="637"/>
      <c r="BX45" s="637"/>
      <c r="BY45" s="637"/>
      <c r="BZ45" s="637"/>
      <c r="CA45" s="638"/>
      <c r="CB45" s="639"/>
      <c r="CC45" s="640"/>
      <c r="CD45" s="640"/>
      <c r="CE45" s="640"/>
      <c r="CF45" s="640"/>
      <c r="CG45" s="641"/>
      <c r="CL45" s="699"/>
      <c r="CM45" s="699"/>
      <c r="CN45" s="648"/>
      <c r="CO45" s="648"/>
      <c r="CP45" s="648"/>
      <c r="CQ45" s="648"/>
      <c r="CR45" s="648"/>
      <c r="CS45" s="648"/>
      <c r="CT45" s="648"/>
      <c r="CU45" s="648"/>
      <c r="CV45" s="648"/>
      <c r="CW45" s="648"/>
      <c r="CX45" s="698"/>
      <c r="CY45" s="698"/>
      <c r="CZ45" s="698"/>
      <c r="DA45" s="698"/>
      <c r="DB45" s="698"/>
      <c r="DC45" s="698"/>
      <c r="DD45" s="651"/>
      <c r="DE45" s="651"/>
      <c r="DF45" s="651"/>
      <c r="DG45" s="651"/>
      <c r="DH45" s="651"/>
      <c r="DI45" s="651"/>
      <c r="DJ45" s="651"/>
      <c r="DK45" s="651"/>
      <c r="DL45" s="651"/>
      <c r="DM45" s="651"/>
      <c r="DN45" s="651"/>
      <c r="DO45" s="651"/>
    </row>
    <row r="46" spans="1:119" ht="9.75" customHeight="1">
      <c r="A46" s="128">
        <v>43</v>
      </c>
      <c r="B46" s="700"/>
      <c r="C46" s="701"/>
      <c r="D46" s="673" t="s">
        <v>1</v>
      </c>
      <c r="E46" s="673"/>
      <c r="F46" s="673"/>
      <c r="G46" s="673"/>
      <c r="H46" s="673"/>
      <c r="I46" s="673"/>
      <c r="J46" s="673"/>
      <c r="K46" s="673"/>
      <c r="L46" s="673"/>
      <c r="M46" s="674"/>
      <c r="N46" s="684"/>
      <c r="O46" s="685"/>
      <c r="P46" s="685"/>
      <c r="Q46" s="685"/>
      <c r="R46" s="685"/>
      <c r="S46" s="685"/>
      <c r="T46" s="677"/>
      <c r="U46" s="677"/>
      <c r="V46" s="677"/>
      <c r="W46" s="677"/>
      <c r="X46" s="677"/>
      <c r="Y46" s="677"/>
      <c r="Z46" s="685"/>
      <c r="AA46" s="685"/>
      <c r="AB46" s="685"/>
      <c r="AC46" s="685"/>
      <c r="AD46" s="685"/>
      <c r="AE46" s="686"/>
      <c r="AF46" s="684"/>
      <c r="AG46" s="685"/>
      <c r="AH46" s="685"/>
      <c r="AI46" s="685"/>
      <c r="AJ46" s="685"/>
      <c r="AK46" s="685"/>
      <c r="AL46" s="677"/>
      <c r="AM46" s="677"/>
      <c r="AN46" s="677"/>
      <c r="AO46" s="677"/>
      <c r="AP46" s="677"/>
      <c r="AQ46" s="679"/>
      <c r="AR46" s="832"/>
      <c r="AS46" s="833"/>
      <c r="AT46" s="855" t="s">
        <v>433</v>
      </c>
      <c r="AU46" s="856"/>
      <c r="AV46" s="857"/>
      <c r="AW46" s="673" t="s">
        <v>155</v>
      </c>
      <c r="AX46" s="673"/>
      <c r="AY46" s="673"/>
      <c r="AZ46" s="673"/>
      <c r="BA46" s="673"/>
      <c r="BB46" s="673"/>
      <c r="BC46" s="674"/>
      <c r="BD46" s="692"/>
      <c r="BE46" s="640"/>
      <c r="BF46" s="640"/>
      <c r="BG46" s="640"/>
      <c r="BH46" s="640"/>
      <c r="BI46" s="683"/>
      <c r="BJ46" s="639"/>
      <c r="BK46" s="640"/>
      <c r="BL46" s="640"/>
      <c r="BM46" s="640"/>
      <c r="BN46" s="640"/>
      <c r="BO46" s="683"/>
      <c r="BP46" s="670"/>
      <c r="BQ46" s="671"/>
      <c r="BR46" s="671"/>
      <c r="BS46" s="671"/>
      <c r="BT46" s="671"/>
      <c r="BU46" s="672"/>
      <c r="BV46" s="636"/>
      <c r="BW46" s="637"/>
      <c r="BX46" s="637"/>
      <c r="BY46" s="637"/>
      <c r="BZ46" s="637"/>
      <c r="CA46" s="638"/>
      <c r="CB46" s="639"/>
      <c r="CC46" s="640"/>
      <c r="CD46" s="640"/>
      <c r="CE46" s="640"/>
      <c r="CF46" s="640"/>
      <c r="CG46" s="641"/>
      <c r="CL46" s="699"/>
      <c r="CM46" s="699"/>
      <c r="CQ46" s="648"/>
      <c r="CR46" s="648"/>
      <c r="CS46" s="648"/>
      <c r="CT46" s="648"/>
      <c r="CU46" s="648"/>
      <c r="CV46" s="648"/>
      <c r="CW46" s="648"/>
      <c r="CX46" s="698"/>
      <c r="CY46" s="698"/>
      <c r="CZ46" s="698"/>
      <c r="DA46" s="698"/>
      <c r="DB46" s="698"/>
      <c r="DC46" s="698"/>
      <c r="DD46" s="650"/>
      <c r="DE46" s="650"/>
      <c r="DF46" s="650"/>
      <c r="DG46" s="650"/>
      <c r="DH46" s="650"/>
      <c r="DI46" s="650"/>
      <c r="DJ46" s="651"/>
      <c r="DK46" s="651"/>
      <c r="DL46" s="651"/>
      <c r="DM46" s="651"/>
      <c r="DN46" s="651"/>
      <c r="DO46" s="651"/>
    </row>
    <row r="47" spans="1:119" ht="9.75" customHeight="1">
      <c r="A47" s="128">
        <v>44</v>
      </c>
      <c r="B47" s="688" t="s">
        <v>150</v>
      </c>
      <c r="C47" s="689"/>
      <c r="D47" s="696" t="s">
        <v>149</v>
      </c>
      <c r="E47" s="696"/>
      <c r="F47" s="696"/>
      <c r="G47" s="673" t="s">
        <v>148</v>
      </c>
      <c r="H47" s="673"/>
      <c r="I47" s="673"/>
      <c r="J47" s="673"/>
      <c r="K47" s="673"/>
      <c r="L47" s="673"/>
      <c r="M47" s="674"/>
      <c r="N47" s="684"/>
      <c r="O47" s="685"/>
      <c r="P47" s="685"/>
      <c r="Q47" s="685"/>
      <c r="R47" s="685"/>
      <c r="S47" s="685"/>
      <c r="T47" s="676"/>
      <c r="U47" s="676"/>
      <c r="V47" s="676"/>
      <c r="W47" s="676"/>
      <c r="X47" s="676"/>
      <c r="Y47" s="676"/>
      <c r="Z47" s="685"/>
      <c r="AA47" s="685"/>
      <c r="AB47" s="685"/>
      <c r="AC47" s="685"/>
      <c r="AD47" s="685"/>
      <c r="AE47" s="686"/>
      <c r="AF47" s="684"/>
      <c r="AG47" s="685"/>
      <c r="AH47" s="685"/>
      <c r="AI47" s="685"/>
      <c r="AJ47" s="685"/>
      <c r="AK47" s="685"/>
      <c r="AL47" s="677"/>
      <c r="AM47" s="677"/>
      <c r="AN47" s="677"/>
      <c r="AO47" s="677"/>
      <c r="AP47" s="677"/>
      <c r="AQ47" s="679"/>
      <c r="AR47" s="832"/>
      <c r="AS47" s="833"/>
      <c r="AT47" s="858"/>
      <c r="AU47" s="859"/>
      <c r="AV47" s="860"/>
      <c r="AW47" s="673" t="s">
        <v>434</v>
      </c>
      <c r="AX47" s="673"/>
      <c r="AY47" s="673"/>
      <c r="AZ47" s="673"/>
      <c r="BA47" s="673"/>
      <c r="BB47" s="673"/>
      <c r="BC47" s="674"/>
      <c r="BD47" s="692"/>
      <c r="BE47" s="640"/>
      <c r="BF47" s="640"/>
      <c r="BG47" s="640"/>
      <c r="BH47" s="640"/>
      <c r="BI47" s="683"/>
      <c r="BJ47" s="639"/>
      <c r="BK47" s="640"/>
      <c r="BL47" s="640"/>
      <c r="BM47" s="640"/>
      <c r="BN47" s="640"/>
      <c r="BO47" s="683"/>
      <c r="BP47" s="670"/>
      <c r="BQ47" s="671"/>
      <c r="BR47" s="671"/>
      <c r="BS47" s="671"/>
      <c r="BT47" s="671"/>
      <c r="BU47" s="672"/>
      <c r="BV47" s="636"/>
      <c r="BW47" s="637"/>
      <c r="BX47" s="637"/>
      <c r="BY47" s="637"/>
      <c r="BZ47" s="637"/>
      <c r="CA47" s="638"/>
      <c r="CB47" s="639"/>
      <c r="CC47" s="640"/>
      <c r="CD47" s="640"/>
      <c r="CE47" s="640"/>
      <c r="CF47" s="640"/>
      <c r="CG47" s="641"/>
      <c r="CL47" s="697"/>
      <c r="CM47" s="697"/>
      <c r="CN47" s="697"/>
      <c r="CO47" s="697"/>
      <c r="CP47" s="697"/>
      <c r="CQ47" s="697"/>
      <c r="CR47" s="697"/>
      <c r="CS47" s="697"/>
      <c r="CT47" s="697"/>
      <c r="CU47" s="697"/>
      <c r="CV47" s="697"/>
      <c r="CW47" s="697"/>
      <c r="CX47" s="652"/>
      <c r="CY47" s="652"/>
      <c r="CZ47" s="652"/>
      <c r="DA47" s="652"/>
      <c r="DB47" s="652"/>
      <c r="DC47" s="652"/>
      <c r="DD47" s="652"/>
      <c r="DE47" s="652"/>
      <c r="DF47" s="652"/>
      <c r="DG47" s="652"/>
      <c r="DH47" s="652"/>
      <c r="DI47" s="652"/>
      <c r="DJ47" s="652"/>
      <c r="DK47" s="652"/>
      <c r="DL47" s="652"/>
      <c r="DM47" s="652"/>
      <c r="DN47" s="652"/>
      <c r="DO47" s="652"/>
    </row>
    <row r="48" spans="1:119" ht="9.75" customHeight="1">
      <c r="A48" s="128">
        <v>45</v>
      </c>
      <c r="B48" s="688"/>
      <c r="C48" s="689"/>
      <c r="D48" s="696"/>
      <c r="E48" s="696"/>
      <c r="F48" s="696"/>
      <c r="G48" s="673" t="s">
        <v>146</v>
      </c>
      <c r="H48" s="673"/>
      <c r="I48" s="673"/>
      <c r="J48" s="673"/>
      <c r="K48" s="673"/>
      <c r="L48" s="673"/>
      <c r="M48" s="674"/>
      <c r="N48" s="684"/>
      <c r="O48" s="685"/>
      <c r="P48" s="685"/>
      <c r="Q48" s="685"/>
      <c r="R48" s="685"/>
      <c r="S48" s="685"/>
      <c r="T48" s="676"/>
      <c r="U48" s="676"/>
      <c r="V48" s="676"/>
      <c r="W48" s="676"/>
      <c r="X48" s="676"/>
      <c r="Y48" s="676"/>
      <c r="Z48" s="685"/>
      <c r="AA48" s="685"/>
      <c r="AB48" s="685"/>
      <c r="AC48" s="685"/>
      <c r="AD48" s="685"/>
      <c r="AE48" s="686"/>
      <c r="AF48" s="684"/>
      <c r="AG48" s="685"/>
      <c r="AH48" s="685"/>
      <c r="AI48" s="685"/>
      <c r="AJ48" s="685"/>
      <c r="AK48" s="685"/>
      <c r="AL48" s="677"/>
      <c r="AM48" s="677"/>
      <c r="AN48" s="677"/>
      <c r="AO48" s="677"/>
      <c r="AP48" s="677"/>
      <c r="AQ48" s="679"/>
      <c r="AR48" s="832"/>
      <c r="AS48" s="833"/>
      <c r="AT48" s="861"/>
      <c r="AU48" s="862"/>
      <c r="AV48" s="863"/>
      <c r="AW48" s="673" t="s">
        <v>440</v>
      </c>
      <c r="AX48" s="673"/>
      <c r="AY48" s="673"/>
      <c r="AZ48" s="673"/>
      <c r="BA48" s="673"/>
      <c r="BB48" s="673"/>
      <c r="BC48" s="674"/>
      <c r="BD48" s="692"/>
      <c r="BE48" s="640"/>
      <c r="BF48" s="640"/>
      <c r="BG48" s="640"/>
      <c r="BH48" s="640"/>
      <c r="BI48" s="683"/>
      <c r="BJ48" s="639"/>
      <c r="BK48" s="640"/>
      <c r="BL48" s="640"/>
      <c r="BM48" s="640"/>
      <c r="BN48" s="640"/>
      <c r="BO48" s="683"/>
      <c r="BP48" s="670"/>
      <c r="BQ48" s="671"/>
      <c r="BR48" s="671"/>
      <c r="BS48" s="671"/>
      <c r="BT48" s="671"/>
      <c r="BU48" s="672"/>
      <c r="BV48" s="636"/>
      <c r="BW48" s="637"/>
      <c r="BX48" s="637"/>
      <c r="BY48" s="637"/>
      <c r="BZ48" s="637"/>
      <c r="CA48" s="638"/>
      <c r="CB48" s="639"/>
      <c r="CC48" s="640"/>
      <c r="CD48" s="640"/>
      <c r="CE48" s="640"/>
      <c r="CF48" s="640"/>
      <c r="CG48" s="641"/>
      <c r="CL48" s="138"/>
      <c r="CM48" s="138"/>
      <c r="CN48" s="648"/>
      <c r="CO48" s="648"/>
      <c r="CP48" s="648"/>
      <c r="CQ48" s="648"/>
      <c r="CR48" s="648"/>
      <c r="CS48" s="648"/>
      <c r="CT48" s="648"/>
      <c r="CU48" s="648"/>
      <c r="CV48" s="648"/>
      <c r="CW48" s="648"/>
      <c r="CX48" s="654"/>
      <c r="CY48" s="654"/>
      <c r="CZ48" s="654"/>
      <c r="DA48" s="654"/>
      <c r="DB48" s="654"/>
      <c r="DC48" s="654"/>
      <c r="DD48" s="650"/>
      <c r="DE48" s="650"/>
      <c r="DF48" s="650"/>
      <c r="DG48" s="650"/>
      <c r="DH48" s="650"/>
      <c r="DI48" s="650"/>
      <c r="DJ48" s="651"/>
      <c r="DK48" s="651"/>
      <c r="DL48" s="651"/>
      <c r="DM48" s="651"/>
      <c r="DN48" s="651"/>
      <c r="DO48" s="651"/>
    </row>
    <row r="49" spans="1:119" ht="9.75" customHeight="1">
      <c r="A49" s="128">
        <v>46</v>
      </c>
      <c r="B49" s="688"/>
      <c r="C49" s="689"/>
      <c r="D49" s="673" t="s">
        <v>145</v>
      </c>
      <c r="E49" s="673"/>
      <c r="F49" s="673"/>
      <c r="G49" s="673"/>
      <c r="H49" s="673"/>
      <c r="I49" s="673"/>
      <c r="J49" s="673"/>
      <c r="K49" s="673"/>
      <c r="L49" s="673"/>
      <c r="M49" s="674"/>
      <c r="N49" s="684"/>
      <c r="O49" s="685"/>
      <c r="P49" s="685"/>
      <c r="Q49" s="685"/>
      <c r="R49" s="685"/>
      <c r="S49" s="685"/>
      <c r="T49" s="676"/>
      <c r="U49" s="676"/>
      <c r="V49" s="676"/>
      <c r="W49" s="676"/>
      <c r="X49" s="676"/>
      <c r="Y49" s="676"/>
      <c r="Z49" s="685"/>
      <c r="AA49" s="685"/>
      <c r="AB49" s="685"/>
      <c r="AC49" s="685"/>
      <c r="AD49" s="685"/>
      <c r="AE49" s="686"/>
      <c r="AF49" s="684"/>
      <c r="AG49" s="685"/>
      <c r="AH49" s="685"/>
      <c r="AI49" s="685"/>
      <c r="AJ49" s="685"/>
      <c r="AK49" s="685"/>
      <c r="AL49" s="677"/>
      <c r="AM49" s="677"/>
      <c r="AN49" s="677"/>
      <c r="AO49" s="677"/>
      <c r="AP49" s="677"/>
      <c r="AQ49" s="679"/>
      <c r="AR49" s="832"/>
      <c r="AS49" s="833"/>
      <c r="AT49" s="673" t="s">
        <v>154</v>
      </c>
      <c r="AU49" s="673"/>
      <c r="AV49" s="673"/>
      <c r="AW49" s="673"/>
      <c r="AX49" s="673"/>
      <c r="AY49" s="673"/>
      <c r="AZ49" s="673"/>
      <c r="BA49" s="673"/>
      <c r="BB49" s="673"/>
      <c r="BC49" s="674"/>
      <c r="BD49" s="692"/>
      <c r="BE49" s="640"/>
      <c r="BF49" s="640"/>
      <c r="BG49" s="640"/>
      <c r="BH49" s="640"/>
      <c r="BI49" s="683"/>
      <c r="BJ49" s="639"/>
      <c r="BK49" s="640"/>
      <c r="BL49" s="640"/>
      <c r="BM49" s="640"/>
      <c r="BN49" s="640"/>
      <c r="BO49" s="683"/>
      <c r="BP49" s="670"/>
      <c r="BQ49" s="671"/>
      <c r="BR49" s="671"/>
      <c r="BS49" s="671"/>
      <c r="BT49" s="671"/>
      <c r="BU49" s="672"/>
      <c r="BV49" s="636"/>
      <c r="BW49" s="637"/>
      <c r="BX49" s="637"/>
      <c r="BY49" s="637"/>
      <c r="BZ49" s="637"/>
      <c r="CA49" s="638"/>
      <c r="CB49" s="639"/>
      <c r="CC49" s="640"/>
      <c r="CD49" s="640"/>
      <c r="CE49" s="640"/>
      <c r="CF49" s="640"/>
      <c r="CG49" s="641"/>
      <c r="CL49" s="138"/>
      <c r="CM49" s="138"/>
      <c r="CN49" s="648"/>
      <c r="CO49" s="648"/>
      <c r="CP49" s="648"/>
      <c r="CQ49" s="648"/>
      <c r="CR49" s="648"/>
      <c r="CS49" s="648"/>
      <c r="CT49" s="648"/>
      <c r="CU49" s="648"/>
      <c r="CV49" s="648"/>
      <c r="CW49" s="648"/>
      <c r="CX49" s="654"/>
      <c r="CY49" s="654"/>
      <c r="CZ49" s="654"/>
      <c r="DA49" s="654"/>
      <c r="DB49" s="654"/>
      <c r="DC49" s="654"/>
      <c r="DD49" s="650"/>
      <c r="DE49" s="650"/>
      <c r="DF49" s="650"/>
      <c r="DG49" s="650"/>
      <c r="DH49" s="650"/>
      <c r="DI49" s="650"/>
      <c r="DJ49" s="651"/>
      <c r="DK49" s="651"/>
      <c r="DL49" s="651"/>
      <c r="DM49" s="651"/>
      <c r="DN49" s="651"/>
      <c r="DO49" s="651"/>
    </row>
    <row r="50" spans="1:119" ht="9.75" customHeight="1">
      <c r="A50" s="128">
        <v>47</v>
      </c>
      <c r="B50" s="688"/>
      <c r="C50" s="689"/>
      <c r="D50" s="673" t="s">
        <v>144</v>
      </c>
      <c r="E50" s="673"/>
      <c r="F50" s="673"/>
      <c r="G50" s="673"/>
      <c r="H50" s="673"/>
      <c r="I50" s="673"/>
      <c r="J50" s="673"/>
      <c r="K50" s="673"/>
      <c r="L50" s="673"/>
      <c r="M50" s="674"/>
      <c r="N50" s="684"/>
      <c r="O50" s="685"/>
      <c r="P50" s="685"/>
      <c r="Q50" s="685"/>
      <c r="R50" s="685"/>
      <c r="S50" s="685"/>
      <c r="T50" s="676"/>
      <c r="U50" s="676"/>
      <c r="V50" s="676"/>
      <c r="W50" s="676"/>
      <c r="X50" s="676"/>
      <c r="Y50" s="676"/>
      <c r="Z50" s="685"/>
      <c r="AA50" s="685"/>
      <c r="AB50" s="685"/>
      <c r="AC50" s="685"/>
      <c r="AD50" s="685"/>
      <c r="AE50" s="686"/>
      <c r="AF50" s="684"/>
      <c r="AG50" s="685"/>
      <c r="AH50" s="685"/>
      <c r="AI50" s="685"/>
      <c r="AJ50" s="685"/>
      <c r="AK50" s="685"/>
      <c r="AL50" s="677"/>
      <c r="AM50" s="677"/>
      <c r="AN50" s="677"/>
      <c r="AO50" s="677"/>
      <c r="AP50" s="677"/>
      <c r="AQ50" s="679"/>
      <c r="AR50" s="832"/>
      <c r="AS50" s="833"/>
      <c r="AT50" s="673" t="s">
        <v>153</v>
      </c>
      <c r="AU50" s="673"/>
      <c r="AV50" s="673"/>
      <c r="AW50" s="673"/>
      <c r="AX50" s="673"/>
      <c r="AY50" s="673"/>
      <c r="AZ50" s="673"/>
      <c r="BA50" s="673"/>
      <c r="BB50" s="673"/>
      <c r="BC50" s="674"/>
      <c r="BD50" s="692"/>
      <c r="BE50" s="640"/>
      <c r="BF50" s="640"/>
      <c r="BG50" s="640"/>
      <c r="BH50" s="640"/>
      <c r="BI50" s="683"/>
      <c r="BJ50" s="639"/>
      <c r="BK50" s="640"/>
      <c r="BL50" s="640"/>
      <c r="BM50" s="640"/>
      <c r="BN50" s="640"/>
      <c r="BO50" s="683"/>
      <c r="BP50" s="670"/>
      <c r="BQ50" s="671"/>
      <c r="BR50" s="671"/>
      <c r="BS50" s="671"/>
      <c r="BT50" s="671"/>
      <c r="BU50" s="672"/>
      <c r="BV50" s="636"/>
      <c r="BW50" s="637"/>
      <c r="BX50" s="637"/>
      <c r="BY50" s="637"/>
      <c r="BZ50" s="637"/>
      <c r="CA50" s="638"/>
      <c r="CB50" s="639"/>
      <c r="CC50" s="640"/>
      <c r="CD50" s="640"/>
      <c r="CE50" s="640"/>
      <c r="CF50" s="640"/>
      <c r="CG50" s="641"/>
      <c r="CL50" s="138"/>
      <c r="CM50" s="138"/>
      <c r="CN50" s="648"/>
      <c r="CO50" s="648"/>
      <c r="CP50" s="648"/>
      <c r="CQ50" s="648"/>
      <c r="CR50" s="648"/>
      <c r="CS50" s="648"/>
      <c r="CT50" s="648"/>
      <c r="CU50" s="648"/>
      <c r="CV50" s="648"/>
      <c r="CW50" s="648"/>
      <c r="CX50" s="654"/>
      <c r="CY50" s="654"/>
      <c r="CZ50" s="654"/>
      <c r="DA50" s="654"/>
      <c r="DB50" s="654"/>
      <c r="DC50" s="654"/>
      <c r="DD50" s="650"/>
      <c r="DE50" s="650"/>
      <c r="DF50" s="650"/>
      <c r="DG50" s="650"/>
      <c r="DH50" s="650"/>
      <c r="DI50" s="650"/>
      <c r="DJ50" s="651"/>
      <c r="DK50" s="651"/>
      <c r="DL50" s="651"/>
      <c r="DM50" s="651"/>
      <c r="DN50" s="651"/>
      <c r="DO50" s="651"/>
    </row>
    <row r="51" spans="1:119" ht="9.75" customHeight="1">
      <c r="A51" s="128">
        <v>48</v>
      </c>
      <c r="B51" s="688"/>
      <c r="C51" s="689"/>
      <c r="D51" s="673" t="s">
        <v>90</v>
      </c>
      <c r="E51" s="673"/>
      <c r="F51" s="673"/>
      <c r="G51" s="673"/>
      <c r="H51" s="673"/>
      <c r="I51" s="673"/>
      <c r="J51" s="673"/>
      <c r="K51" s="673"/>
      <c r="L51" s="673"/>
      <c r="M51" s="674"/>
      <c r="N51" s="684"/>
      <c r="O51" s="685"/>
      <c r="P51" s="685"/>
      <c r="Q51" s="685"/>
      <c r="R51" s="685"/>
      <c r="S51" s="685"/>
      <c r="T51" s="676"/>
      <c r="U51" s="676"/>
      <c r="V51" s="676"/>
      <c r="W51" s="676"/>
      <c r="X51" s="676"/>
      <c r="Y51" s="676"/>
      <c r="Z51" s="685"/>
      <c r="AA51" s="685"/>
      <c r="AB51" s="685"/>
      <c r="AC51" s="685"/>
      <c r="AD51" s="685"/>
      <c r="AE51" s="686"/>
      <c r="AF51" s="684"/>
      <c r="AG51" s="685"/>
      <c r="AH51" s="685"/>
      <c r="AI51" s="685"/>
      <c r="AJ51" s="685"/>
      <c r="AK51" s="685"/>
      <c r="AL51" s="677"/>
      <c r="AM51" s="677"/>
      <c r="AN51" s="677"/>
      <c r="AO51" s="677"/>
      <c r="AP51" s="677"/>
      <c r="AQ51" s="679"/>
      <c r="AR51" s="832"/>
      <c r="AS51" s="833"/>
      <c r="AT51" s="673" t="s">
        <v>340</v>
      </c>
      <c r="AU51" s="673"/>
      <c r="AV51" s="673"/>
      <c r="AW51" s="673"/>
      <c r="AX51" s="673"/>
      <c r="AY51" s="673"/>
      <c r="AZ51" s="673"/>
      <c r="BA51" s="673"/>
      <c r="BB51" s="673"/>
      <c r="BC51" s="674"/>
      <c r="BD51" s="692"/>
      <c r="BE51" s="640"/>
      <c r="BF51" s="640"/>
      <c r="BG51" s="640"/>
      <c r="BH51" s="640"/>
      <c r="BI51" s="683"/>
      <c r="BJ51" s="639"/>
      <c r="BK51" s="640"/>
      <c r="BL51" s="640"/>
      <c r="BM51" s="640"/>
      <c r="BN51" s="640"/>
      <c r="BO51" s="683"/>
      <c r="BP51" s="670"/>
      <c r="BQ51" s="671"/>
      <c r="BR51" s="671"/>
      <c r="BS51" s="671"/>
      <c r="BT51" s="671"/>
      <c r="BU51" s="672"/>
      <c r="BV51" s="636"/>
      <c r="BW51" s="637"/>
      <c r="BX51" s="637"/>
      <c r="BY51" s="637"/>
      <c r="BZ51" s="637"/>
      <c r="CA51" s="638"/>
      <c r="CB51" s="639"/>
      <c r="CC51" s="640"/>
      <c r="CD51" s="640"/>
      <c r="CE51" s="640"/>
      <c r="CF51" s="640"/>
      <c r="CG51" s="641"/>
      <c r="CL51" s="138"/>
      <c r="CM51" s="138"/>
      <c r="CN51" s="693"/>
      <c r="CO51" s="648"/>
      <c r="CP51" s="648"/>
      <c r="CQ51" s="648"/>
      <c r="CR51" s="648"/>
      <c r="CS51" s="648"/>
      <c r="CT51" s="648"/>
      <c r="CU51" s="648"/>
      <c r="CV51" s="648"/>
      <c r="CW51" s="648"/>
      <c r="CX51" s="654"/>
      <c r="CY51" s="654"/>
      <c r="CZ51" s="654"/>
      <c r="DA51" s="654"/>
      <c r="DB51" s="654"/>
      <c r="DC51" s="654"/>
      <c r="DD51" s="650"/>
      <c r="DE51" s="650"/>
      <c r="DF51" s="650"/>
      <c r="DG51" s="650"/>
      <c r="DH51" s="650"/>
      <c r="DI51" s="650"/>
      <c r="DJ51" s="651"/>
      <c r="DK51" s="651"/>
      <c r="DL51" s="651"/>
      <c r="DM51" s="651"/>
      <c r="DN51" s="651"/>
      <c r="DO51" s="651"/>
    </row>
    <row r="52" spans="1:119" ht="9.75" customHeight="1">
      <c r="A52" s="128">
        <v>49</v>
      </c>
      <c r="B52" s="688"/>
      <c r="C52" s="689"/>
      <c r="D52" s="673" t="s">
        <v>1</v>
      </c>
      <c r="E52" s="673"/>
      <c r="F52" s="673"/>
      <c r="G52" s="673"/>
      <c r="H52" s="673"/>
      <c r="I52" s="673"/>
      <c r="J52" s="673"/>
      <c r="K52" s="673"/>
      <c r="L52" s="673"/>
      <c r="M52" s="674"/>
      <c r="N52" s="684"/>
      <c r="O52" s="685"/>
      <c r="P52" s="685"/>
      <c r="Q52" s="685"/>
      <c r="R52" s="685"/>
      <c r="S52" s="685"/>
      <c r="T52" s="677"/>
      <c r="U52" s="677"/>
      <c r="V52" s="677"/>
      <c r="W52" s="677"/>
      <c r="X52" s="677"/>
      <c r="Y52" s="677"/>
      <c r="Z52" s="685"/>
      <c r="AA52" s="685"/>
      <c r="AB52" s="685"/>
      <c r="AC52" s="685"/>
      <c r="AD52" s="685"/>
      <c r="AE52" s="686"/>
      <c r="AF52" s="684"/>
      <c r="AG52" s="685"/>
      <c r="AH52" s="685"/>
      <c r="AI52" s="685"/>
      <c r="AJ52" s="685"/>
      <c r="AK52" s="685"/>
      <c r="AL52" s="677"/>
      <c r="AM52" s="677"/>
      <c r="AN52" s="677"/>
      <c r="AO52" s="677"/>
      <c r="AP52" s="677"/>
      <c r="AQ52" s="679"/>
      <c r="AR52" s="832"/>
      <c r="AS52" s="833"/>
      <c r="AT52" s="673" t="s">
        <v>152</v>
      </c>
      <c r="AU52" s="673"/>
      <c r="AV52" s="673"/>
      <c r="AW52" s="673" t="s">
        <v>151</v>
      </c>
      <c r="AX52" s="673"/>
      <c r="AY52" s="673"/>
      <c r="AZ52" s="673"/>
      <c r="BA52" s="673"/>
      <c r="BB52" s="673"/>
      <c r="BC52" s="674"/>
      <c r="BD52" s="692"/>
      <c r="BE52" s="640"/>
      <c r="BF52" s="640"/>
      <c r="BG52" s="640"/>
      <c r="BH52" s="640"/>
      <c r="BI52" s="683"/>
      <c r="BJ52" s="639"/>
      <c r="BK52" s="640"/>
      <c r="BL52" s="640"/>
      <c r="BM52" s="640"/>
      <c r="BN52" s="640"/>
      <c r="BO52" s="683"/>
      <c r="BP52" s="670"/>
      <c r="BQ52" s="671"/>
      <c r="BR52" s="671"/>
      <c r="BS52" s="671"/>
      <c r="BT52" s="671"/>
      <c r="BU52" s="672"/>
      <c r="BV52" s="636"/>
      <c r="BW52" s="637"/>
      <c r="BX52" s="637"/>
      <c r="BY52" s="637"/>
      <c r="BZ52" s="637"/>
      <c r="CA52" s="638"/>
      <c r="CB52" s="639"/>
      <c r="CC52" s="640"/>
      <c r="CD52" s="640"/>
      <c r="CE52" s="640"/>
      <c r="CF52" s="640"/>
      <c r="CG52" s="641"/>
      <c r="CL52" s="138"/>
      <c r="CM52" s="138"/>
      <c r="CN52" s="648"/>
      <c r="CO52" s="648"/>
      <c r="CP52" s="648"/>
      <c r="CQ52" s="648"/>
      <c r="CR52" s="648"/>
      <c r="CS52" s="648"/>
      <c r="CT52" s="648"/>
      <c r="CU52" s="648"/>
      <c r="CV52" s="648"/>
      <c r="CW52" s="648"/>
      <c r="CX52" s="654"/>
      <c r="CY52" s="654"/>
      <c r="CZ52" s="654"/>
      <c r="DA52" s="654"/>
      <c r="DB52" s="654"/>
      <c r="DC52" s="654"/>
      <c r="DD52" s="650"/>
      <c r="DE52" s="650"/>
      <c r="DF52" s="650"/>
      <c r="DG52" s="650"/>
      <c r="DH52" s="650"/>
      <c r="DI52" s="650"/>
      <c r="DJ52" s="651"/>
      <c r="DK52" s="651"/>
      <c r="DL52" s="651"/>
      <c r="DM52" s="651"/>
      <c r="DN52" s="651"/>
      <c r="DO52" s="651"/>
    </row>
    <row r="53" spans="1:119" ht="9.75" customHeight="1">
      <c r="A53" s="128">
        <v>50</v>
      </c>
      <c r="B53" s="658" t="s">
        <v>422</v>
      </c>
      <c r="C53" s="659"/>
      <c r="D53" s="694" t="s">
        <v>203</v>
      </c>
      <c r="E53" s="695"/>
      <c r="F53" s="695"/>
      <c r="G53" s="673" t="s">
        <v>202</v>
      </c>
      <c r="H53" s="673"/>
      <c r="I53" s="673"/>
      <c r="J53" s="673"/>
      <c r="K53" s="673"/>
      <c r="L53" s="673"/>
      <c r="M53" s="674"/>
      <c r="N53" s="684"/>
      <c r="O53" s="685"/>
      <c r="P53" s="685"/>
      <c r="Q53" s="685"/>
      <c r="R53" s="685"/>
      <c r="S53" s="685"/>
      <c r="T53" s="676"/>
      <c r="U53" s="676"/>
      <c r="V53" s="676"/>
      <c r="W53" s="676"/>
      <c r="X53" s="676"/>
      <c r="Y53" s="676"/>
      <c r="Z53" s="685"/>
      <c r="AA53" s="685"/>
      <c r="AB53" s="685"/>
      <c r="AC53" s="685"/>
      <c r="AD53" s="685"/>
      <c r="AE53" s="686"/>
      <c r="AF53" s="684"/>
      <c r="AG53" s="685"/>
      <c r="AH53" s="685"/>
      <c r="AI53" s="685"/>
      <c r="AJ53" s="685"/>
      <c r="AK53" s="685"/>
      <c r="AL53" s="677"/>
      <c r="AM53" s="677"/>
      <c r="AN53" s="677"/>
      <c r="AO53" s="677"/>
      <c r="AP53" s="677"/>
      <c r="AQ53" s="679"/>
      <c r="AR53" s="832"/>
      <c r="AS53" s="833"/>
      <c r="AT53" s="673"/>
      <c r="AU53" s="673"/>
      <c r="AV53" s="673"/>
      <c r="AW53" s="673" t="s">
        <v>147</v>
      </c>
      <c r="AX53" s="673"/>
      <c r="AY53" s="673"/>
      <c r="AZ53" s="673"/>
      <c r="BA53" s="673"/>
      <c r="BB53" s="673"/>
      <c r="BC53" s="674"/>
      <c r="BD53" s="692"/>
      <c r="BE53" s="640"/>
      <c r="BF53" s="640"/>
      <c r="BG53" s="640"/>
      <c r="BH53" s="640"/>
      <c r="BI53" s="683"/>
      <c r="BJ53" s="639"/>
      <c r="BK53" s="640"/>
      <c r="BL53" s="640"/>
      <c r="BM53" s="640"/>
      <c r="BN53" s="640"/>
      <c r="BO53" s="683"/>
      <c r="BP53" s="670"/>
      <c r="BQ53" s="671"/>
      <c r="BR53" s="671"/>
      <c r="BS53" s="671"/>
      <c r="BT53" s="671"/>
      <c r="BU53" s="672"/>
      <c r="BV53" s="636"/>
      <c r="BW53" s="637"/>
      <c r="BX53" s="637"/>
      <c r="BY53" s="637"/>
      <c r="BZ53" s="637"/>
      <c r="CA53" s="638"/>
      <c r="CB53" s="639"/>
      <c r="CC53" s="640"/>
      <c r="CD53" s="640"/>
      <c r="CE53" s="640"/>
      <c r="CF53" s="640"/>
      <c r="CG53" s="641"/>
      <c r="CL53" s="138"/>
      <c r="CM53" s="138"/>
      <c r="CN53" s="648"/>
      <c r="CO53" s="648"/>
      <c r="CP53" s="648"/>
      <c r="CQ53" s="648"/>
      <c r="CR53" s="648"/>
      <c r="CS53" s="648"/>
      <c r="CT53" s="648"/>
      <c r="CU53" s="648"/>
      <c r="CV53" s="648"/>
      <c r="CW53" s="648"/>
      <c r="CX53" s="654"/>
      <c r="CY53" s="654"/>
      <c r="CZ53" s="654"/>
      <c r="DA53" s="654"/>
      <c r="DB53" s="654"/>
      <c r="DC53" s="654"/>
      <c r="DD53" s="650"/>
      <c r="DE53" s="650"/>
      <c r="DF53" s="650"/>
      <c r="DG53" s="650"/>
      <c r="DH53" s="650"/>
      <c r="DI53" s="650"/>
      <c r="DJ53" s="651"/>
      <c r="DK53" s="651"/>
      <c r="DL53" s="651"/>
      <c r="DM53" s="651"/>
      <c r="DN53" s="651"/>
      <c r="DO53" s="651"/>
    </row>
    <row r="54" spans="1:119" ht="9.75" customHeight="1">
      <c r="A54" s="128">
        <v>51</v>
      </c>
      <c r="B54" s="660"/>
      <c r="C54" s="661"/>
      <c r="D54" s="695"/>
      <c r="E54" s="695"/>
      <c r="F54" s="695"/>
      <c r="G54" s="673" t="s">
        <v>201</v>
      </c>
      <c r="H54" s="673"/>
      <c r="I54" s="673"/>
      <c r="J54" s="673"/>
      <c r="K54" s="673"/>
      <c r="L54" s="673"/>
      <c r="M54" s="674"/>
      <c r="N54" s="684"/>
      <c r="O54" s="685"/>
      <c r="P54" s="685"/>
      <c r="Q54" s="685"/>
      <c r="R54" s="685"/>
      <c r="S54" s="685"/>
      <c r="T54" s="676"/>
      <c r="U54" s="676"/>
      <c r="V54" s="676"/>
      <c r="W54" s="676"/>
      <c r="X54" s="676"/>
      <c r="Y54" s="676"/>
      <c r="Z54" s="685"/>
      <c r="AA54" s="685"/>
      <c r="AB54" s="685"/>
      <c r="AC54" s="685"/>
      <c r="AD54" s="685"/>
      <c r="AE54" s="686"/>
      <c r="AF54" s="684"/>
      <c r="AG54" s="685"/>
      <c r="AH54" s="685"/>
      <c r="AI54" s="685"/>
      <c r="AJ54" s="685"/>
      <c r="AK54" s="685"/>
      <c r="AL54" s="677"/>
      <c r="AM54" s="677"/>
      <c r="AN54" s="677"/>
      <c r="AO54" s="677"/>
      <c r="AP54" s="677"/>
      <c r="AQ54" s="679"/>
      <c r="AR54" s="832"/>
      <c r="AS54" s="833"/>
      <c r="AT54" s="674" t="s">
        <v>435</v>
      </c>
      <c r="AU54" s="690"/>
      <c r="AV54" s="690"/>
      <c r="AW54" s="690"/>
      <c r="AX54" s="690"/>
      <c r="AY54" s="690"/>
      <c r="AZ54" s="690"/>
      <c r="BA54" s="690"/>
      <c r="BB54" s="690"/>
      <c r="BC54" s="691"/>
      <c r="BD54" s="692"/>
      <c r="BE54" s="640"/>
      <c r="BF54" s="640"/>
      <c r="BG54" s="640"/>
      <c r="BH54" s="640"/>
      <c r="BI54" s="683"/>
      <c r="BJ54" s="639"/>
      <c r="BK54" s="640"/>
      <c r="BL54" s="640"/>
      <c r="BM54" s="640"/>
      <c r="BN54" s="640"/>
      <c r="BO54" s="683"/>
      <c r="BP54" s="670"/>
      <c r="BQ54" s="671"/>
      <c r="BR54" s="671"/>
      <c r="BS54" s="671"/>
      <c r="BT54" s="671"/>
      <c r="BU54" s="672"/>
      <c r="BV54" s="636"/>
      <c r="BW54" s="637"/>
      <c r="BX54" s="637"/>
      <c r="BY54" s="637"/>
      <c r="BZ54" s="637"/>
      <c r="CA54" s="638"/>
      <c r="CB54" s="639"/>
      <c r="CC54" s="640"/>
      <c r="CD54" s="640"/>
      <c r="CE54" s="640"/>
      <c r="CF54" s="640"/>
      <c r="CG54" s="641"/>
      <c r="CL54" s="138"/>
      <c r="CM54" s="138"/>
      <c r="CN54" s="693"/>
      <c r="CO54" s="693"/>
      <c r="CP54" s="693"/>
      <c r="CQ54" s="693"/>
      <c r="CR54" s="693"/>
      <c r="CS54" s="693"/>
      <c r="CT54" s="693"/>
      <c r="CU54" s="693"/>
      <c r="CV54" s="693"/>
      <c r="CW54" s="693"/>
      <c r="CX54" s="654"/>
      <c r="CY54" s="654"/>
      <c r="CZ54" s="654"/>
      <c r="DA54" s="654"/>
      <c r="DB54" s="654"/>
      <c r="DC54" s="654"/>
      <c r="DD54" s="650"/>
      <c r="DE54" s="650"/>
      <c r="DF54" s="650"/>
      <c r="DG54" s="650"/>
      <c r="DH54" s="650"/>
      <c r="DI54" s="650"/>
      <c r="DJ54" s="651"/>
      <c r="DK54" s="651"/>
      <c r="DL54" s="651"/>
      <c r="DM54" s="651"/>
      <c r="DN54" s="651"/>
      <c r="DO54" s="651"/>
    </row>
    <row r="55" spans="1:119" ht="9.75" customHeight="1">
      <c r="A55" s="128">
        <v>52</v>
      </c>
      <c r="B55" s="660"/>
      <c r="C55" s="661"/>
      <c r="D55" s="695"/>
      <c r="E55" s="695"/>
      <c r="F55" s="695"/>
      <c r="G55" s="673" t="s">
        <v>199</v>
      </c>
      <c r="H55" s="673"/>
      <c r="I55" s="673"/>
      <c r="J55" s="673"/>
      <c r="K55" s="673"/>
      <c r="L55" s="673"/>
      <c r="M55" s="674"/>
      <c r="N55" s="684"/>
      <c r="O55" s="685"/>
      <c r="P55" s="685"/>
      <c r="Q55" s="685"/>
      <c r="R55" s="685"/>
      <c r="S55" s="685"/>
      <c r="T55" s="676"/>
      <c r="U55" s="676"/>
      <c r="V55" s="676"/>
      <c r="W55" s="676"/>
      <c r="X55" s="676"/>
      <c r="Y55" s="676"/>
      <c r="Z55" s="685"/>
      <c r="AA55" s="685"/>
      <c r="AB55" s="685"/>
      <c r="AC55" s="685"/>
      <c r="AD55" s="685"/>
      <c r="AE55" s="686"/>
      <c r="AF55" s="684"/>
      <c r="AG55" s="685"/>
      <c r="AH55" s="685"/>
      <c r="AI55" s="685"/>
      <c r="AJ55" s="685"/>
      <c r="AK55" s="685"/>
      <c r="AL55" s="677"/>
      <c r="AM55" s="677"/>
      <c r="AN55" s="677"/>
      <c r="AO55" s="677"/>
      <c r="AP55" s="677"/>
      <c r="AQ55" s="679"/>
      <c r="AR55" s="832"/>
      <c r="AS55" s="833"/>
      <c r="AT55" s="673" t="s">
        <v>90</v>
      </c>
      <c r="AU55" s="673"/>
      <c r="AV55" s="673"/>
      <c r="AW55" s="673"/>
      <c r="AX55" s="673"/>
      <c r="AY55" s="673"/>
      <c r="AZ55" s="673"/>
      <c r="BA55" s="673"/>
      <c r="BB55" s="673"/>
      <c r="BC55" s="674"/>
      <c r="BD55" s="680"/>
      <c r="BE55" s="681"/>
      <c r="BF55" s="681"/>
      <c r="BG55" s="681"/>
      <c r="BH55" s="681"/>
      <c r="BI55" s="682"/>
      <c r="BJ55" s="639"/>
      <c r="BK55" s="640"/>
      <c r="BL55" s="640"/>
      <c r="BM55" s="640"/>
      <c r="BN55" s="640"/>
      <c r="BO55" s="683"/>
      <c r="BP55" s="670"/>
      <c r="BQ55" s="671"/>
      <c r="BR55" s="671"/>
      <c r="BS55" s="671"/>
      <c r="BT55" s="671"/>
      <c r="BU55" s="672"/>
      <c r="BV55" s="636"/>
      <c r="BW55" s="637"/>
      <c r="BX55" s="637"/>
      <c r="BY55" s="637"/>
      <c r="BZ55" s="637"/>
      <c r="CA55" s="638"/>
      <c r="CB55" s="639"/>
      <c r="CC55" s="640"/>
      <c r="CD55" s="640"/>
      <c r="CE55" s="640"/>
      <c r="CF55" s="640"/>
      <c r="CG55" s="641"/>
      <c r="CL55" s="138"/>
      <c r="CM55" s="138"/>
      <c r="CN55" s="648"/>
      <c r="CO55" s="648"/>
      <c r="CP55" s="648"/>
      <c r="CQ55" s="648"/>
      <c r="CR55" s="648"/>
      <c r="CS55" s="648"/>
      <c r="CT55" s="648"/>
      <c r="CU55" s="648"/>
      <c r="CV55" s="648"/>
      <c r="CW55" s="648"/>
      <c r="CX55" s="654"/>
      <c r="CY55" s="654"/>
      <c r="CZ55" s="654"/>
      <c r="DA55" s="654"/>
      <c r="DB55" s="654"/>
      <c r="DC55" s="654"/>
      <c r="DD55" s="650"/>
      <c r="DE55" s="650"/>
      <c r="DF55" s="650"/>
      <c r="DG55" s="650"/>
      <c r="DH55" s="650"/>
      <c r="DI55" s="650"/>
      <c r="DJ55" s="651"/>
      <c r="DK55" s="651"/>
      <c r="DL55" s="651"/>
      <c r="DM55" s="651"/>
      <c r="DN55" s="651"/>
      <c r="DO55" s="651"/>
    </row>
    <row r="56" spans="1:119" ht="9.75" customHeight="1">
      <c r="A56" s="128">
        <v>53</v>
      </c>
      <c r="B56" s="660"/>
      <c r="C56" s="661"/>
      <c r="D56" s="673" t="s">
        <v>198</v>
      </c>
      <c r="E56" s="673"/>
      <c r="F56" s="673"/>
      <c r="G56" s="673"/>
      <c r="H56" s="673"/>
      <c r="I56" s="673"/>
      <c r="J56" s="673"/>
      <c r="K56" s="673"/>
      <c r="L56" s="673"/>
      <c r="M56" s="674"/>
      <c r="N56" s="684"/>
      <c r="O56" s="685"/>
      <c r="P56" s="685"/>
      <c r="Q56" s="685"/>
      <c r="R56" s="685"/>
      <c r="S56" s="685"/>
      <c r="T56" s="676"/>
      <c r="U56" s="676"/>
      <c r="V56" s="676"/>
      <c r="W56" s="676"/>
      <c r="X56" s="676"/>
      <c r="Y56" s="676"/>
      <c r="Z56" s="685"/>
      <c r="AA56" s="685"/>
      <c r="AB56" s="685"/>
      <c r="AC56" s="685"/>
      <c r="AD56" s="685"/>
      <c r="AE56" s="686"/>
      <c r="AF56" s="684"/>
      <c r="AG56" s="685"/>
      <c r="AH56" s="685"/>
      <c r="AI56" s="685"/>
      <c r="AJ56" s="685"/>
      <c r="AK56" s="685"/>
      <c r="AL56" s="677"/>
      <c r="AM56" s="677"/>
      <c r="AN56" s="677"/>
      <c r="AO56" s="677"/>
      <c r="AP56" s="677"/>
      <c r="AQ56" s="679"/>
      <c r="AR56" s="832"/>
      <c r="AS56" s="833"/>
      <c r="AT56" s="728" t="s">
        <v>1</v>
      </c>
      <c r="AU56" s="728"/>
      <c r="AV56" s="728"/>
      <c r="AW56" s="673"/>
      <c r="AX56" s="673"/>
      <c r="AY56" s="673"/>
      <c r="AZ56" s="673"/>
      <c r="BA56" s="673"/>
      <c r="BB56" s="673"/>
      <c r="BC56" s="674"/>
      <c r="BD56" s="680"/>
      <c r="BE56" s="681"/>
      <c r="BF56" s="681"/>
      <c r="BG56" s="681"/>
      <c r="BH56" s="681"/>
      <c r="BI56" s="682"/>
      <c r="BJ56" s="670"/>
      <c r="BK56" s="671"/>
      <c r="BL56" s="671"/>
      <c r="BM56" s="671"/>
      <c r="BN56" s="671"/>
      <c r="BO56" s="687"/>
      <c r="BP56" s="670"/>
      <c r="BQ56" s="671"/>
      <c r="BR56" s="671"/>
      <c r="BS56" s="671"/>
      <c r="BT56" s="671"/>
      <c r="BU56" s="672"/>
      <c r="BV56" s="636"/>
      <c r="BW56" s="637"/>
      <c r="BX56" s="637"/>
      <c r="BY56" s="637"/>
      <c r="BZ56" s="637"/>
      <c r="CA56" s="638"/>
      <c r="CB56" s="639"/>
      <c r="CC56" s="640"/>
      <c r="CD56" s="640"/>
      <c r="CE56" s="640"/>
      <c r="CF56" s="640"/>
      <c r="CG56" s="641"/>
      <c r="CL56" s="138"/>
      <c r="CM56" s="138"/>
      <c r="CN56" s="648"/>
      <c r="CO56" s="648"/>
      <c r="CP56" s="648"/>
      <c r="CQ56" s="648"/>
      <c r="CR56" s="648"/>
      <c r="CS56" s="648"/>
      <c r="CT56" s="648"/>
      <c r="CU56" s="648"/>
      <c r="CV56" s="648"/>
      <c r="CW56" s="648"/>
      <c r="CX56" s="654"/>
      <c r="CY56" s="654"/>
      <c r="CZ56" s="654"/>
      <c r="DA56" s="654"/>
      <c r="DB56" s="654"/>
      <c r="DC56" s="654"/>
      <c r="DD56" s="650"/>
      <c r="DE56" s="650"/>
      <c r="DF56" s="650"/>
      <c r="DG56" s="650"/>
      <c r="DH56" s="650"/>
      <c r="DI56" s="650"/>
      <c r="DJ56" s="651"/>
      <c r="DK56" s="651"/>
      <c r="DL56" s="651"/>
      <c r="DM56" s="651"/>
      <c r="DN56" s="651"/>
      <c r="DO56" s="651"/>
    </row>
    <row r="57" spans="1:119" ht="9.75" customHeight="1">
      <c r="A57" s="128">
        <v>54</v>
      </c>
      <c r="B57" s="660"/>
      <c r="C57" s="661"/>
      <c r="D57" s="673" t="s">
        <v>197</v>
      </c>
      <c r="E57" s="673"/>
      <c r="F57" s="673"/>
      <c r="G57" s="673"/>
      <c r="H57" s="673"/>
      <c r="I57" s="673"/>
      <c r="J57" s="673"/>
      <c r="K57" s="673"/>
      <c r="L57" s="673"/>
      <c r="M57" s="674"/>
      <c r="N57" s="675"/>
      <c r="O57" s="676"/>
      <c r="P57" s="676"/>
      <c r="Q57" s="676"/>
      <c r="R57" s="676"/>
      <c r="S57" s="676"/>
      <c r="T57" s="676"/>
      <c r="U57" s="676"/>
      <c r="V57" s="676"/>
      <c r="W57" s="676"/>
      <c r="X57" s="676"/>
      <c r="Y57" s="676"/>
      <c r="Z57" s="677"/>
      <c r="AA57" s="677"/>
      <c r="AB57" s="677"/>
      <c r="AC57" s="677"/>
      <c r="AD57" s="677"/>
      <c r="AE57" s="670"/>
      <c r="AF57" s="678"/>
      <c r="AG57" s="677"/>
      <c r="AH57" s="677"/>
      <c r="AI57" s="677"/>
      <c r="AJ57" s="677"/>
      <c r="AK57" s="677"/>
      <c r="AL57" s="677"/>
      <c r="AM57" s="677"/>
      <c r="AN57" s="677"/>
      <c r="AO57" s="677"/>
      <c r="AP57" s="677"/>
      <c r="AQ57" s="679"/>
      <c r="AR57" s="834"/>
      <c r="AS57" s="835"/>
      <c r="AT57" s="113"/>
      <c r="AU57" s="114"/>
      <c r="AV57" s="115"/>
      <c r="AW57" s="673" t="s">
        <v>254</v>
      </c>
      <c r="AX57" s="673"/>
      <c r="AY57" s="673"/>
      <c r="AZ57" s="673"/>
      <c r="BA57" s="673"/>
      <c r="BB57" s="673"/>
      <c r="BC57" s="674"/>
      <c r="BD57" s="680"/>
      <c r="BE57" s="681"/>
      <c r="BF57" s="681"/>
      <c r="BG57" s="681"/>
      <c r="BH57" s="681"/>
      <c r="BI57" s="682"/>
      <c r="BJ57" s="639"/>
      <c r="BK57" s="640"/>
      <c r="BL57" s="640"/>
      <c r="BM57" s="640"/>
      <c r="BN57" s="640"/>
      <c r="BO57" s="683"/>
      <c r="BP57" s="670"/>
      <c r="BQ57" s="671"/>
      <c r="BR57" s="671"/>
      <c r="BS57" s="671"/>
      <c r="BT57" s="671"/>
      <c r="BU57" s="672"/>
      <c r="BV57" s="636"/>
      <c r="BW57" s="637"/>
      <c r="BX57" s="637"/>
      <c r="BY57" s="637"/>
      <c r="BZ57" s="637"/>
      <c r="CA57" s="638"/>
      <c r="CB57" s="639"/>
      <c r="CC57" s="640"/>
      <c r="CD57" s="640"/>
      <c r="CE57" s="640"/>
      <c r="CF57" s="640"/>
      <c r="CG57" s="641"/>
      <c r="CL57" s="138"/>
      <c r="CM57" s="138"/>
      <c r="CN57" s="648"/>
      <c r="CO57" s="648"/>
      <c r="CP57" s="648"/>
      <c r="CQ57" s="648"/>
      <c r="CR57" s="648"/>
      <c r="CS57" s="648"/>
      <c r="CT57" s="648"/>
      <c r="CU57" s="648"/>
      <c r="CV57" s="648"/>
      <c r="CW57" s="648"/>
      <c r="CX57" s="654"/>
      <c r="CY57" s="654"/>
      <c r="CZ57" s="654"/>
      <c r="DA57" s="654"/>
      <c r="DB57" s="654"/>
      <c r="DC57" s="654"/>
      <c r="DD57" s="650"/>
      <c r="DE57" s="650"/>
      <c r="DF57" s="650"/>
      <c r="DG57" s="650"/>
      <c r="DH57" s="650"/>
      <c r="DI57" s="650"/>
      <c r="DJ57" s="651"/>
      <c r="DK57" s="651"/>
      <c r="DL57" s="651"/>
      <c r="DM57" s="651"/>
      <c r="DN57" s="651"/>
      <c r="DO57" s="651"/>
    </row>
    <row r="58" spans="1:119" ht="9.75" customHeight="1">
      <c r="A58" s="128">
        <v>55</v>
      </c>
      <c r="B58" s="660"/>
      <c r="C58" s="661"/>
      <c r="D58" s="673" t="s">
        <v>196</v>
      </c>
      <c r="E58" s="673"/>
      <c r="F58" s="673"/>
      <c r="G58" s="673"/>
      <c r="H58" s="673"/>
      <c r="I58" s="673"/>
      <c r="J58" s="673"/>
      <c r="K58" s="673"/>
      <c r="L58" s="673"/>
      <c r="M58" s="674"/>
      <c r="N58" s="675"/>
      <c r="O58" s="676"/>
      <c r="P58" s="676"/>
      <c r="Q58" s="676"/>
      <c r="R58" s="676"/>
      <c r="S58" s="676"/>
      <c r="T58" s="676"/>
      <c r="U58" s="676"/>
      <c r="V58" s="676"/>
      <c r="W58" s="676"/>
      <c r="X58" s="676"/>
      <c r="Y58" s="676"/>
      <c r="Z58" s="677"/>
      <c r="AA58" s="677"/>
      <c r="AB58" s="677"/>
      <c r="AC58" s="677"/>
      <c r="AD58" s="677"/>
      <c r="AE58" s="670"/>
      <c r="AF58" s="678"/>
      <c r="AG58" s="677"/>
      <c r="AH58" s="677"/>
      <c r="AI58" s="677"/>
      <c r="AJ58" s="677"/>
      <c r="AK58" s="677"/>
      <c r="AL58" s="677"/>
      <c r="AM58" s="677"/>
      <c r="AN58" s="677"/>
      <c r="AO58" s="677"/>
      <c r="AP58" s="677"/>
      <c r="AQ58" s="679"/>
      <c r="AR58" s="864" t="s">
        <v>143</v>
      </c>
      <c r="AS58" s="728"/>
      <c r="AT58" s="673"/>
      <c r="AU58" s="673"/>
      <c r="AV58" s="673"/>
      <c r="AW58" s="673"/>
      <c r="AX58" s="673"/>
      <c r="AY58" s="673"/>
      <c r="AZ58" s="673"/>
      <c r="BA58" s="673"/>
      <c r="BB58" s="673"/>
      <c r="BC58" s="674"/>
      <c r="BD58" s="680"/>
      <c r="BE58" s="681"/>
      <c r="BF58" s="681"/>
      <c r="BG58" s="681"/>
      <c r="BH58" s="681"/>
      <c r="BI58" s="682"/>
      <c r="BJ58" s="639"/>
      <c r="BK58" s="640"/>
      <c r="BL58" s="640"/>
      <c r="BM58" s="640"/>
      <c r="BN58" s="640"/>
      <c r="BO58" s="683"/>
      <c r="BP58" s="670"/>
      <c r="BQ58" s="671"/>
      <c r="BR58" s="671"/>
      <c r="BS58" s="671"/>
      <c r="BT58" s="671"/>
      <c r="BU58" s="672"/>
      <c r="BV58" s="636"/>
      <c r="BW58" s="637"/>
      <c r="BX58" s="637"/>
      <c r="BY58" s="637"/>
      <c r="BZ58" s="637"/>
      <c r="CA58" s="638"/>
      <c r="CB58" s="639"/>
      <c r="CC58" s="640"/>
      <c r="CD58" s="640"/>
      <c r="CE58" s="640"/>
      <c r="CF58" s="640"/>
      <c r="CG58" s="641"/>
      <c r="CL58" s="138"/>
      <c r="CM58" s="138"/>
      <c r="CN58" s="648"/>
      <c r="CO58" s="648"/>
      <c r="CP58" s="648"/>
      <c r="CQ58" s="648"/>
      <c r="CR58" s="648"/>
      <c r="CS58" s="648"/>
      <c r="CT58" s="648"/>
      <c r="CU58" s="648"/>
      <c r="CV58" s="648"/>
      <c r="CW58" s="648"/>
      <c r="CX58" s="654"/>
      <c r="CY58" s="654"/>
      <c r="CZ58" s="654"/>
      <c r="DA58" s="654"/>
      <c r="DB58" s="654"/>
      <c r="DC58" s="654"/>
      <c r="DD58" s="650"/>
      <c r="DE58" s="650"/>
      <c r="DF58" s="650"/>
      <c r="DG58" s="650"/>
      <c r="DH58" s="650"/>
      <c r="DI58" s="650"/>
      <c r="DJ58" s="651"/>
      <c r="DK58" s="651"/>
      <c r="DL58" s="651"/>
      <c r="DM58" s="651"/>
      <c r="DN58" s="651"/>
      <c r="DO58" s="651"/>
    </row>
    <row r="59" spans="1:119" ht="9.75" customHeight="1" thickBot="1">
      <c r="A59" s="128">
        <v>56</v>
      </c>
      <c r="B59" s="660"/>
      <c r="C59" s="661"/>
      <c r="D59" s="674" t="s">
        <v>195</v>
      </c>
      <c r="E59" s="690"/>
      <c r="F59" s="690"/>
      <c r="G59" s="690"/>
      <c r="H59" s="690"/>
      <c r="I59" s="690"/>
      <c r="J59" s="690"/>
      <c r="K59" s="690"/>
      <c r="L59" s="690"/>
      <c r="M59" s="691"/>
      <c r="N59" s="675"/>
      <c r="O59" s="676"/>
      <c r="P59" s="676"/>
      <c r="Q59" s="676"/>
      <c r="R59" s="676"/>
      <c r="S59" s="676"/>
      <c r="T59" s="676"/>
      <c r="U59" s="676"/>
      <c r="V59" s="676"/>
      <c r="W59" s="676"/>
      <c r="X59" s="676"/>
      <c r="Y59" s="676"/>
      <c r="Z59" s="677"/>
      <c r="AA59" s="677"/>
      <c r="AB59" s="677"/>
      <c r="AC59" s="677"/>
      <c r="AD59" s="677"/>
      <c r="AE59" s="742"/>
      <c r="AF59" s="687"/>
      <c r="AG59" s="677"/>
      <c r="AH59" s="677"/>
      <c r="AI59" s="677"/>
      <c r="AJ59" s="677"/>
      <c r="AK59" s="677"/>
      <c r="AL59" s="677"/>
      <c r="AM59" s="677"/>
      <c r="AN59" s="677"/>
      <c r="AO59" s="677"/>
      <c r="AP59" s="677"/>
      <c r="AQ59" s="679"/>
      <c r="AR59" s="116"/>
      <c r="AS59" s="117"/>
      <c r="AT59" s="845" t="s">
        <v>254</v>
      </c>
      <c r="AU59" s="845"/>
      <c r="AV59" s="845"/>
      <c r="AW59" s="845"/>
      <c r="AX59" s="845"/>
      <c r="AY59" s="845"/>
      <c r="AZ59" s="845"/>
      <c r="BA59" s="845"/>
      <c r="BB59" s="845"/>
      <c r="BC59" s="846"/>
      <c r="BD59" s="847"/>
      <c r="BE59" s="848"/>
      <c r="BF59" s="848"/>
      <c r="BG59" s="848"/>
      <c r="BH59" s="848"/>
      <c r="BI59" s="731"/>
      <c r="BJ59" s="667"/>
      <c r="BK59" s="668"/>
      <c r="BL59" s="668"/>
      <c r="BM59" s="668"/>
      <c r="BN59" s="668"/>
      <c r="BO59" s="849"/>
      <c r="BP59" s="850"/>
      <c r="BQ59" s="851"/>
      <c r="BR59" s="851"/>
      <c r="BS59" s="851"/>
      <c r="BT59" s="851"/>
      <c r="BU59" s="852"/>
      <c r="BV59" s="636"/>
      <c r="BW59" s="637"/>
      <c r="BX59" s="637"/>
      <c r="BY59" s="637"/>
      <c r="BZ59" s="637"/>
      <c r="CA59" s="638"/>
      <c r="CB59" s="639"/>
      <c r="CC59" s="640"/>
      <c r="CD59" s="640"/>
      <c r="CE59" s="640"/>
      <c r="CF59" s="640"/>
      <c r="CG59" s="641"/>
      <c r="CL59" s="138"/>
      <c r="CM59" s="138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7"/>
      <c r="CY59" s="137"/>
      <c r="CZ59" s="137"/>
      <c r="DA59" s="137"/>
      <c r="DB59" s="137"/>
      <c r="DC59" s="137"/>
      <c r="DD59" s="135"/>
      <c r="DE59" s="135"/>
      <c r="DF59" s="135"/>
      <c r="DG59" s="135"/>
      <c r="DH59" s="135"/>
      <c r="DI59" s="135"/>
      <c r="DJ59" s="136"/>
      <c r="DK59" s="136"/>
      <c r="DL59" s="136"/>
      <c r="DM59" s="136"/>
      <c r="DN59" s="136"/>
      <c r="DO59" s="136"/>
    </row>
    <row r="60" spans="1:119" ht="9.75" customHeight="1">
      <c r="A60" s="128">
        <v>57</v>
      </c>
      <c r="B60" s="660"/>
      <c r="C60" s="661"/>
      <c r="D60" s="674" t="s">
        <v>194</v>
      </c>
      <c r="E60" s="690"/>
      <c r="F60" s="690"/>
      <c r="G60" s="690"/>
      <c r="H60" s="690"/>
      <c r="I60" s="690"/>
      <c r="J60" s="690"/>
      <c r="K60" s="690"/>
      <c r="L60" s="690"/>
      <c r="M60" s="691"/>
      <c r="N60" s="675"/>
      <c r="O60" s="676"/>
      <c r="P60" s="676"/>
      <c r="Q60" s="676"/>
      <c r="R60" s="676"/>
      <c r="S60" s="676"/>
      <c r="T60" s="676"/>
      <c r="U60" s="676"/>
      <c r="V60" s="676"/>
      <c r="W60" s="676"/>
      <c r="X60" s="676"/>
      <c r="Y60" s="676"/>
      <c r="Z60" s="677"/>
      <c r="AA60" s="677"/>
      <c r="AB60" s="677"/>
      <c r="AC60" s="677"/>
      <c r="AD60" s="677"/>
      <c r="AE60" s="742"/>
      <c r="AF60" s="687"/>
      <c r="AG60" s="677"/>
      <c r="AH60" s="677"/>
      <c r="AI60" s="677"/>
      <c r="AJ60" s="677"/>
      <c r="AK60" s="677"/>
      <c r="AL60" s="677"/>
      <c r="AM60" s="677"/>
      <c r="AN60" s="677"/>
      <c r="AO60" s="677"/>
      <c r="AP60" s="677"/>
      <c r="AQ60" s="679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9"/>
      <c r="BE60" s="139"/>
      <c r="BF60" s="139"/>
      <c r="BG60" s="139"/>
      <c r="BH60" s="139"/>
      <c r="BI60" s="139"/>
      <c r="BJ60" s="135"/>
      <c r="BK60" s="135"/>
      <c r="BL60" s="135"/>
      <c r="BM60" s="135"/>
      <c r="BN60" s="135"/>
      <c r="BO60" s="135"/>
      <c r="BP60" s="140"/>
      <c r="BQ60" s="140"/>
      <c r="BR60" s="140"/>
      <c r="BS60" s="140"/>
      <c r="BT60" s="140"/>
      <c r="BU60" s="140"/>
      <c r="BV60" s="636"/>
      <c r="BW60" s="637"/>
      <c r="BX60" s="637"/>
      <c r="BY60" s="637"/>
      <c r="BZ60" s="637"/>
      <c r="CA60" s="638"/>
      <c r="CB60" s="639"/>
      <c r="CC60" s="640"/>
      <c r="CD60" s="640"/>
      <c r="CE60" s="640"/>
      <c r="CF60" s="640"/>
      <c r="CG60" s="641"/>
      <c r="CL60" s="138"/>
      <c r="CM60" s="138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7"/>
      <c r="CY60" s="137"/>
      <c r="CZ60" s="137"/>
      <c r="DA60" s="137"/>
      <c r="DB60" s="137"/>
      <c r="DC60" s="137"/>
      <c r="DD60" s="135"/>
      <c r="DE60" s="135"/>
      <c r="DF60" s="135"/>
      <c r="DG60" s="135"/>
      <c r="DH60" s="135"/>
      <c r="DI60" s="135"/>
      <c r="DJ60" s="136"/>
      <c r="DK60" s="136"/>
      <c r="DL60" s="136"/>
      <c r="DM60" s="136"/>
      <c r="DN60" s="136"/>
      <c r="DO60" s="136"/>
    </row>
    <row r="61" spans="1:119" ht="9.75" customHeight="1">
      <c r="A61" s="128">
        <v>58</v>
      </c>
      <c r="B61" s="660"/>
      <c r="C61" s="661"/>
      <c r="D61" s="674" t="s">
        <v>193</v>
      </c>
      <c r="E61" s="690"/>
      <c r="F61" s="690"/>
      <c r="G61" s="690"/>
      <c r="H61" s="690"/>
      <c r="I61" s="690"/>
      <c r="J61" s="690"/>
      <c r="K61" s="690"/>
      <c r="L61" s="690"/>
      <c r="M61" s="691"/>
      <c r="N61" s="675"/>
      <c r="O61" s="676"/>
      <c r="P61" s="676"/>
      <c r="Q61" s="676"/>
      <c r="R61" s="676"/>
      <c r="S61" s="676"/>
      <c r="T61" s="676"/>
      <c r="U61" s="676"/>
      <c r="V61" s="676"/>
      <c r="W61" s="676"/>
      <c r="X61" s="676"/>
      <c r="Y61" s="676"/>
      <c r="Z61" s="677"/>
      <c r="AA61" s="677"/>
      <c r="AB61" s="677"/>
      <c r="AC61" s="677"/>
      <c r="AD61" s="677"/>
      <c r="AE61" s="742"/>
      <c r="AF61" s="687"/>
      <c r="AG61" s="677"/>
      <c r="AH61" s="677"/>
      <c r="AI61" s="677"/>
      <c r="AJ61" s="677"/>
      <c r="AK61" s="677"/>
      <c r="AL61" s="677"/>
      <c r="AM61" s="677"/>
      <c r="AN61" s="677"/>
      <c r="AO61" s="677"/>
      <c r="AP61" s="677"/>
      <c r="AQ61" s="679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9"/>
      <c r="BE61" s="139"/>
      <c r="BF61" s="139"/>
      <c r="BG61" s="139"/>
      <c r="BH61" s="139"/>
      <c r="BI61" s="139"/>
      <c r="BJ61" s="135"/>
      <c r="BK61" s="135"/>
      <c r="BL61" s="135"/>
      <c r="BM61" s="135"/>
      <c r="BN61" s="135"/>
      <c r="BO61" s="135"/>
      <c r="BP61" s="140"/>
      <c r="BQ61" s="140"/>
      <c r="BR61" s="140"/>
      <c r="BS61" s="140"/>
      <c r="BT61" s="140"/>
      <c r="BU61" s="140"/>
      <c r="BV61" s="636"/>
      <c r="BW61" s="637"/>
      <c r="BX61" s="637"/>
      <c r="BY61" s="637"/>
      <c r="BZ61" s="637"/>
      <c r="CA61" s="638"/>
      <c r="CB61" s="639"/>
      <c r="CC61" s="640"/>
      <c r="CD61" s="640"/>
      <c r="CE61" s="640"/>
      <c r="CF61" s="640"/>
      <c r="CG61" s="641"/>
      <c r="CL61" s="138"/>
      <c r="CM61" s="138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7"/>
      <c r="CY61" s="137"/>
      <c r="CZ61" s="137"/>
      <c r="DA61" s="137"/>
      <c r="DB61" s="137"/>
      <c r="DC61" s="137"/>
      <c r="DD61" s="135"/>
      <c r="DE61" s="135"/>
      <c r="DF61" s="135"/>
      <c r="DG61" s="135"/>
      <c r="DH61" s="135"/>
      <c r="DI61" s="135"/>
      <c r="DJ61" s="136"/>
      <c r="DK61" s="136"/>
      <c r="DL61" s="136"/>
      <c r="DM61" s="136"/>
      <c r="DN61" s="136"/>
      <c r="DO61" s="136"/>
    </row>
    <row r="62" spans="1:119" ht="9.75" customHeight="1">
      <c r="A62" s="128">
        <v>59</v>
      </c>
      <c r="B62" s="660"/>
      <c r="C62" s="661"/>
      <c r="D62" s="674" t="s">
        <v>192</v>
      </c>
      <c r="E62" s="690"/>
      <c r="F62" s="690"/>
      <c r="G62" s="690"/>
      <c r="H62" s="690"/>
      <c r="I62" s="690"/>
      <c r="J62" s="690"/>
      <c r="K62" s="690"/>
      <c r="L62" s="690"/>
      <c r="M62" s="691"/>
      <c r="N62" s="675"/>
      <c r="O62" s="676"/>
      <c r="P62" s="676"/>
      <c r="Q62" s="676"/>
      <c r="R62" s="676"/>
      <c r="S62" s="676"/>
      <c r="T62" s="676"/>
      <c r="U62" s="676"/>
      <c r="V62" s="676"/>
      <c r="W62" s="676"/>
      <c r="X62" s="676"/>
      <c r="Y62" s="676"/>
      <c r="Z62" s="677"/>
      <c r="AA62" s="677"/>
      <c r="AB62" s="677"/>
      <c r="AC62" s="677"/>
      <c r="AD62" s="677"/>
      <c r="AE62" s="742"/>
      <c r="AF62" s="687"/>
      <c r="AG62" s="677"/>
      <c r="AH62" s="677"/>
      <c r="AI62" s="677"/>
      <c r="AJ62" s="677"/>
      <c r="AK62" s="677"/>
      <c r="AL62" s="677"/>
      <c r="AM62" s="677"/>
      <c r="AN62" s="677"/>
      <c r="AO62" s="677"/>
      <c r="AP62" s="677"/>
      <c r="AQ62" s="679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9"/>
      <c r="BE62" s="139"/>
      <c r="BF62" s="139"/>
      <c r="BG62" s="139"/>
      <c r="BH62" s="139"/>
      <c r="BI62" s="139"/>
      <c r="BJ62" s="135"/>
      <c r="BK62" s="135"/>
      <c r="BL62" s="135"/>
      <c r="BM62" s="135"/>
      <c r="BN62" s="135"/>
      <c r="BO62" s="135"/>
      <c r="BP62" s="140"/>
      <c r="BQ62" s="140"/>
      <c r="BR62" s="140"/>
      <c r="BS62" s="140"/>
      <c r="BT62" s="140"/>
      <c r="BU62" s="140"/>
      <c r="BV62" s="636"/>
      <c r="BW62" s="637"/>
      <c r="BX62" s="637"/>
      <c r="BY62" s="637"/>
      <c r="BZ62" s="637"/>
      <c r="CA62" s="638"/>
      <c r="CB62" s="639"/>
      <c r="CC62" s="640"/>
      <c r="CD62" s="640"/>
      <c r="CE62" s="640"/>
      <c r="CF62" s="640"/>
      <c r="CG62" s="641"/>
      <c r="CL62" s="138"/>
      <c r="CM62" s="138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7"/>
      <c r="CY62" s="137"/>
      <c r="CZ62" s="137"/>
      <c r="DA62" s="137"/>
      <c r="DB62" s="137"/>
      <c r="DC62" s="137"/>
      <c r="DD62" s="135"/>
      <c r="DE62" s="135"/>
      <c r="DF62" s="135"/>
      <c r="DG62" s="135"/>
      <c r="DH62" s="135"/>
      <c r="DI62" s="135"/>
      <c r="DJ62" s="136"/>
      <c r="DK62" s="136"/>
      <c r="DL62" s="136"/>
      <c r="DM62" s="136"/>
      <c r="DN62" s="136"/>
      <c r="DO62" s="136"/>
    </row>
    <row r="63" spans="1:119" ht="9.75" customHeight="1">
      <c r="A63" s="128">
        <v>60</v>
      </c>
      <c r="B63" s="660"/>
      <c r="C63" s="661"/>
      <c r="D63" s="674" t="s">
        <v>421</v>
      </c>
      <c r="E63" s="690"/>
      <c r="F63" s="690"/>
      <c r="G63" s="690"/>
      <c r="H63" s="690"/>
      <c r="I63" s="690"/>
      <c r="J63" s="690"/>
      <c r="K63" s="690"/>
      <c r="L63" s="690"/>
      <c r="M63" s="691"/>
      <c r="N63" s="675"/>
      <c r="O63" s="676"/>
      <c r="P63" s="676"/>
      <c r="Q63" s="676"/>
      <c r="R63" s="676"/>
      <c r="S63" s="676"/>
      <c r="T63" s="676"/>
      <c r="U63" s="676"/>
      <c r="V63" s="676"/>
      <c r="W63" s="676"/>
      <c r="X63" s="676"/>
      <c r="Y63" s="676"/>
      <c r="Z63" s="677"/>
      <c r="AA63" s="677"/>
      <c r="AB63" s="677"/>
      <c r="AC63" s="677"/>
      <c r="AD63" s="677"/>
      <c r="AE63" s="742"/>
      <c r="AF63" s="687"/>
      <c r="AG63" s="677"/>
      <c r="AH63" s="677"/>
      <c r="AI63" s="677"/>
      <c r="AJ63" s="677"/>
      <c r="AK63" s="677"/>
      <c r="AL63" s="677"/>
      <c r="AM63" s="677"/>
      <c r="AN63" s="677"/>
      <c r="AO63" s="677"/>
      <c r="AP63" s="677"/>
      <c r="AQ63" s="679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9"/>
      <c r="BE63" s="139"/>
      <c r="BF63" s="139"/>
      <c r="BG63" s="139"/>
      <c r="BH63" s="139"/>
      <c r="BI63" s="139"/>
      <c r="BJ63" s="135"/>
      <c r="BK63" s="135"/>
      <c r="BL63" s="135"/>
      <c r="BM63" s="135"/>
      <c r="BN63" s="135"/>
      <c r="BO63" s="135"/>
      <c r="BP63" s="140"/>
      <c r="BQ63" s="140"/>
      <c r="BR63" s="140"/>
      <c r="BS63" s="140"/>
      <c r="BT63" s="140"/>
      <c r="BU63" s="140"/>
      <c r="BV63" s="636"/>
      <c r="BW63" s="637"/>
      <c r="BX63" s="637"/>
      <c r="BY63" s="637"/>
      <c r="BZ63" s="637"/>
      <c r="CA63" s="638"/>
      <c r="CB63" s="639"/>
      <c r="CC63" s="640"/>
      <c r="CD63" s="640"/>
      <c r="CE63" s="640"/>
      <c r="CF63" s="640"/>
      <c r="CG63" s="641"/>
      <c r="CL63" s="138"/>
      <c r="CM63" s="138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7"/>
      <c r="CY63" s="137"/>
      <c r="CZ63" s="137"/>
      <c r="DA63" s="137"/>
      <c r="DB63" s="137"/>
      <c r="DC63" s="137"/>
      <c r="DD63" s="135"/>
      <c r="DE63" s="135"/>
      <c r="DF63" s="135"/>
      <c r="DG63" s="135"/>
      <c r="DH63" s="135"/>
      <c r="DI63" s="135"/>
      <c r="DJ63" s="136"/>
      <c r="DK63" s="136"/>
      <c r="DL63" s="136"/>
      <c r="DM63" s="136"/>
      <c r="DN63" s="136"/>
      <c r="DO63" s="136"/>
    </row>
    <row r="64" spans="1:119" ht="9.75" customHeight="1">
      <c r="A64" s="128">
        <v>61</v>
      </c>
      <c r="B64" s="660"/>
      <c r="C64" s="661"/>
      <c r="D64" s="674" t="s">
        <v>90</v>
      </c>
      <c r="E64" s="690"/>
      <c r="F64" s="690"/>
      <c r="G64" s="690"/>
      <c r="H64" s="690"/>
      <c r="I64" s="690"/>
      <c r="J64" s="690"/>
      <c r="K64" s="690"/>
      <c r="L64" s="690"/>
      <c r="M64" s="691"/>
      <c r="N64" s="684"/>
      <c r="O64" s="685"/>
      <c r="P64" s="685"/>
      <c r="Q64" s="685"/>
      <c r="R64" s="685"/>
      <c r="S64" s="685"/>
      <c r="T64" s="676"/>
      <c r="U64" s="676"/>
      <c r="V64" s="676"/>
      <c r="W64" s="676"/>
      <c r="X64" s="676"/>
      <c r="Y64" s="676"/>
      <c r="Z64" s="685"/>
      <c r="AA64" s="685"/>
      <c r="AB64" s="685"/>
      <c r="AC64" s="685"/>
      <c r="AD64" s="685"/>
      <c r="AE64" s="743"/>
      <c r="AF64" s="682"/>
      <c r="AG64" s="685"/>
      <c r="AH64" s="685"/>
      <c r="AI64" s="685"/>
      <c r="AJ64" s="685"/>
      <c r="AK64" s="685"/>
      <c r="AL64" s="677"/>
      <c r="AM64" s="677"/>
      <c r="AN64" s="677"/>
      <c r="AO64" s="677"/>
      <c r="AP64" s="677"/>
      <c r="AQ64" s="679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9"/>
      <c r="BE64" s="139"/>
      <c r="BF64" s="139"/>
      <c r="BG64" s="139"/>
      <c r="BH64" s="139"/>
      <c r="BI64" s="139"/>
      <c r="BJ64" s="135"/>
      <c r="BK64" s="135"/>
      <c r="BL64" s="135"/>
      <c r="BM64" s="135"/>
      <c r="BN64" s="135"/>
      <c r="BO64" s="135"/>
      <c r="BP64" s="140"/>
      <c r="BQ64" s="140"/>
      <c r="BR64" s="140"/>
      <c r="BS64" s="140"/>
      <c r="BT64" s="140"/>
      <c r="BU64" s="140"/>
      <c r="BV64" s="636"/>
      <c r="BW64" s="637"/>
      <c r="BX64" s="637"/>
      <c r="BY64" s="637"/>
      <c r="BZ64" s="637"/>
      <c r="CA64" s="638"/>
      <c r="CB64" s="639"/>
      <c r="CC64" s="640"/>
      <c r="CD64" s="640"/>
      <c r="CE64" s="640"/>
      <c r="CF64" s="640"/>
      <c r="CG64" s="641"/>
      <c r="CL64" s="138"/>
      <c r="CM64" s="138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7"/>
      <c r="CY64" s="137"/>
      <c r="CZ64" s="137"/>
      <c r="DA64" s="137"/>
      <c r="DB64" s="137"/>
      <c r="DC64" s="137"/>
      <c r="DD64" s="135"/>
      <c r="DE64" s="135"/>
      <c r="DF64" s="135"/>
      <c r="DG64" s="135"/>
      <c r="DH64" s="135"/>
      <c r="DI64" s="135"/>
      <c r="DJ64" s="136"/>
      <c r="DK64" s="136"/>
      <c r="DL64" s="136"/>
      <c r="DM64" s="136"/>
      <c r="DN64" s="136"/>
      <c r="DO64" s="136"/>
    </row>
    <row r="65" spans="1:119" ht="9.75" customHeight="1" thickBot="1">
      <c r="A65" s="128">
        <v>62</v>
      </c>
      <c r="B65" s="662"/>
      <c r="C65" s="663"/>
      <c r="D65" s="736" t="s">
        <v>1</v>
      </c>
      <c r="E65" s="737"/>
      <c r="F65" s="737"/>
      <c r="G65" s="737"/>
      <c r="H65" s="737"/>
      <c r="I65" s="737"/>
      <c r="J65" s="737"/>
      <c r="K65" s="737"/>
      <c r="L65" s="737"/>
      <c r="M65" s="738"/>
      <c r="N65" s="739"/>
      <c r="O65" s="729"/>
      <c r="P65" s="729"/>
      <c r="Q65" s="729"/>
      <c r="R65" s="729"/>
      <c r="S65" s="729"/>
      <c r="T65" s="732"/>
      <c r="U65" s="732"/>
      <c r="V65" s="732"/>
      <c r="W65" s="732"/>
      <c r="X65" s="732"/>
      <c r="Y65" s="732"/>
      <c r="Z65" s="729"/>
      <c r="AA65" s="729"/>
      <c r="AB65" s="729"/>
      <c r="AC65" s="729"/>
      <c r="AD65" s="729"/>
      <c r="AE65" s="730"/>
      <c r="AF65" s="731"/>
      <c r="AG65" s="729"/>
      <c r="AH65" s="729"/>
      <c r="AI65" s="729"/>
      <c r="AJ65" s="729"/>
      <c r="AK65" s="729"/>
      <c r="AL65" s="732"/>
      <c r="AM65" s="732"/>
      <c r="AN65" s="732"/>
      <c r="AO65" s="732"/>
      <c r="AP65" s="732"/>
      <c r="AQ65" s="733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9"/>
      <c r="BE65" s="139"/>
      <c r="BF65" s="139"/>
      <c r="BG65" s="139"/>
      <c r="BH65" s="139"/>
      <c r="BI65" s="139"/>
      <c r="BJ65" s="135"/>
      <c r="BK65" s="135"/>
      <c r="BL65" s="135"/>
      <c r="BM65" s="135"/>
      <c r="BN65" s="135"/>
      <c r="BO65" s="135"/>
      <c r="BP65" s="140"/>
      <c r="BQ65" s="140"/>
      <c r="BR65" s="140"/>
      <c r="BS65" s="140"/>
      <c r="BT65" s="140"/>
      <c r="BU65" s="140"/>
      <c r="BV65" s="664"/>
      <c r="BW65" s="665"/>
      <c r="BX65" s="665"/>
      <c r="BY65" s="665"/>
      <c r="BZ65" s="665"/>
      <c r="CA65" s="666"/>
      <c r="CB65" s="667"/>
      <c r="CC65" s="668"/>
      <c r="CD65" s="668"/>
      <c r="CE65" s="668"/>
      <c r="CF65" s="668"/>
      <c r="CG65" s="669"/>
      <c r="CL65" s="138"/>
      <c r="CM65" s="138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7"/>
      <c r="CY65" s="137"/>
      <c r="CZ65" s="137"/>
      <c r="DA65" s="137"/>
      <c r="DB65" s="137"/>
      <c r="DC65" s="137"/>
      <c r="DD65" s="135"/>
      <c r="DE65" s="135"/>
      <c r="DF65" s="135"/>
      <c r="DG65" s="135"/>
      <c r="DH65" s="135"/>
      <c r="DI65" s="135"/>
      <c r="DJ65" s="136"/>
      <c r="DK65" s="136"/>
      <c r="DL65" s="136"/>
      <c r="DM65" s="136"/>
      <c r="DN65" s="136"/>
      <c r="DO65" s="136"/>
    </row>
    <row r="66" spans="1:119" ht="9.75" customHeight="1">
      <c r="B66" s="657">
        <v>1</v>
      </c>
      <c r="C66" s="657"/>
      <c r="D66" s="657"/>
      <c r="E66" s="657"/>
      <c r="F66" s="657"/>
      <c r="G66" s="657"/>
      <c r="H66" s="657">
        <v>2</v>
      </c>
      <c r="I66" s="657"/>
      <c r="J66" s="657"/>
      <c r="K66" s="657"/>
      <c r="L66" s="657"/>
      <c r="M66" s="657"/>
      <c r="N66" s="657">
        <v>3</v>
      </c>
      <c r="O66" s="657"/>
      <c r="P66" s="657"/>
      <c r="Q66" s="657"/>
      <c r="R66" s="657"/>
      <c r="S66" s="657"/>
      <c r="T66" s="657">
        <v>4</v>
      </c>
      <c r="U66" s="657"/>
      <c r="V66" s="657"/>
      <c r="W66" s="657"/>
      <c r="X66" s="657"/>
      <c r="Y66" s="657"/>
      <c r="Z66" s="657">
        <v>5</v>
      </c>
      <c r="AA66" s="657"/>
      <c r="AB66" s="657"/>
      <c r="AC66" s="657"/>
      <c r="AD66" s="657"/>
      <c r="AE66" s="657"/>
      <c r="AF66" s="657">
        <v>6</v>
      </c>
      <c r="AG66" s="657"/>
      <c r="AH66" s="657"/>
      <c r="AI66" s="657"/>
      <c r="AJ66" s="657"/>
      <c r="AK66" s="657"/>
      <c r="AL66" s="657">
        <v>7</v>
      </c>
      <c r="AM66" s="657"/>
      <c r="AN66" s="657"/>
      <c r="AO66" s="657"/>
      <c r="AP66" s="657"/>
      <c r="AQ66" s="657"/>
      <c r="AR66" s="657">
        <v>8</v>
      </c>
      <c r="AS66" s="657"/>
      <c r="AT66" s="657"/>
      <c r="AU66" s="657"/>
      <c r="AV66" s="657"/>
      <c r="AW66" s="657"/>
      <c r="AX66" s="657">
        <v>9</v>
      </c>
      <c r="AY66" s="657"/>
      <c r="AZ66" s="657"/>
      <c r="BA66" s="657"/>
      <c r="BB66" s="657"/>
      <c r="BC66" s="657"/>
      <c r="BD66" s="657">
        <v>10</v>
      </c>
      <c r="BE66" s="657"/>
      <c r="BF66" s="657"/>
      <c r="BG66" s="657"/>
      <c r="BH66" s="657"/>
      <c r="BI66" s="657"/>
      <c r="BJ66" s="657">
        <v>11</v>
      </c>
      <c r="BK66" s="657"/>
      <c r="BL66" s="657"/>
      <c r="BM66" s="657"/>
      <c r="BN66" s="657"/>
      <c r="BO66" s="657"/>
      <c r="BP66" s="657">
        <v>12</v>
      </c>
      <c r="BQ66" s="657"/>
      <c r="BR66" s="657"/>
      <c r="BS66" s="657"/>
      <c r="BT66" s="657"/>
      <c r="BU66" s="657"/>
      <c r="BV66" s="657">
        <v>13</v>
      </c>
      <c r="BW66" s="657"/>
      <c r="BX66" s="657"/>
      <c r="BY66" s="657"/>
      <c r="BZ66" s="657"/>
      <c r="CA66" s="657"/>
      <c r="CB66" s="657">
        <v>14</v>
      </c>
      <c r="CC66" s="657"/>
      <c r="CD66" s="657"/>
      <c r="CE66" s="657"/>
      <c r="CF66" s="657"/>
      <c r="CG66" s="657"/>
      <c r="CL66" s="138"/>
      <c r="CM66" s="138"/>
      <c r="CN66" s="648"/>
      <c r="CO66" s="648"/>
      <c r="CP66" s="648"/>
      <c r="CQ66" s="648"/>
      <c r="CR66" s="648"/>
      <c r="CS66" s="648"/>
      <c r="CT66" s="648"/>
      <c r="CU66" s="648"/>
      <c r="CV66" s="648"/>
      <c r="CW66" s="648"/>
      <c r="CX66" s="654"/>
      <c r="CY66" s="654"/>
      <c r="CZ66" s="654"/>
      <c r="DA66" s="654"/>
      <c r="DB66" s="654"/>
      <c r="DC66" s="654"/>
      <c r="DD66" s="650"/>
      <c r="DE66" s="650"/>
      <c r="DF66" s="650"/>
      <c r="DG66" s="650"/>
      <c r="DH66" s="650"/>
      <c r="DI66" s="650"/>
      <c r="DJ66" s="651"/>
      <c r="DK66" s="651"/>
      <c r="DL66" s="651"/>
      <c r="DM66" s="651"/>
      <c r="DN66" s="651"/>
      <c r="DO66" s="651"/>
    </row>
    <row r="67" spans="1:119"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1"/>
      <c r="CG67" s="141"/>
      <c r="CL67" s="138"/>
      <c r="CM67" s="138"/>
      <c r="CN67" s="648"/>
      <c r="CO67" s="648"/>
      <c r="CP67" s="648"/>
      <c r="CQ67" s="648"/>
      <c r="CR67" s="648"/>
      <c r="CS67" s="648"/>
      <c r="CT67" s="648"/>
      <c r="CU67" s="648"/>
      <c r="CV67" s="648"/>
      <c r="CW67" s="648"/>
      <c r="CX67" s="654"/>
      <c r="CY67" s="654"/>
      <c r="CZ67" s="654"/>
      <c r="DA67" s="654"/>
      <c r="DB67" s="654"/>
      <c r="DC67" s="654"/>
      <c r="DD67" s="650"/>
      <c r="DE67" s="650"/>
      <c r="DF67" s="650"/>
      <c r="DG67" s="650"/>
      <c r="DH67" s="650"/>
      <c r="DI67" s="650"/>
      <c r="DJ67" s="651"/>
      <c r="DK67" s="651"/>
      <c r="DL67" s="651"/>
      <c r="DM67" s="651"/>
      <c r="DN67" s="651"/>
      <c r="DO67" s="651"/>
    </row>
    <row r="68" spans="1:119">
      <c r="BV68" s="655"/>
      <c r="BW68" s="655"/>
      <c r="BX68" s="655"/>
      <c r="BY68" s="655"/>
      <c r="BZ68" s="655"/>
      <c r="CA68" s="655"/>
      <c r="CB68" s="655"/>
      <c r="CC68" s="655"/>
      <c r="CD68" s="655"/>
      <c r="CE68" s="655"/>
      <c r="CF68" s="655"/>
      <c r="CG68" s="655"/>
      <c r="CL68" s="138"/>
      <c r="CM68" s="138"/>
      <c r="CN68" s="648"/>
      <c r="CO68" s="648"/>
      <c r="CP68" s="648"/>
      <c r="CQ68" s="648"/>
      <c r="CR68" s="648"/>
      <c r="CS68" s="648"/>
      <c r="CT68" s="648"/>
      <c r="CU68" s="648"/>
      <c r="CV68" s="648"/>
      <c r="CW68" s="648"/>
      <c r="CX68" s="654"/>
      <c r="CY68" s="654"/>
      <c r="CZ68" s="654"/>
      <c r="DA68" s="654"/>
      <c r="DB68" s="654"/>
      <c r="DC68" s="654"/>
      <c r="DD68" s="650"/>
      <c r="DE68" s="650"/>
      <c r="DF68" s="650"/>
      <c r="DG68" s="650"/>
      <c r="DH68" s="650"/>
      <c r="DI68" s="650"/>
      <c r="DJ68" s="651"/>
      <c r="DK68" s="651"/>
      <c r="DL68" s="651"/>
      <c r="DM68" s="651"/>
      <c r="DN68" s="651"/>
      <c r="DO68" s="651"/>
    </row>
    <row r="69" spans="1:119">
      <c r="BV69" s="655"/>
      <c r="BW69" s="655"/>
      <c r="BX69" s="655"/>
      <c r="BY69" s="655"/>
      <c r="BZ69" s="655"/>
      <c r="CA69" s="655"/>
      <c r="CB69" s="655"/>
      <c r="CC69" s="655"/>
      <c r="CD69" s="655"/>
      <c r="CE69" s="655"/>
      <c r="CF69" s="655"/>
      <c r="CG69" s="655"/>
      <c r="CL69" s="138"/>
      <c r="CM69" s="138"/>
      <c r="CN69" s="656"/>
      <c r="CO69" s="656"/>
      <c r="CP69" s="656"/>
      <c r="CQ69" s="648"/>
      <c r="CR69" s="648"/>
      <c r="CS69" s="648"/>
      <c r="CT69" s="648"/>
      <c r="CU69" s="648"/>
      <c r="CV69" s="648"/>
      <c r="CW69" s="648"/>
      <c r="CX69" s="654"/>
      <c r="CY69" s="654"/>
      <c r="CZ69" s="654"/>
      <c r="DA69" s="654"/>
      <c r="DB69" s="654"/>
      <c r="DC69" s="654"/>
      <c r="DD69" s="650"/>
      <c r="DE69" s="650"/>
      <c r="DF69" s="650"/>
      <c r="DG69" s="650"/>
      <c r="DH69" s="650"/>
      <c r="DI69" s="650"/>
      <c r="DJ69" s="651"/>
      <c r="DK69" s="651"/>
      <c r="DL69" s="651"/>
      <c r="DM69" s="651"/>
      <c r="DN69" s="651"/>
      <c r="DO69" s="651"/>
    </row>
    <row r="70" spans="1:119">
      <c r="CL70" s="138"/>
      <c r="CM70" s="138"/>
      <c r="CN70" s="656"/>
      <c r="CO70" s="656"/>
      <c r="CP70" s="656"/>
      <c r="CQ70" s="648"/>
      <c r="CR70" s="648"/>
      <c r="CS70" s="648"/>
      <c r="CT70" s="648"/>
      <c r="CU70" s="648"/>
      <c r="CV70" s="648"/>
      <c r="CW70" s="648"/>
      <c r="CX70" s="654"/>
      <c r="CY70" s="654"/>
      <c r="CZ70" s="654"/>
      <c r="DA70" s="654"/>
      <c r="DB70" s="654"/>
      <c r="DC70" s="654"/>
      <c r="DD70" s="650"/>
      <c r="DE70" s="650"/>
      <c r="DF70" s="650"/>
      <c r="DG70" s="650"/>
      <c r="DH70" s="650"/>
      <c r="DI70" s="650"/>
      <c r="DJ70" s="651"/>
      <c r="DK70" s="651"/>
      <c r="DL70" s="651"/>
      <c r="DM70" s="651"/>
      <c r="DN70" s="651"/>
      <c r="DO70" s="651"/>
    </row>
    <row r="71" spans="1:119">
      <c r="CL71" s="138"/>
      <c r="CM71" s="138"/>
      <c r="CN71" s="648"/>
      <c r="CO71" s="648"/>
      <c r="CP71" s="648"/>
      <c r="CQ71" s="648"/>
      <c r="CR71" s="648"/>
      <c r="CS71" s="648"/>
      <c r="CT71" s="648"/>
      <c r="CU71" s="648"/>
      <c r="CV71" s="648"/>
      <c r="CW71" s="648"/>
      <c r="CX71" s="654"/>
      <c r="CY71" s="654"/>
      <c r="CZ71" s="654"/>
      <c r="DA71" s="654"/>
      <c r="DB71" s="654"/>
      <c r="DC71" s="654"/>
      <c r="DD71" s="650"/>
      <c r="DE71" s="650"/>
      <c r="DF71" s="650"/>
      <c r="DG71" s="650"/>
      <c r="DH71" s="650"/>
      <c r="DI71" s="650"/>
      <c r="DJ71" s="651"/>
      <c r="DK71" s="651"/>
      <c r="DL71" s="651"/>
      <c r="DM71" s="651"/>
      <c r="DN71" s="651"/>
      <c r="DO71" s="651"/>
    </row>
    <row r="72" spans="1:119">
      <c r="CL72" s="138"/>
      <c r="CM72" s="138"/>
      <c r="CN72" s="648"/>
      <c r="CO72" s="648"/>
      <c r="CP72" s="648"/>
      <c r="CQ72" s="648"/>
      <c r="CR72" s="648"/>
      <c r="CS72" s="648"/>
      <c r="CT72" s="648"/>
      <c r="CU72" s="648"/>
      <c r="CV72" s="648"/>
      <c r="CW72" s="648"/>
      <c r="CX72" s="654"/>
      <c r="CY72" s="654"/>
      <c r="CZ72" s="654"/>
      <c r="DA72" s="654"/>
      <c r="DB72" s="654"/>
      <c r="DC72" s="654"/>
      <c r="DD72" s="650"/>
      <c r="DE72" s="650"/>
      <c r="DF72" s="650"/>
      <c r="DG72" s="650"/>
      <c r="DH72" s="650"/>
      <c r="DI72" s="650"/>
      <c r="DJ72" s="651"/>
      <c r="DK72" s="651"/>
      <c r="DL72" s="651"/>
      <c r="DM72" s="651"/>
      <c r="DN72" s="651"/>
      <c r="DO72" s="651"/>
    </row>
    <row r="73" spans="1:119">
      <c r="CL73" s="138"/>
      <c r="CM73" s="138"/>
      <c r="CN73" s="648"/>
      <c r="CO73" s="648"/>
      <c r="CP73" s="648"/>
      <c r="CQ73" s="648"/>
      <c r="CR73" s="648"/>
      <c r="CS73" s="648"/>
      <c r="CT73" s="648"/>
      <c r="CU73" s="648"/>
      <c r="CV73" s="648"/>
      <c r="CW73" s="648"/>
      <c r="CX73" s="654"/>
      <c r="CY73" s="654"/>
      <c r="CZ73" s="654"/>
      <c r="DA73" s="654"/>
      <c r="DB73" s="654"/>
      <c r="DC73" s="654"/>
      <c r="DD73" s="650"/>
      <c r="DE73" s="650"/>
      <c r="DF73" s="650"/>
      <c r="DG73" s="650"/>
      <c r="DH73" s="650"/>
      <c r="DI73" s="650"/>
      <c r="DJ73" s="651"/>
      <c r="DK73" s="651"/>
      <c r="DL73" s="651"/>
      <c r="DM73" s="651"/>
      <c r="DN73" s="651"/>
      <c r="DO73" s="651"/>
    </row>
    <row r="74" spans="1:119">
      <c r="CL74" s="138"/>
      <c r="CM74" s="138"/>
      <c r="CN74" s="652"/>
      <c r="CO74" s="652"/>
      <c r="CP74" s="652"/>
      <c r="CQ74" s="648"/>
      <c r="CR74" s="648"/>
      <c r="CS74" s="648"/>
      <c r="CT74" s="648"/>
      <c r="CU74" s="648"/>
      <c r="CV74" s="648"/>
      <c r="CW74" s="648"/>
      <c r="CX74" s="654"/>
      <c r="CY74" s="654"/>
      <c r="CZ74" s="654"/>
      <c r="DA74" s="654"/>
      <c r="DB74" s="654"/>
      <c r="DC74" s="654"/>
      <c r="DD74" s="650"/>
      <c r="DE74" s="650"/>
      <c r="DF74" s="650"/>
      <c r="DG74" s="650"/>
      <c r="DH74" s="650"/>
      <c r="DI74" s="650"/>
      <c r="DJ74" s="651"/>
      <c r="DK74" s="651"/>
      <c r="DL74" s="651"/>
      <c r="DM74" s="651"/>
      <c r="DN74" s="651"/>
      <c r="DO74" s="651"/>
    </row>
    <row r="75" spans="1:119">
      <c r="CL75" s="138"/>
      <c r="CM75" s="138"/>
      <c r="CN75" s="652"/>
      <c r="CO75" s="652"/>
      <c r="CP75" s="652"/>
      <c r="CQ75" s="648"/>
      <c r="CR75" s="648"/>
      <c r="CS75" s="648"/>
      <c r="CT75" s="648"/>
      <c r="CU75" s="648"/>
      <c r="CV75" s="648"/>
      <c r="CW75" s="648"/>
      <c r="CX75" s="654"/>
      <c r="CY75" s="654"/>
      <c r="CZ75" s="654"/>
      <c r="DA75" s="654"/>
      <c r="DB75" s="654"/>
      <c r="DC75" s="654"/>
      <c r="DD75" s="650"/>
      <c r="DE75" s="650"/>
      <c r="DF75" s="650"/>
      <c r="DG75" s="650"/>
      <c r="DH75" s="650"/>
      <c r="DI75" s="650"/>
      <c r="DJ75" s="651"/>
      <c r="DK75" s="651"/>
      <c r="DL75" s="651"/>
      <c r="DM75" s="651"/>
      <c r="DN75" s="651"/>
      <c r="DO75" s="651"/>
    </row>
    <row r="76" spans="1:119">
      <c r="CL76" s="138"/>
      <c r="CM76" s="138"/>
      <c r="CN76" s="648"/>
      <c r="CO76" s="648"/>
      <c r="CP76" s="648"/>
      <c r="CQ76" s="648"/>
      <c r="CR76" s="648"/>
      <c r="CS76" s="648"/>
      <c r="CT76" s="648"/>
      <c r="CU76" s="648"/>
      <c r="CV76" s="648"/>
      <c r="CW76" s="648"/>
      <c r="CX76" s="649"/>
      <c r="CY76" s="649"/>
      <c r="CZ76" s="649"/>
      <c r="DA76" s="649"/>
      <c r="DB76" s="649"/>
      <c r="DC76" s="649"/>
      <c r="DD76" s="650"/>
      <c r="DE76" s="650"/>
      <c r="DF76" s="650"/>
      <c r="DG76" s="650"/>
      <c r="DH76" s="650"/>
      <c r="DI76" s="650"/>
      <c r="DJ76" s="651"/>
      <c r="DK76" s="651"/>
      <c r="DL76" s="651"/>
      <c r="DM76" s="651"/>
      <c r="DN76" s="651"/>
      <c r="DO76" s="651"/>
    </row>
    <row r="77" spans="1:119">
      <c r="CL77" s="138"/>
      <c r="CM77" s="138"/>
      <c r="CN77" s="648"/>
      <c r="CO77" s="648"/>
      <c r="CP77" s="648"/>
      <c r="CQ77" s="648"/>
      <c r="CR77" s="648"/>
      <c r="CS77" s="648"/>
      <c r="CT77" s="648"/>
      <c r="CU77" s="648"/>
      <c r="CV77" s="648"/>
      <c r="CW77" s="648"/>
      <c r="CX77" s="649"/>
      <c r="CY77" s="649"/>
      <c r="CZ77" s="649"/>
      <c r="DA77" s="649"/>
      <c r="DB77" s="649"/>
      <c r="DC77" s="649"/>
      <c r="DD77" s="653"/>
      <c r="DE77" s="653"/>
      <c r="DF77" s="653"/>
      <c r="DG77" s="653"/>
      <c r="DH77" s="653"/>
      <c r="DI77" s="653"/>
      <c r="DJ77" s="651"/>
      <c r="DK77" s="651"/>
      <c r="DL77" s="651"/>
      <c r="DM77" s="651"/>
      <c r="DN77" s="651"/>
      <c r="DO77" s="651"/>
    </row>
    <row r="78" spans="1:119">
      <c r="CL78" s="138"/>
      <c r="CM78" s="138"/>
      <c r="CQ78" s="648"/>
      <c r="CR78" s="648"/>
      <c r="CS78" s="648"/>
      <c r="CT78" s="648"/>
      <c r="CU78" s="648"/>
      <c r="CV78" s="648"/>
      <c r="CW78" s="648"/>
      <c r="CX78" s="649"/>
      <c r="CY78" s="649"/>
      <c r="CZ78" s="649"/>
      <c r="DA78" s="649"/>
      <c r="DB78" s="649"/>
      <c r="DC78" s="649"/>
      <c r="DD78" s="650"/>
      <c r="DE78" s="650"/>
      <c r="DF78" s="650"/>
      <c r="DG78" s="650"/>
      <c r="DH78" s="650"/>
      <c r="DI78" s="650"/>
      <c r="DJ78" s="651"/>
      <c r="DK78" s="651"/>
      <c r="DL78" s="651"/>
      <c r="DM78" s="651"/>
      <c r="DN78" s="651"/>
      <c r="DO78" s="651"/>
    </row>
    <row r="79" spans="1:119">
      <c r="CL79" s="648"/>
      <c r="CM79" s="648"/>
      <c r="CN79" s="648"/>
      <c r="CO79" s="648"/>
      <c r="CP79" s="648"/>
      <c r="CQ79" s="648"/>
      <c r="CR79" s="648"/>
      <c r="CS79" s="648"/>
      <c r="CT79" s="648"/>
      <c r="CU79" s="648"/>
      <c r="CV79" s="648"/>
      <c r="CW79" s="648"/>
      <c r="CX79" s="652"/>
      <c r="CY79" s="652"/>
      <c r="CZ79" s="652"/>
      <c r="DA79" s="652"/>
      <c r="DB79" s="652"/>
      <c r="DC79" s="652"/>
      <c r="DD79" s="652"/>
      <c r="DE79" s="652"/>
      <c r="DF79" s="652"/>
      <c r="DG79" s="652"/>
      <c r="DH79" s="652"/>
      <c r="DI79" s="652"/>
      <c r="DJ79" s="652"/>
      <c r="DK79" s="652"/>
      <c r="DL79" s="652"/>
      <c r="DM79" s="652"/>
      <c r="DN79" s="652"/>
      <c r="DO79" s="652"/>
    </row>
    <row r="80" spans="1:119">
      <c r="CL80" s="648"/>
      <c r="CM80" s="648"/>
      <c r="CN80" s="648"/>
      <c r="CO80" s="648"/>
      <c r="CP80" s="648"/>
      <c r="CQ80" s="648"/>
      <c r="CR80" s="648"/>
      <c r="CS80" s="648"/>
      <c r="CT80" s="648"/>
      <c r="CU80" s="648"/>
      <c r="CV80" s="648"/>
      <c r="CW80" s="648"/>
      <c r="CX80" s="649"/>
      <c r="CY80" s="649"/>
      <c r="CZ80" s="649"/>
      <c r="DA80" s="649"/>
      <c r="DB80" s="649"/>
      <c r="DC80" s="649"/>
      <c r="DD80" s="650"/>
      <c r="DE80" s="650"/>
      <c r="DF80" s="650"/>
      <c r="DG80" s="650"/>
      <c r="DH80" s="650"/>
      <c r="DI80" s="650"/>
      <c r="DJ80" s="651"/>
      <c r="DK80" s="651"/>
      <c r="DL80" s="651"/>
      <c r="DM80" s="651"/>
      <c r="DN80" s="651"/>
      <c r="DO80" s="651"/>
    </row>
    <row r="81" spans="92:119">
      <c r="CN81" s="648"/>
      <c r="CO81" s="648"/>
      <c r="CP81" s="648"/>
      <c r="CQ81" s="648"/>
      <c r="CR81" s="648"/>
      <c r="CS81" s="648"/>
      <c r="CT81" s="648"/>
      <c r="CU81" s="648"/>
      <c r="CV81" s="648"/>
      <c r="CW81" s="648"/>
      <c r="CX81" s="649"/>
      <c r="CY81" s="649"/>
      <c r="CZ81" s="649"/>
      <c r="DA81" s="649"/>
      <c r="DB81" s="649"/>
      <c r="DC81" s="649"/>
      <c r="DD81" s="650"/>
      <c r="DE81" s="650"/>
      <c r="DF81" s="650"/>
      <c r="DG81" s="650"/>
      <c r="DH81" s="650"/>
      <c r="DI81" s="650"/>
      <c r="DJ81" s="651"/>
      <c r="DK81" s="651"/>
      <c r="DL81" s="651"/>
      <c r="DM81" s="651"/>
      <c r="DN81" s="651"/>
      <c r="DO81" s="651"/>
    </row>
  </sheetData>
  <mergeCells count="933">
    <mergeCell ref="BD38:BI38"/>
    <mergeCell ref="BD37:BI37"/>
    <mergeCell ref="BP49:BU49"/>
    <mergeCell ref="AT21:BC21"/>
    <mergeCell ref="BD21:BI21"/>
    <mergeCell ref="BJ21:BO21"/>
    <mergeCell ref="AT59:BC59"/>
    <mergeCell ref="BD59:BI59"/>
    <mergeCell ref="BJ59:BO59"/>
    <mergeCell ref="BP59:BU59"/>
    <mergeCell ref="AR29:AS57"/>
    <mergeCell ref="AT46:AV48"/>
    <mergeCell ref="AW48:BC48"/>
    <mergeCell ref="AT51:BC51"/>
    <mergeCell ref="AT52:AV53"/>
    <mergeCell ref="AW53:BC53"/>
    <mergeCell ref="AT55:BC55"/>
    <mergeCell ref="AT56:BC56"/>
    <mergeCell ref="AW57:BC57"/>
    <mergeCell ref="AR58:BC58"/>
    <mergeCell ref="AT30:BC30"/>
    <mergeCell ref="AT31:BC31"/>
    <mergeCell ref="BD30:BI30"/>
    <mergeCell ref="BJ30:BO30"/>
    <mergeCell ref="BP30:BU30"/>
    <mergeCell ref="AW34:BC34"/>
    <mergeCell ref="AT37:BC37"/>
    <mergeCell ref="AT18:BC18"/>
    <mergeCell ref="BD18:BI18"/>
    <mergeCell ref="BJ18:BO18"/>
    <mergeCell ref="BP18:BU18"/>
    <mergeCell ref="AT19:BC19"/>
    <mergeCell ref="BD19:BI19"/>
    <mergeCell ref="BJ19:BO19"/>
    <mergeCell ref="BP19:BU19"/>
    <mergeCell ref="AT20:BC20"/>
    <mergeCell ref="BD20:BI20"/>
    <mergeCell ref="BJ20:BO20"/>
    <mergeCell ref="BP20:BU20"/>
    <mergeCell ref="BJ12:BO12"/>
    <mergeCell ref="BP12:BU12"/>
    <mergeCell ref="AT13:BC13"/>
    <mergeCell ref="BD13:BI13"/>
    <mergeCell ref="BJ13:BO13"/>
    <mergeCell ref="BP13:BU13"/>
    <mergeCell ref="AT14:BC14"/>
    <mergeCell ref="BD14:BI14"/>
    <mergeCell ref="BJ14:BO14"/>
    <mergeCell ref="BP14:BU14"/>
    <mergeCell ref="AR6:BU6"/>
    <mergeCell ref="AR7:BC7"/>
    <mergeCell ref="BD7:BI7"/>
    <mergeCell ref="BJ7:BO7"/>
    <mergeCell ref="BP7:BU7"/>
    <mergeCell ref="AR8:AS24"/>
    <mergeCell ref="AT8:BC8"/>
    <mergeCell ref="BD8:BI8"/>
    <mergeCell ref="BJ8:BO8"/>
    <mergeCell ref="BP8:BU8"/>
    <mergeCell ref="AT9:BC9"/>
    <mergeCell ref="BD9:BI9"/>
    <mergeCell ref="BJ9:BO9"/>
    <mergeCell ref="BP9:BU9"/>
    <mergeCell ref="AT10:BC10"/>
    <mergeCell ref="BD10:BI10"/>
    <mergeCell ref="BJ10:BO10"/>
    <mergeCell ref="BP10:BU10"/>
    <mergeCell ref="AT11:BC11"/>
    <mergeCell ref="BD11:BI11"/>
    <mergeCell ref="BJ11:BO11"/>
    <mergeCell ref="BP11:BU11"/>
    <mergeCell ref="AT12:BC12"/>
    <mergeCell ref="BD12:BI12"/>
    <mergeCell ref="BV59:CA59"/>
    <mergeCell ref="CB59:CG59"/>
    <mergeCell ref="BV60:CA60"/>
    <mergeCell ref="CB60:CG60"/>
    <mergeCell ref="BV61:CA61"/>
    <mergeCell ref="CB61:CG61"/>
    <mergeCell ref="BV62:CA62"/>
    <mergeCell ref="CB62:CG62"/>
    <mergeCell ref="BV29:CA29"/>
    <mergeCell ref="CB29:CG29"/>
    <mergeCell ref="BV32:CA32"/>
    <mergeCell ref="CB32:CG32"/>
    <mergeCell ref="BV33:CA33"/>
    <mergeCell ref="CB33:CG33"/>
    <mergeCell ref="BV34:CA34"/>
    <mergeCell ref="CB34:CG34"/>
    <mergeCell ref="BV35:CA35"/>
    <mergeCell ref="CB35:CG35"/>
    <mergeCell ref="BV52:CA52"/>
    <mergeCell ref="CB52:CG52"/>
    <mergeCell ref="BV53:CA53"/>
    <mergeCell ref="CB53:CG53"/>
    <mergeCell ref="BV6:CG6"/>
    <mergeCell ref="BV17:CA17"/>
    <mergeCell ref="CB17:CG17"/>
    <mergeCell ref="BV18:CA18"/>
    <mergeCell ref="CB18:CG18"/>
    <mergeCell ref="BV19:CA19"/>
    <mergeCell ref="CB19:CG19"/>
    <mergeCell ref="BV20:CA20"/>
    <mergeCell ref="CB20:CG20"/>
    <mergeCell ref="BV7:CA7"/>
    <mergeCell ref="CB7:CG7"/>
    <mergeCell ref="BV8:CA8"/>
    <mergeCell ref="CB8:CG8"/>
    <mergeCell ref="BV9:CA9"/>
    <mergeCell ref="CB9:CG9"/>
    <mergeCell ref="BV10:CA10"/>
    <mergeCell ref="CB10:CG10"/>
    <mergeCell ref="BV11:CA11"/>
    <mergeCell ref="CB11:CG11"/>
    <mergeCell ref="BV12:CA12"/>
    <mergeCell ref="CB12:CG12"/>
    <mergeCell ref="BV13:CA13"/>
    <mergeCell ref="CB13:CG13"/>
    <mergeCell ref="BV14:CA14"/>
    <mergeCell ref="F2:CG2"/>
    <mergeCell ref="T3:Y3"/>
    <mergeCell ref="B4:G4"/>
    <mergeCell ref="AF4:AK4"/>
    <mergeCell ref="AL4:AQ4"/>
    <mergeCell ref="H4:M4"/>
    <mergeCell ref="N4:S4"/>
    <mergeCell ref="T4:Y4"/>
    <mergeCell ref="Z4:AE4"/>
    <mergeCell ref="B2:E2"/>
    <mergeCell ref="CB5:CG5"/>
    <mergeCell ref="B5:G5"/>
    <mergeCell ref="BJ5:BO5"/>
    <mergeCell ref="I5:M5"/>
    <mergeCell ref="O5:S5"/>
    <mergeCell ref="CB4:CG4"/>
    <mergeCell ref="BP4:BU4"/>
    <mergeCell ref="BV4:CA4"/>
    <mergeCell ref="AR4:AW4"/>
    <mergeCell ref="AX4:BC4"/>
    <mergeCell ref="BD4:BI4"/>
    <mergeCell ref="BJ4:BO4"/>
    <mergeCell ref="U5:Y5"/>
    <mergeCell ref="AA5:AE5"/>
    <mergeCell ref="BP5:BU5"/>
    <mergeCell ref="BV5:CA5"/>
    <mergeCell ref="AY5:BC5"/>
    <mergeCell ref="BE5:BI5"/>
    <mergeCell ref="AG5:AK5"/>
    <mergeCell ref="AL5:AQ5"/>
    <mergeCell ref="AR5:AW5"/>
    <mergeCell ref="B6:AQ6"/>
    <mergeCell ref="B7:M8"/>
    <mergeCell ref="N7:AE7"/>
    <mergeCell ref="AF7:AQ7"/>
    <mergeCell ref="N8:S8"/>
    <mergeCell ref="T8:Y8"/>
    <mergeCell ref="Z8:AE8"/>
    <mergeCell ref="AF8:AK8"/>
    <mergeCell ref="AL8:AQ8"/>
    <mergeCell ref="D59:M59"/>
    <mergeCell ref="N59:S59"/>
    <mergeCell ref="T59:Y59"/>
    <mergeCell ref="Z59:AE59"/>
    <mergeCell ref="AF59:AK59"/>
    <mergeCell ref="AL59:AQ59"/>
    <mergeCell ref="B9:C12"/>
    <mergeCell ref="D9:F10"/>
    <mergeCell ref="G9:M9"/>
    <mergeCell ref="N9:S9"/>
    <mergeCell ref="T9:Y9"/>
    <mergeCell ref="Z9:AE9"/>
    <mergeCell ref="AF9:AK9"/>
    <mergeCell ref="AL9:AQ9"/>
    <mergeCell ref="N32:S32"/>
    <mergeCell ref="T32:Y32"/>
    <mergeCell ref="Z32:AE32"/>
    <mergeCell ref="AF32:AK32"/>
    <mergeCell ref="AL32:AQ32"/>
    <mergeCell ref="N34:S34"/>
    <mergeCell ref="T34:Y34"/>
    <mergeCell ref="Z34:AE34"/>
    <mergeCell ref="AF34:AK34"/>
    <mergeCell ref="AL34:AQ34"/>
    <mergeCell ref="D60:M60"/>
    <mergeCell ref="N60:S60"/>
    <mergeCell ref="T60:Y60"/>
    <mergeCell ref="Z60:AE60"/>
    <mergeCell ref="AF60:AK60"/>
    <mergeCell ref="AL60:AQ60"/>
    <mergeCell ref="G10:M10"/>
    <mergeCell ref="N10:S10"/>
    <mergeCell ref="T10:Y10"/>
    <mergeCell ref="Z10:AE10"/>
    <mergeCell ref="AF10:AK10"/>
    <mergeCell ref="AL10:AQ10"/>
    <mergeCell ref="AL26:AQ26"/>
    <mergeCell ref="T29:Y29"/>
    <mergeCell ref="Z29:AE29"/>
    <mergeCell ref="AF29:AK29"/>
    <mergeCell ref="AL29:AQ29"/>
    <mergeCell ref="AL28:AQ28"/>
    <mergeCell ref="D28:M28"/>
    <mergeCell ref="N28:S28"/>
    <mergeCell ref="T28:Y28"/>
    <mergeCell ref="Z28:AE28"/>
    <mergeCell ref="AF28:AK28"/>
    <mergeCell ref="D32:M32"/>
    <mergeCell ref="D61:M61"/>
    <mergeCell ref="N61:S61"/>
    <mergeCell ref="T61:Y61"/>
    <mergeCell ref="Z61:AE61"/>
    <mergeCell ref="AF61:AK61"/>
    <mergeCell ref="AL61:AQ61"/>
    <mergeCell ref="D11:M11"/>
    <mergeCell ref="N11:S11"/>
    <mergeCell ref="T11:Y11"/>
    <mergeCell ref="Z11:AE11"/>
    <mergeCell ref="AF11:AK11"/>
    <mergeCell ref="AL11:AQ11"/>
    <mergeCell ref="D21:M21"/>
    <mergeCell ref="N21:S21"/>
    <mergeCell ref="T21:Y21"/>
    <mergeCell ref="Z21:AE21"/>
    <mergeCell ref="AF21:AK21"/>
    <mergeCell ref="AL21:AQ21"/>
    <mergeCell ref="AL23:AQ23"/>
    <mergeCell ref="D26:M26"/>
    <mergeCell ref="N26:S26"/>
    <mergeCell ref="T26:Y26"/>
    <mergeCell ref="Z26:AE26"/>
    <mergeCell ref="AF26:AK26"/>
    <mergeCell ref="D62:M62"/>
    <mergeCell ref="N62:S62"/>
    <mergeCell ref="T62:Y62"/>
    <mergeCell ref="Z62:AE62"/>
    <mergeCell ref="AF62:AK62"/>
    <mergeCell ref="AL62:AQ62"/>
    <mergeCell ref="D12:M12"/>
    <mergeCell ref="N12:S12"/>
    <mergeCell ref="T12:Y12"/>
    <mergeCell ref="Z12:AE12"/>
    <mergeCell ref="AF12:AK12"/>
    <mergeCell ref="AL12:AQ12"/>
    <mergeCell ref="AL13:AQ13"/>
    <mergeCell ref="D13:M13"/>
    <mergeCell ref="N13:S13"/>
    <mergeCell ref="T13:Y13"/>
    <mergeCell ref="Z13:AE13"/>
    <mergeCell ref="AF13:AK13"/>
    <mergeCell ref="D20:M20"/>
    <mergeCell ref="N20:S20"/>
    <mergeCell ref="T20:Y20"/>
    <mergeCell ref="Z20:AE20"/>
    <mergeCell ref="AF20:AK20"/>
    <mergeCell ref="AL20:AQ20"/>
    <mergeCell ref="AL63:AQ63"/>
    <mergeCell ref="D14:M14"/>
    <mergeCell ref="N14:S14"/>
    <mergeCell ref="T14:Y14"/>
    <mergeCell ref="Z14:AE14"/>
    <mergeCell ref="AF14:AK14"/>
    <mergeCell ref="AL14:AQ14"/>
    <mergeCell ref="D64:M64"/>
    <mergeCell ref="N64:S64"/>
    <mergeCell ref="T64:Y64"/>
    <mergeCell ref="D63:M63"/>
    <mergeCell ref="N63:S63"/>
    <mergeCell ref="T63:Y63"/>
    <mergeCell ref="Z63:AE63"/>
    <mergeCell ref="AF63:AK63"/>
    <mergeCell ref="Z64:AE64"/>
    <mergeCell ref="AF64:AK64"/>
    <mergeCell ref="AL64:AQ64"/>
    <mergeCell ref="D15:M15"/>
    <mergeCell ref="N15:S15"/>
    <mergeCell ref="T15:Y15"/>
    <mergeCell ref="Z15:AE15"/>
    <mergeCell ref="AF15:AK15"/>
    <mergeCell ref="AL15:AQ15"/>
    <mergeCell ref="Z65:AE65"/>
    <mergeCell ref="AF65:AK65"/>
    <mergeCell ref="AL65:AQ65"/>
    <mergeCell ref="D16:M16"/>
    <mergeCell ref="N16:S16"/>
    <mergeCell ref="T16:Y16"/>
    <mergeCell ref="Z16:AE16"/>
    <mergeCell ref="AF16:AK16"/>
    <mergeCell ref="AL16:AQ16"/>
    <mergeCell ref="D65:M65"/>
    <mergeCell ref="N65:S65"/>
    <mergeCell ref="T65:Y65"/>
    <mergeCell ref="D18:M18"/>
    <mergeCell ref="N18:S18"/>
    <mergeCell ref="T18:Y18"/>
    <mergeCell ref="Z18:AE18"/>
    <mergeCell ref="AF18:AK18"/>
    <mergeCell ref="AL18:AQ18"/>
    <mergeCell ref="D19:M19"/>
    <mergeCell ref="N19:S19"/>
    <mergeCell ref="T19:Y19"/>
    <mergeCell ref="Z19:AE19"/>
    <mergeCell ref="AF19:AK19"/>
    <mergeCell ref="AL19:AQ19"/>
    <mergeCell ref="AT15:BC15"/>
    <mergeCell ref="BD15:BI15"/>
    <mergeCell ref="BJ15:BO15"/>
    <mergeCell ref="BP15:BU15"/>
    <mergeCell ref="D17:M17"/>
    <mergeCell ref="N17:S17"/>
    <mergeCell ref="T17:Y17"/>
    <mergeCell ref="Z17:AE17"/>
    <mergeCell ref="AF17:AK17"/>
    <mergeCell ref="AL17:AQ17"/>
    <mergeCell ref="BD17:BI17"/>
    <mergeCell ref="BJ17:BO17"/>
    <mergeCell ref="BP17:BU17"/>
    <mergeCell ref="AT16:BC16"/>
    <mergeCell ref="BD16:BI16"/>
    <mergeCell ref="BJ16:BO16"/>
    <mergeCell ref="BP16:BU16"/>
    <mergeCell ref="AT17:BC17"/>
    <mergeCell ref="BP21:BU21"/>
    <mergeCell ref="D22:F25"/>
    <mergeCell ref="G22:M22"/>
    <mergeCell ref="N22:S22"/>
    <mergeCell ref="T22:Y22"/>
    <mergeCell ref="Z22:AE22"/>
    <mergeCell ref="AF22:AK22"/>
    <mergeCell ref="AL22:AQ22"/>
    <mergeCell ref="AT22:BC22"/>
    <mergeCell ref="BD22:BI22"/>
    <mergeCell ref="G24:M24"/>
    <mergeCell ref="N24:S24"/>
    <mergeCell ref="T24:Y24"/>
    <mergeCell ref="Z24:AE24"/>
    <mergeCell ref="AF24:AK24"/>
    <mergeCell ref="AL24:AQ24"/>
    <mergeCell ref="BD24:BI24"/>
    <mergeCell ref="BJ22:BO22"/>
    <mergeCell ref="BP22:BU22"/>
    <mergeCell ref="G23:M23"/>
    <mergeCell ref="N23:S23"/>
    <mergeCell ref="T23:Y23"/>
    <mergeCell ref="Z23:AE23"/>
    <mergeCell ref="AF23:AK23"/>
    <mergeCell ref="AT23:BC23"/>
    <mergeCell ref="BD23:BI23"/>
    <mergeCell ref="BJ23:BO23"/>
    <mergeCell ref="BP23:BU23"/>
    <mergeCell ref="BJ24:BO24"/>
    <mergeCell ref="BP24:BU24"/>
    <mergeCell ref="G25:M25"/>
    <mergeCell ref="N25:S25"/>
    <mergeCell ref="T25:Y25"/>
    <mergeCell ref="Z25:AE25"/>
    <mergeCell ref="AF25:AK25"/>
    <mergeCell ref="AL25:AQ25"/>
    <mergeCell ref="AT25:BC25"/>
    <mergeCell ref="BD25:BI25"/>
    <mergeCell ref="BJ25:BO25"/>
    <mergeCell ref="BP25:BU25"/>
    <mergeCell ref="AW24:BC24"/>
    <mergeCell ref="AR25:AS28"/>
    <mergeCell ref="AT27:BC27"/>
    <mergeCell ref="AW28:BC28"/>
    <mergeCell ref="AT26:BC26"/>
    <mergeCell ref="BD26:BI26"/>
    <mergeCell ref="BJ26:BO26"/>
    <mergeCell ref="BP26:BU26"/>
    <mergeCell ref="B27:C32"/>
    <mergeCell ref="D27:M27"/>
    <mergeCell ref="N27:S27"/>
    <mergeCell ref="T27:Y27"/>
    <mergeCell ref="Z27:AE27"/>
    <mergeCell ref="AF27:AK27"/>
    <mergeCell ref="B13:C26"/>
    <mergeCell ref="BD28:BI28"/>
    <mergeCell ref="BJ28:BO28"/>
    <mergeCell ref="BP28:BU28"/>
    <mergeCell ref="AT29:BC29"/>
    <mergeCell ref="BD29:BI29"/>
    <mergeCell ref="BJ29:BO29"/>
    <mergeCell ref="BP29:BU29"/>
    <mergeCell ref="AL27:AQ27"/>
    <mergeCell ref="BD27:BI27"/>
    <mergeCell ref="BJ27:BO27"/>
    <mergeCell ref="BP27:BU27"/>
    <mergeCell ref="D29:M29"/>
    <mergeCell ref="N29:S29"/>
    <mergeCell ref="CL30:DO30"/>
    <mergeCell ref="D31:M31"/>
    <mergeCell ref="N31:S31"/>
    <mergeCell ref="T31:Y31"/>
    <mergeCell ref="Z31:AE31"/>
    <mergeCell ref="AF31:AK31"/>
    <mergeCell ref="D30:M30"/>
    <mergeCell ref="N30:S30"/>
    <mergeCell ref="T30:Y30"/>
    <mergeCell ref="Z30:AE30"/>
    <mergeCell ref="AF30:AK30"/>
    <mergeCell ref="AL30:AQ30"/>
    <mergeCell ref="CX31:DC31"/>
    <mergeCell ref="DD31:DI31"/>
    <mergeCell ref="DJ31:DO31"/>
    <mergeCell ref="BD31:BI31"/>
    <mergeCell ref="BJ31:BO31"/>
    <mergeCell ref="BP31:BU31"/>
    <mergeCell ref="CL31:CW31"/>
    <mergeCell ref="AL31:AQ31"/>
    <mergeCell ref="BV30:CA30"/>
    <mergeCell ref="CB30:CG30"/>
    <mergeCell ref="BV31:CA31"/>
    <mergeCell ref="CB31:CG31"/>
    <mergeCell ref="AL33:AQ33"/>
    <mergeCell ref="G38:M38"/>
    <mergeCell ref="N38:S38"/>
    <mergeCell ref="T38:Y38"/>
    <mergeCell ref="Z38:AE38"/>
    <mergeCell ref="AF38:AK38"/>
    <mergeCell ref="AL38:AQ38"/>
    <mergeCell ref="AT38:BC38"/>
    <mergeCell ref="CX32:DC32"/>
    <mergeCell ref="BP33:BU33"/>
    <mergeCell ref="CN33:CW33"/>
    <mergeCell ref="CX34:DC34"/>
    <mergeCell ref="CX35:DC35"/>
    <mergeCell ref="T37:Y37"/>
    <mergeCell ref="Z37:AE37"/>
    <mergeCell ref="AF37:AK37"/>
    <mergeCell ref="AL37:AQ37"/>
    <mergeCell ref="BJ36:BO36"/>
    <mergeCell ref="BP36:BU36"/>
    <mergeCell ref="CN36:CW36"/>
    <mergeCell ref="CX36:DC36"/>
    <mergeCell ref="AT32:AV36"/>
    <mergeCell ref="AW32:BC32"/>
    <mergeCell ref="AW33:BC33"/>
    <mergeCell ref="DD32:DI32"/>
    <mergeCell ref="DJ32:DO32"/>
    <mergeCell ref="B33:C42"/>
    <mergeCell ref="D33:F38"/>
    <mergeCell ref="G33:M33"/>
    <mergeCell ref="N33:S33"/>
    <mergeCell ref="T33:Y33"/>
    <mergeCell ref="Z33:AE33"/>
    <mergeCell ref="AF33:AK33"/>
    <mergeCell ref="BD32:BI32"/>
    <mergeCell ref="BJ32:BO32"/>
    <mergeCell ref="BP32:BU32"/>
    <mergeCell ref="CL32:CM41"/>
    <mergeCell ref="CN32:CW32"/>
    <mergeCell ref="BD34:BI34"/>
    <mergeCell ref="BJ34:BO34"/>
    <mergeCell ref="BP34:BU34"/>
    <mergeCell ref="CN34:CW34"/>
    <mergeCell ref="CX33:DC33"/>
    <mergeCell ref="DD33:DI33"/>
    <mergeCell ref="DJ33:DO33"/>
    <mergeCell ref="G34:M34"/>
    <mergeCell ref="BD33:BI33"/>
    <mergeCell ref="BJ33:BO33"/>
    <mergeCell ref="DD34:DI34"/>
    <mergeCell ref="DJ34:DO34"/>
    <mergeCell ref="G35:M35"/>
    <mergeCell ref="N35:S35"/>
    <mergeCell ref="T35:Y35"/>
    <mergeCell ref="Z35:AE35"/>
    <mergeCell ref="AF35:AK35"/>
    <mergeCell ref="AL35:AQ35"/>
    <mergeCell ref="DJ36:DO36"/>
    <mergeCell ref="DD35:DI35"/>
    <mergeCell ref="DJ35:DO35"/>
    <mergeCell ref="G36:M36"/>
    <mergeCell ref="N36:S36"/>
    <mergeCell ref="T36:Y36"/>
    <mergeCell ref="Z36:AE36"/>
    <mergeCell ref="AF36:AK36"/>
    <mergeCell ref="AL36:AQ36"/>
    <mergeCell ref="AW36:BC36"/>
    <mergeCell ref="BD36:BI36"/>
    <mergeCell ref="AW35:BC35"/>
    <mergeCell ref="BD35:BI35"/>
    <mergeCell ref="BJ35:BO35"/>
    <mergeCell ref="BP35:BU35"/>
    <mergeCell ref="CN35:CW35"/>
    <mergeCell ref="DD36:DI36"/>
    <mergeCell ref="BJ38:BO38"/>
    <mergeCell ref="BP38:BU38"/>
    <mergeCell ref="CN38:CW38"/>
    <mergeCell ref="CX38:DC38"/>
    <mergeCell ref="DD38:DI38"/>
    <mergeCell ref="DJ38:DO38"/>
    <mergeCell ref="DD37:DI37"/>
    <mergeCell ref="DJ37:DO37"/>
    <mergeCell ref="BJ37:BO37"/>
    <mergeCell ref="BP37:BU37"/>
    <mergeCell ref="CN37:CW37"/>
    <mergeCell ref="CX37:DC37"/>
    <mergeCell ref="BV36:CA36"/>
    <mergeCell ref="CB36:CG36"/>
    <mergeCell ref="G37:M37"/>
    <mergeCell ref="N37:S37"/>
    <mergeCell ref="BV37:CA37"/>
    <mergeCell ref="CB37:CG37"/>
    <mergeCell ref="BV38:CA38"/>
    <mergeCell ref="CB38:CG38"/>
    <mergeCell ref="DD39:DI39"/>
    <mergeCell ref="DJ39:DO39"/>
    <mergeCell ref="D40:M40"/>
    <mergeCell ref="N40:S40"/>
    <mergeCell ref="T40:Y40"/>
    <mergeCell ref="Z40:AE40"/>
    <mergeCell ref="AF40:AK40"/>
    <mergeCell ref="AL40:AQ40"/>
    <mergeCell ref="AW40:BC40"/>
    <mergeCell ref="BD39:BI39"/>
    <mergeCell ref="BJ39:BO39"/>
    <mergeCell ref="BP39:BU39"/>
    <mergeCell ref="CN39:CW39"/>
    <mergeCell ref="CX39:DC39"/>
    <mergeCell ref="D39:M39"/>
    <mergeCell ref="N39:S39"/>
    <mergeCell ref="T39:Y39"/>
    <mergeCell ref="Z39:AE39"/>
    <mergeCell ref="AF39:AK39"/>
    <mergeCell ref="AL39:AQ39"/>
    <mergeCell ref="DJ40:DO40"/>
    <mergeCell ref="D41:M41"/>
    <mergeCell ref="N41:S41"/>
    <mergeCell ref="T41:Y41"/>
    <mergeCell ref="Z41:AE41"/>
    <mergeCell ref="AF41:AK41"/>
    <mergeCell ref="AL41:AQ41"/>
    <mergeCell ref="AW41:BC41"/>
    <mergeCell ref="BD41:BI41"/>
    <mergeCell ref="BJ41:BO41"/>
    <mergeCell ref="BD40:BI40"/>
    <mergeCell ref="BJ40:BO40"/>
    <mergeCell ref="AT39:AV42"/>
    <mergeCell ref="AW39:BC39"/>
    <mergeCell ref="BP40:BU40"/>
    <mergeCell ref="CN40:CW40"/>
    <mergeCell ref="CX40:DC40"/>
    <mergeCell ref="DD40:DI40"/>
    <mergeCell ref="BP41:BU41"/>
    <mergeCell ref="CQ41:CW41"/>
    <mergeCell ref="CX41:DC41"/>
    <mergeCell ref="DD41:DI41"/>
    <mergeCell ref="DJ41:DO41"/>
    <mergeCell ref="DJ42:DO42"/>
    <mergeCell ref="B43:C46"/>
    <mergeCell ref="D43:M43"/>
    <mergeCell ref="N43:S43"/>
    <mergeCell ref="T43:Y43"/>
    <mergeCell ref="Z43:AE43"/>
    <mergeCell ref="AF43:AK43"/>
    <mergeCell ref="AL43:AQ43"/>
    <mergeCell ref="AL42:AQ42"/>
    <mergeCell ref="AW42:BC42"/>
    <mergeCell ref="BD42:BI42"/>
    <mergeCell ref="BJ42:BO42"/>
    <mergeCell ref="BP42:BU42"/>
    <mergeCell ref="CX43:DC43"/>
    <mergeCell ref="DD43:DI43"/>
    <mergeCell ref="DJ43:DO43"/>
    <mergeCell ref="AT43:BC43"/>
    <mergeCell ref="BD43:BI43"/>
    <mergeCell ref="D42:M42"/>
    <mergeCell ref="N42:S42"/>
    <mergeCell ref="T42:Y42"/>
    <mergeCell ref="Z42:AE42"/>
    <mergeCell ref="AF42:AK42"/>
    <mergeCell ref="CX42:DC42"/>
    <mergeCell ref="DD42:DI42"/>
    <mergeCell ref="BJ43:BO43"/>
    <mergeCell ref="BP43:BU43"/>
    <mergeCell ref="CL43:CM46"/>
    <mergeCell ref="CN43:CW43"/>
    <mergeCell ref="BD44:BI44"/>
    <mergeCell ref="BJ44:BO44"/>
    <mergeCell ref="BP44:BU44"/>
    <mergeCell ref="CN44:CW44"/>
    <mergeCell ref="CX44:DC44"/>
    <mergeCell ref="BJ46:BO46"/>
    <mergeCell ref="BP46:BU46"/>
    <mergeCell ref="CQ46:CW46"/>
    <mergeCell ref="CX46:DC46"/>
    <mergeCell ref="DD44:DI44"/>
    <mergeCell ref="DD46:DI46"/>
    <mergeCell ref="BV46:CA46"/>
    <mergeCell ref="CB46:CG46"/>
    <mergeCell ref="CB42:CG42"/>
    <mergeCell ref="BV43:CA43"/>
    <mergeCell ref="CB43:CG43"/>
    <mergeCell ref="DJ44:DO44"/>
    <mergeCell ref="D45:M45"/>
    <mergeCell ref="N45:S45"/>
    <mergeCell ref="T45:Y45"/>
    <mergeCell ref="Z45:AE45"/>
    <mergeCell ref="AF45:AK45"/>
    <mergeCell ref="AL45:AQ45"/>
    <mergeCell ref="AT45:BC45"/>
    <mergeCell ref="D44:M44"/>
    <mergeCell ref="N44:S44"/>
    <mergeCell ref="T44:Y44"/>
    <mergeCell ref="Z44:AE44"/>
    <mergeCell ref="AF44:AK44"/>
    <mergeCell ref="AL44:AQ44"/>
    <mergeCell ref="AT44:BC44"/>
    <mergeCell ref="BV44:CA44"/>
    <mergeCell ref="CB44:CG44"/>
    <mergeCell ref="CB45:CG45"/>
    <mergeCell ref="D46:M46"/>
    <mergeCell ref="N46:S46"/>
    <mergeCell ref="T46:Y46"/>
    <mergeCell ref="Z46:AE46"/>
    <mergeCell ref="AF46:AK46"/>
    <mergeCell ref="AL46:AQ46"/>
    <mergeCell ref="AW46:BC46"/>
    <mergeCell ref="BD46:BI46"/>
    <mergeCell ref="BD45:BI45"/>
    <mergeCell ref="CL47:CW47"/>
    <mergeCell ref="CX47:DC47"/>
    <mergeCell ref="DD47:DI47"/>
    <mergeCell ref="DJ47:DO47"/>
    <mergeCell ref="BD47:BI47"/>
    <mergeCell ref="BJ47:BO47"/>
    <mergeCell ref="BV45:CA45"/>
    <mergeCell ref="DD48:DI48"/>
    <mergeCell ref="DJ48:DO48"/>
    <mergeCell ref="BP48:BU48"/>
    <mergeCell ref="CN48:CW48"/>
    <mergeCell ref="DJ46:DO46"/>
    <mergeCell ref="DJ45:DO45"/>
    <mergeCell ref="BJ45:BO45"/>
    <mergeCell ref="BP45:BU45"/>
    <mergeCell ref="CN45:CW45"/>
    <mergeCell ref="CX45:DC45"/>
    <mergeCell ref="DD45:DI45"/>
    <mergeCell ref="AT49:BC49"/>
    <mergeCell ref="BD48:BI48"/>
    <mergeCell ref="BJ48:BO48"/>
    <mergeCell ref="BD49:BI49"/>
    <mergeCell ref="BJ49:BO49"/>
    <mergeCell ref="G48:M48"/>
    <mergeCell ref="N48:S48"/>
    <mergeCell ref="T48:Y48"/>
    <mergeCell ref="Z48:AE48"/>
    <mergeCell ref="AF48:AK48"/>
    <mergeCell ref="AL48:AQ48"/>
    <mergeCell ref="DD49:DI49"/>
    <mergeCell ref="DJ49:DO49"/>
    <mergeCell ref="D50:M50"/>
    <mergeCell ref="N50:S50"/>
    <mergeCell ref="T50:Y50"/>
    <mergeCell ref="Z50:AE50"/>
    <mergeCell ref="AF50:AK50"/>
    <mergeCell ref="AL50:AQ50"/>
    <mergeCell ref="AT50:BC50"/>
    <mergeCell ref="DJ50:DO50"/>
    <mergeCell ref="BD50:BI50"/>
    <mergeCell ref="BJ50:BO50"/>
    <mergeCell ref="BP50:BU50"/>
    <mergeCell ref="CN50:CW50"/>
    <mergeCell ref="CX50:DC50"/>
    <mergeCell ref="DD50:DI50"/>
    <mergeCell ref="BV50:CA50"/>
    <mergeCell ref="CB50:CG50"/>
    <mergeCell ref="D49:M49"/>
    <mergeCell ref="N49:S49"/>
    <mergeCell ref="T49:Y49"/>
    <mergeCell ref="Z49:AE49"/>
    <mergeCell ref="AF49:AK49"/>
    <mergeCell ref="AL49:AQ49"/>
    <mergeCell ref="Z51:AE51"/>
    <mergeCell ref="AF51:AK51"/>
    <mergeCell ref="AL51:AQ51"/>
    <mergeCell ref="BD51:BI51"/>
    <mergeCell ref="CN49:CW49"/>
    <mergeCell ref="D47:F48"/>
    <mergeCell ref="CX49:DC49"/>
    <mergeCell ref="BP47:BU47"/>
    <mergeCell ref="G47:M47"/>
    <mergeCell ref="N47:S47"/>
    <mergeCell ref="T47:Y47"/>
    <mergeCell ref="Z47:AE47"/>
    <mergeCell ref="CX48:DC48"/>
    <mergeCell ref="AF47:AK47"/>
    <mergeCell ref="AL47:AQ47"/>
    <mergeCell ref="AW47:BC47"/>
    <mergeCell ref="BV47:CA47"/>
    <mergeCell ref="CB47:CG47"/>
    <mergeCell ref="BV48:CA48"/>
    <mergeCell ref="CB48:CG48"/>
    <mergeCell ref="BV49:CA49"/>
    <mergeCell ref="CB49:CG49"/>
    <mergeCell ref="BV51:CA51"/>
    <mergeCell ref="CB51:CG51"/>
    <mergeCell ref="DJ51:DO51"/>
    <mergeCell ref="D52:M52"/>
    <mergeCell ref="N52:S52"/>
    <mergeCell ref="T52:Y52"/>
    <mergeCell ref="Z52:AE52"/>
    <mergeCell ref="AF52:AK52"/>
    <mergeCell ref="AL52:AQ52"/>
    <mergeCell ref="AW52:BC52"/>
    <mergeCell ref="BD52:BI52"/>
    <mergeCell ref="BJ52:BO52"/>
    <mergeCell ref="BJ51:BO51"/>
    <mergeCell ref="BP51:BU51"/>
    <mergeCell ref="CN51:CP53"/>
    <mergeCell ref="CQ51:CW51"/>
    <mergeCell ref="CX51:DC51"/>
    <mergeCell ref="DD51:DI51"/>
    <mergeCell ref="BP52:BU52"/>
    <mergeCell ref="CQ52:CW52"/>
    <mergeCell ref="CX52:DC52"/>
    <mergeCell ref="DD52:DI52"/>
    <mergeCell ref="DJ52:DO52"/>
    <mergeCell ref="D51:M51"/>
    <mergeCell ref="N51:S51"/>
    <mergeCell ref="T51:Y51"/>
    <mergeCell ref="G53:M53"/>
    <mergeCell ref="N53:S53"/>
    <mergeCell ref="T53:Y53"/>
    <mergeCell ref="Z53:AE53"/>
    <mergeCell ref="AF53:AK53"/>
    <mergeCell ref="AL53:AQ53"/>
    <mergeCell ref="G55:M55"/>
    <mergeCell ref="N55:S55"/>
    <mergeCell ref="T55:Y55"/>
    <mergeCell ref="Z55:AE55"/>
    <mergeCell ref="AF55:AK55"/>
    <mergeCell ref="B47:C52"/>
    <mergeCell ref="DJ53:DO53"/>
    <mergeCell ref="G54:M54"/>
    <mergeCell ref="N54:S54"/>
    <mergeCell ref="T54:Y54"/>
    <mergeCell ref="Z54:AE54"/>
    <mergeCell ref="AF54:AK54"/>
    <mergeCell ref="AL54:AQ54"/>
    <mergeCell ref="AT54:BC54"/>
    <mergeCell ref="BD54:BI54"/>
    <mergeCell ref="BJ54:BO54"/>
    <mergeCell ref="BD53:BI53"/>
    <mergeCell ref="BJ53:BO53"/>
    <mergeCell ref="BP53:BU53"/>
    <mergeCell ref="CQ53:CW53"/>
    <mergeCell ref="CX53:DC53"/>
    <mergeCell ref="DD53:DI53"/>
    <mergeCell ref="BP54:BU54"/>
    <mergeCell ref="CN54:CW54"/>
    <mergeCell ref="CX54:DC54"/>
    <mergeCell ref="DD54:DI54"/>
    <mergeCell ref="DJ54:DO54"/>
    <mergeCell ref="D53:F55"/>
    <mergeCell ref="CX55:DC55"/>
    <mergeCell ref="DD55:DI55"/>
    <mergeCell ref="DJ55:DO55"/>
    <mergeCell ref="D56:M56"/>
    <mergeCell ref="N56:S56"/>
    <mergeCell ref="T56:Y56"/>
    <mergeCell ref="Z56:AE56"/>
    <mergeCell ref="AF56:AK56"/>
    <mergeCell ref="AL56:AQ56"/>
    <mergeCell ref="AL55:AQ55"/>
    <mergeCell ref="BD55:BI55"/>
    <mergeCell ref="BJ55:BO55"/>
    <mergeCell ref="BP55:BU55"/>
    <mergeCell ref="CN55:CW55"/>
    <mergeCell ref="DD56:DI56"/>
    <mergeCell ref="DJ56:DO56"/>
    <mergeCell ref="BD56:BI56"/>
    <mergeCell ref="BJ56:BO56"/>
    <mergeCell ref="BP56:BU56"/>
    <mergeCell ref="CN56:CP58"/>
    <mergeCell ref="CQ56:CW56"/>
    <mergeCell ref="CX56:DC56"/>
    <mergeCell ref="BJ57:BO57"/>
    <mergeCell ref="BP57:BU57"/>
    <mergeCell ref="CQ57:CW57"/>
    <mergeCell ref="CX57:DC57"/>
    <mergeCell ref="DD57:DI57"/>
    <mergeCell ref="DJ57:DO57"/>
    <mergeCell ref="D58:M58"/>
    <mergeCell ref="N58:S58"/>
    <mergeCell ref="T58:Y58"/>
    <mergeCell ref="Z58:AE58"/>
    <mergeCell ref="AF58:AK58"/>
    <mergeCell ref="AL58:AQ58"/>
    <mergeCell ref="CQ58:CW58"/>
    <mergeCell ref="CX58:DC58"/>
    <mergeCell ref="BD57:BI57"/>
    <mergeCell ref="D57:M57"/>
    <mergeCell ref="N57:S57"/>
    <mergeCell ref="T57:Y57"/>
    <mergeCell ref="Z57:AE57"/>
    <mergeCell ref="AF57:AK57"/>
    <mergeCell ref="AL57:AQ57"/>
    <mergeCell ref="BD58:BI58"/>
    <mergeCell ref="BJ58:BO58"/>
    <mergeCell ref="BV57:CA57"/>
    <mergeCell ref="CB57:CG57"/>
    <mergeCell ref="BV58:CA58"/>
    <mergeCell ref="CB58:CG58"/>
    <mergeCell ref="AX66:BC66"/>
    <mergeCell ref="BD66:BI66"/>
    <mergeCell ref="BJ66:BO66"/>
    <mergeCell ref="BP66:BU66"/>
    <mergeCell ref="BV66:CA66"/>
    <mergeCell ref="CB66:CG66"/>
    <mergeCell ref="DD58:DI58"/>
    <mergeCell ref="DJ58:DO58"/>
    <mergeCell ref="B66:G66"/>
    <mergeCell ref="H66:M66"/>
    <mergeCell ref="N66:S66"/>
    <mergeCell ref="T66:Y66"/>
    <mergeCell ref="Z66:AE66"/>
    <mergeCell ref="AF66:AK66"/>
    <mergeCell ref="AL66:AQ66"/>
    <mergeCell ref="AR66:AW66"/>
    <mergeCell ref="B53:C65"/>
    <mergeCell ref="BV63:CA63"/>
    <mergeCell ref="CB63:CG63"/>
    <mergeCell ref="BV64:CA64"/>
    <mergeCell ref="CB64:CG64"/>
    <mergeCell ref="BV65:CA65"/>
    <mergeCell ref="CB65:CG65"/>
    <mergeCell ref="BP58:BU58"/>
    <mergeCell ref="DJ68:DO68"/>
    <mergeCell ref="CN66:CW66"/>
    <mergeCell ref="CX66:DC66"/>
    <mergeCell ref="DD66:DI66"/>
    <mergeCell ref="DJ66:DO66"/>
    <mergeCell ref="CN67:CW67"/>
    <mergeCell ref="CX67:DC67"/>
    <mergeCell ref="DD67:DI67"/>
    <mergeCell ref="DJ67:DO67"/>
    <mergeCell ref="BV69:CA69"/>
    <mergeCell ref="CB69:CG69"/>
    <mergeCell ref="CN69:CP70"/>
    <mergeCell ref="CQ69:CW69"/>
    <mergeCell ref="CX69:DC69"/>
    <mergeCell ref="DD69:DI69"/>
    <mergeCell ref="BV68:CA68"/>
    <mergeCell ref="CB68:CG68"/>
    <mergeCell ref="CN68:CW68"/>
    <mergeCell ref="CX68:DC68"/>
    <mergeCell ref="DD68:DI68"/>
    <mergeCell ref="CN72:CW72"/>
    <mergeCell ref="CX72:DC72"/>
    <mergeCell ref="DD72:DI72"/>
    <mergeCell ref="DJ72:DO72"/>
    <mergeCell ref="CN73:CW73"/>
    <mergeCell ref="CX73:DC73"/>
    <mergeCell ref="DD73:DI73"/>
    <mergeCell ref="DJ73:DO73"/>
    <mergeCell ref="DJ69:DO69"/>
    <mergeCell ref="CQ70:CW70"/>
    <mergeCell ref="CX70:DC70"/>
    <mergeCell ref="DD70:DI70"/>
    <mergeCell ref="DJ70:DO70"/>
    <mergeCell ref="CN71:CW71"/>
    <mergeCell ref="CX71:DC71"/>
    <mergeCell ref="DD71:DI71"/>
    <mergeCell ref="DJ71:DO71"/>
    <mergeCell ref="CN77:CW77"/>
    <mergeCell ref="CX77:DC77"/>
    <mergeCell ref="DD77:DI77"/>
    <mergeCell ref="DJ77:DO77"/>
    <mergeCell ref="CN74:CP75"/>
    <mergeCell ref="CQ74:CW74"/>
    <mergeCell ref="CX74:DC74"/>
    <mergeCell ref="DD74:DI74"/>
    <mergeCell ref="DJ74:DO74"/>
    <mergeCell ref="CQ75:CW75"/>
    <mergeCell ref="CX75:DC75"/>
    <mergeCell ref="DD75:DI75"/>
    <mergeCell ref="DJ75:DO75"/>
    <mergeCell ref="CN76:CW76"/>
    <mergeCell ref="CX76:DC76"/>
    <mergeCell ref="DD76:DI76"/>
    <mergeCell ref="DJ76:DO76"/>
    <mergeCell ref="CL80:CW80"/>
    <mergeCell ref="CX80:DC80"/>
    <mergeCell ref="DD80:DI80"/>
    <mergeCell ref="DJ80:DO80"/>
    <mergeCell ref="CN81:CW81"/>
    <mergeCell ref="CX81:DC81"/>
    <mergeCell ref="DD81:DI81"/>
    <mergeCell ref="DJ81:DO81"/>
    <mergeCell ref="CQ78:CW78"/>
    <mergeCell ref="CX78:DC78"/>
    <mergeCell ref="DD78:DI78"/>
    <mergeCell ref="DJ78:DO78"/>
    <mergeCell ref="CL79:CW79"/>
    <mergeCell ref="CX79:DC79"/>
    <mergeCell ref="DD79:DI79"/>
    <mergeCell ref="DJ79:DO79"/>
    <mergeCell ref="CB14:CG14"/>
    <mergeCell ref="BV15:CA15"/>
    <mergeCell ref="CB15:CG15"/>
    <mergeCell ref="BV16:CA16"/>
    <mergeCell ref="CB16:CG16"/>
    <mergeCell ref="BV27:CA27"/>
    <mergeCell ref="CB27:CG27"/>
    <mergeCell ref="BV28:CA28"/>
    <mergeCell ref="CB28:CG28"/>
    <mergeCell ref="BV21:CA21"/>
    <mergeCell ref="CB21:CG21"/>
    <mergeCell ref="BV22:CA22"/>
    <mergeCell ref="CB22:CG22"/>
    <mergeCell ref="BV23:CA23"/>
    <mergeCell ref="CB23:CG23"/>
    <mergeCell ref="BV24:CA24"/>
    <mergeCell ref="CB24:CG24"/>
    <mergeCell ref="BV25:CA25"/>
    <mergeCell ref="CB25:CG25"/>
    <mergeCell ref="BV26:CA26"/>
    <mergeCell ref="CB26:CG26"/>
    <mergeCell ref="BV56:CA56"/>
    <mergeCell ref="CB56:CG56"/>
    <mergeCell ref="BV54:CA54"/>
    <mergeCell ref="CB54:CG54"/>
    <mergeCell ref="BV55:CA55"/>
    <mergeCell ref="CB55:CG55"/>
    <mergeCell ref="BV39:CA39"/>
    <mergeCell ref="CB39:CG39"/>
    <mergeCell ref="BV40:CA40"/>
    <mergeCell ref="CB40:CG40"/>
    <mergeCell ref="BV41:CA41"/>
    <mergeCell ref="CB41:CG41"/>
    <mergeCell ref="BV42:CA42"/>
  </mergeCells>
  <phoneticPr fontId="6"/>
  <pageMargins left="0.39370078740157483" right="0.39370078740157483" top="0.59055118110236215" bottom="0.39370078740157483" header="0.31496062992125984" footer="0.31496062992125984"/>
  <pageSetup paperSize="9" scale="89" orientation="landscape" r:id="rId1"/>
  <rowBreaks count="1" manualBreakCount="1">
    <brk id="66" max="8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74"/>
  <sheetViews>
    <sheetView zoomScale="85" zoomScaleNormal="85" workbookViewId="0">
      <selection activeCell="K5" sqref="K5"/>
    </sheetView>
  </sheetViews>
  <sheetFormatPr defaultColWidth="8.875" defaultRowHeight="13.5"/>
  <cols>
    <col min="1" max="1" width="13.875" style="108" bestFit="1" customWidth="1"/>
    <col min="2" max="2" width="7.5" style="108" bestFit="1" customWidth="1"/>
    <col min="3" max="3" width="8.875" style="92"/>
    <col min="4" max="4" width="11.625" style="92" bestFit="1" customWidth="1"/>
    <col min="5" max="5" width="7.5" style="92" bestFit="1" customWidth="1"/>
    <col min="6" max="6" width="8.875" style="92" customWidth="1"/>
    <col min="7" max="7" width="11.625" style="92" bestFit="1" customWidth="1"/>
    <col min="8" max="8" width="7.5" style="92" bestFit="1" customWidth="1"/>
    <col min="9" max="9" width="8.875" style="92"/>
    <col min="10" max="10" width="12.75" style="108" bestFit="1" customWidth="1"/>
    <col min="11" max="11" width="7.5" style="108" bestFit="1" customWidth="1"/>
    <col min="12" max="12" width="8.875" style="92" customWidth="1"/>
    <col min="13" max="13" width="16.125" style="92" bestFit="1" customWidth="1"/>
    <col min="14" max="14" width="7.5" style="92" bestFit="1" customWidth="1"/>
    <col min="15" max="15" width="8.875" style="92"/>
    <col min="16" max="16" width="16.125" style="92" bestFit="1" customWidth="1"/>
    <col min="17" max="17" width="7.5" style="92" bestFit="1" customWidth="1"/>
    <col min="18" max="18" width="8.875" style="92"/>
    <col min="19" max="19" width="16.125" style="92" bestFit="1" customWidth="1"/>
    <col min="20" max="20" width="7.5" style="92" bestFit="1" customWidth="1"/>
    <col min="21" max="16384" width="8.875" style="92"/>
  </cols>
  <sheetData>
    <row r="2" spans="1:20">
      <c r="A2" s="107" t="s">
        <v>280</v>
      </c>
      <c r="B2" s="107" t="s">
        <v>281</v>
      </c>
      <c r="D2" s="93" t="s">
        <v>83</v>
      </c>
      <c r="E2" s="93" t="s">
        <v>281</v>
      </c>
      <c r="G2" s="94" t="s">
        <v>282</v>
      </c>
      <c r="H2" s="94" t="s">
        <v>281</v>
      </c>
      <c r="J2" s="108" t="s">
        <v>283</v>
      </c>
      <c r="M2" s="95" t="s">
        <v>285</v>
      </c>
      <c r="N2" s="96" t="s">
        <v>284</v>
      </c>
      <c r="P2" s="97" t="s">
        <v>355</v>
      </c>
      <c r="Q2" s="98" t="s">
        <v>284</v>
      </c>
      <c r="S2" s="99" t="s">
        <v>356</v>
      </c>
      <c r="T2" s="100" t="s">
        <v>284</v>
      </c>
    </row>
    <row r="3" spans="1:20">
      <c r="A3" s="107" t="s">
        <v>382</v>
      </c>
      <c r="B3" s="107">
        <v>0</v>
      </c>
      <c r="D3" s="93" t="s">
        <v>283</v>
      </c>
      <c r="E3" s="93">
        <v>80</v>
      </c>
      <c r="G3" s="94" t="s">
        <v>341</v>
      </c>
      <c r="H3" s="94">
        <v>1</v>
      </c>
      <c r="J3" s="110" t="s">
        <v>378</v>
      </c>
      <c r="K3" s="110" t="s">
        <v>379</v>
      </c>
      <c r="M3" s="95" t="s">
        <v>287</v>
      </c>
      <c r="N3" s="96">
        <v>0</v>
      </c>
      <c r="P3" s="97" t="s">
        <v>350</v>
      </c>
      <c r="Q3" s="98">
        <v>1</v>
      </c>
      <c r="S3" s="99" t="s">
        <v>357</v>
      </c>
      <c r="T3" s="100">
        <v>1</v>
      </c>
    </row>
    <row r="4" spans="1:20">
      <c r="A4" s="107" t="s">
        <v>383</v>
      </c>
      <c r="B4" s="107">
        <v>60</v>
      </c>
      <c r="D4" s="93"/>
      <c r="E4" s="93"/>
      <c r="G4" s="94"/>
      <c r="H4" s="94"/>
      <c r="J4" s="110" t="s">
        <v>418</v>
      </c>
      <c r="K4" s="110">
        <v>0</v>
      </c>
      <c r="M4" s="95" t="s">
        <v>289</v>
      </c>
      <c r="N4" s="96">
        <v>1</v>
      </c>
      <c r="P4" s="97" t="s">
        <v>351</v>
      </c>
      <c r="Q4" s="98">
        <v>2</v>
      </c>
      <c r="S4" s="99" t="s">
        <v>358</v>
      </c>
      <c r="T4" s="100">
        <v>2</v>
      </c>
    </row>
    <row r="5" spans="1:20">
      <c r="A5" s="107" t="s">
        <v>338</v>
      </c>
      <c r="B5" s="107">
        <v>1</v>
      </c>
      <c r="D5" s="93"/>
      <c r="E5" s="93"/>
      <c r="G5" s="94"/>
      <c r="H5" s="94"/>
      <c r="J5" s="110" t="s">
        <v>380</v>
      </c>
      <c r="K5" s="110">
        <v>1</v>
      </c>
      <c r="M5" s="95" t="s">
        <v>291</v>
      </c>
      <c r="N5" s="96">
        <v>2</v>
      </c>
      <c r="P5" s="101"/>
      <c r="Q5" s="101"/>
      <c r="S5" s="101"/>
      <c r="T5" s="101"/>
    </row>
    <row r="6" spans="1:20">
      <c r="A6" s="107" t="s">
        <v>384</v>
      </c>
      <c r="B6" s="107">
        <v>61</v>
      </c>
      <c r="D6" s="93"/>
      <c r="E6" s="93"/>
      <c r="G6" s="94"/>
      <c r="H6" s="94"/>
      <c r="J6" s="110" t="s">
        <v>404</v>
      </c>
      <c r="K6" s="110">
        <v>2</v>
      </c>
      <c r="M6" s="95" t="s">
        <v>293</v>
      </c>
      <c r="N6" s="96">
        <v>3</v>
      </c>
      <c r="P6" s="101"/>
      <c r="Q6" s="98" t="s">
        <v>281</v>
      </c>
      <c r="S6" s="101"/>
      <c r="T6" s="100" t="s">
        <v>281</v>
      </c>
    </row>
    <row r="7" spans="1:20">
      <c r="A7" s="107" t="s">
        <v>385</v>
      </c>
      <c r="B7" s="107">
        <v>62</v>
      </c>
      <c r="D7" s="93"/>
      <c r="E7" s="93"/>
      <c r="G7" s="94" t="s">
        <v>295</v>
      </c>
      <c r="H7" s="94">
        <v>2</v>
      </c>
      <c r="J7" s="110" t="s">
        <v>405</v>
      </c>
      <c r="K7" s="110">
        <v>3</v>
      </c>
      <c r="M7" s="95" t="s">
        <v>296</v>
      </c>
      <c r="N7" s="102">
        <v>4</v>
      </c>
      <c r="P7" s="101"/>
      <c r="Q7" s="98" t="str">
        <f>"="&amp;'No1'!AX5</f>
        <v>=</v>
      </c>
      <c r="S7" s="101"/>
      <c r="T7" s="100" t="str">
        <f>"="&amp;'No1'!N5</f>
        <v>=</v>
      </c>
    </row>
    <row r="8" spans="1:20">
      <c r="A8" s="107" t="s">
        <v>386</v>
      </c>
      <c r="B8" s="107">
        <v>63</v>
      </c>
      <c r="D8" s="93"/>
      <c r="E8" s="93"/>
      <c r="J8" s="110" t="s">
        <v>406</v>
      </c>
      <c r="K8" s="110">
        <v>4</v>
      </c>
      <c r="M8" s="101"/>
      <c r="N8" s="101"/>
    </row>
    <row r="9" spans="1:20">
      <c r="A9" s="107" t="s">
        <v>387</v>
      </c>
      <c r="B9" s="107">
        <v>67</v>
      </c>
      <c r="D9" s="93"/>
      <c r="E9" s="93"/>
      <c r="H9" s="94" t="s">
        <v>281</v>
      </c>
      <c r="J9" s="110" t="s">
        <v>407</v>
      </c>
      <c r="K9" s="110">
        <v>5</v>
      </c>
      <c r="M9" s="101"/>
      <c r="N9" s="96" t="s">
        <v>281</v>
      </c>
    </row>
    <row r="10" spans="1:20">
      <c r="A10" s="107" t="s">
        <v>388</v>
      </c>
      <c r="B10" s="107">
        <v>68</v>
      </c>
      <c r="D10" s="93"/>
      <c r="E10" s="93"/>
      <c r="H10" s="103" t="str">
        <f>"="&amp;'No1'!BD5</f>
        <v>=</v>
      </c>
      <c r="J10" s="110" t="s">
        <v>408</v>
      </c>
      <c r="K10" s="110">
        <v>6</v>
      </c>
      <c r="M10" s="101"/>
      <c r="N10" s="96" t="str">
        <f>"="&amp;'No1'!AF5</f>
        <v>=</v>
      </c>
    </row>
    <row r="11" spans="1:20">
      <c r="A11" s="107" t="s">
        <v>389</v>
      </c>
      <c r="B11" s="107">
        <v>71</v>
      </c>
      <c r="D11" s="93"/>
      <c r="E11" s="93"/>
      <c r="J11" s="110" t="s">
        <v>409</v>
      </c>
      <c r="K11" s="110">
        <v>7</v>
      </c>
    </row>
    <row r="12" spans="1:20">
      <c r="A12" s="107" t="s">
        <v>390</v>
      </c>
      <c r="B12" s="107">
        <v>74</v>
      </c>
      <c r="D12" s="93"/>
      <c r="E12" s="93"/>
      <c r="J12" s="110" t="s">
        <v>410</v>
      </c>
      <c r="K12" s="110">
        <v>8</v>
      </c>
    </row>
    <row r="13" spans="1:20">
      <c r="A13" s="107" t="s">
        <v>391</v>
      </c>
      <c r="B13" s="107">
        <v>75</v>
      </c>
      <c r="D13" s="93"/>
      <c r="E13" s="93"/>
      <c r="J13" s="110" t="s">
        <v>411</v>
      </c>
      <c r="K13" s="110">
        <v>9</v>
      </c>
    </row>
    <row r="14" spans="1:20">
      <c r="A14" s="107" t="s">
        <v>337</v>
      </c>
      <c r="B14" s="107">
        <v>47</v>
      </c>
      <c r="J14" s="110" t="s">
        <v>412</v>
      </c>
      <c r="K14" s="110">
        <v>10</v>
      </c>
    </row>
    <row r="15" spans="1:20">
      <c r="A15" s="107" t="s">
        <v>392</v>
      </c>
      <c r="B15" s="107">
        <v>64</v>
      </c>
      <c r="E15" s="93" t="s">
        <v>281</v>
      </c>
      <c r="J15" s="110" t="s">
        <v>413</v>
      </c>
      <c r="K15" s="110">
        <v>11</v>
      </c>
    </row>
    <row r="16" spans="1:20">
      <c r="A16" s="107" t="s">
        <v>393</v>
      </c>
      <c r="B16" s="107">
        <v>65</v>
      </c>
      <c r="E16" s="104" t="str">
        <f>"="&amp;'No1'!N5</f>
        <v>=</v>
      </c>
      <c r="J16" s="110" t="s">
        <v>414</v>
      </c>
      <c r="K16" s="110">
        <v>12</v>
      </c>
    </row>
    <row r="17" spans="1:11">
      <c r="A17" s="107" t="s">
        <v>394</v>
      </c>
      <c r="B17" s="107">
        <v>66</v>
      </c>
      <c r="J17" s="110" t="s">
        <v>381</v>
      </c>
      <c r="K17" s="110">
        <v>13</v>
      </c>
    </row>
    <row r="18" spans="1:11">
      <c r="A18" s="107" t="s">
        <v>395</v>
      </c>
      <c r="B18" s="107">
        <v>69</v>
      </c>
      <c r="K18" s="111"/>
    </row>
    <row r="19" spans="1:11">
      <c r="A19" s="107" t="s">
        <v>396</v>
      </c>
      <c r="B19" s="107">
        <v>70</v>
      </c>
      <c r="K19" s="110" t="s">
        <v>281</v>
      </c>
    </row>
    <row r="20" spans="1:11">
      <c r="A20" s="107" t="s">
        <v>397</v>
      </c>
      <c r="B20" s="107">
        <v>72</v>
      </c>
      <c r="K20" s="112" t="str">
        <f>"="&amp;'No1'!Z5</f>
        <v>=</v>
      </c>
    </row>
    <row r="21" spans="1:11">
      <c r="A21" s="107" t="s">
        <v>398</v>
      </c>
      <c r="B21" s="107">
        <v>73</v>
      </c>
      <c r="J21"/>
    </row>
    <row r="22" spans="1:11">
      <c r="A22" s="107" t="s">
        <v>399</v>
      </c>
      <c r="B22" s="107">
        <v>76</v>
      </c>
      <c r="J22"/>
      <c r="K22"/>
    </row>
    <row r="23" spans="1:11">
      <c r="A23" s="107" t="s">
        <v>400</v>
      </c>
      <c r="B23" s="107">
        <v>77</v>
      </c>
      <c r="J23"/>
      <c r="K23"/>
    </row>
    <row r="24" spans="1:11">
      <c r="A24" s="107" t="s">
        <v>401</v>
      </c>
      <c r="B24" s="107">
        <v>93</v>
      </c>
      <c r="J24"/>
      <c r="K24"/>
    </row>
    <row r="25" spans="1:11">
      <c r="A25" s="107" t="s">
        <v>402</v>
      </c>
      <c r="B25" s="107">
        <v>94</v>
      </c>
      <c r="J25"/>
      <c r="K25"/>
    </row>
    <row r="26" spans="1:11">
      <c r="A26" s="107" t="s">
        <v>403</v>
      </c>
      <c r="B26" s="107">
        <v>95</v>
      </c>
      <c r="J26"/>
      <c r="K26"/>
    </row>
    <row r="27" spans="1:11">
      <c r="A27" s="107" t="s">
        <v>286</v>
      </c>
      <c r="B27" s="107">
        <v>2</v>
      </c>
      <c r="J27"/>
      <c r="K27"/>
    </row>
    <row r="28" spans="1:11">
      <c r="A28" s="107" t="s">
        <v>288</v>
      </c>
      <c r="B28" s="107">
        <v>3</v>
      </c>
      <c r="J28"/>
      <c r="K28"/>
    </row>
    <row r="29" spans="1:11">
      <c r="A29" s="107" t="s">
        <v>290</v>
      </c>
      <c r="B29" s="107">
        <v>4</v>
      </c>
      <c r="J29"/>
      <c r="K29"/>
    </row>
    <row r="30" spans="1:11">
      <c r="A30" s="107" t="s">
        <v>292</v>
      </c>
      <c r="B30" s="107">
        <v>5</v>
      </c>
      <c r="J30"/>
      <c r="K30"/>
    </row>
    <row r="31" spans="1:11">
      <c r="A31" s="107" t="s">
        <v>294</v>
      </c>
      <c r="B31" s="107">
        <v>6</v>
      </c>
      <c r="J31"/>
      <c r="K31"/>
    </row>
    <row r="32" spans="1:11">
      <c r="A32" s="107" t="s">
        <v>297</v>
      </c>
      <c r="B32" s="107">
        <v>7</v>
      </c>
      <c r="J32"/>
      <c r="K32"/>
    </row>
    <row r="33" spans="1:11">
      <c r="A33" s="107" t="s">
        <v>298</v>
      </c>
      <c r="B33" s="107">
        <v>8</v>
      </c>
      <c r="J33"/>
      <c r="K33"/>
    </row>
    <row r="34" spans="1:11">
      <c r="A34" s="107" t="s">
        <v>299</v>
      </c>
      <c r="B34" s="107">
        <v>9</v>
      </c>
      <c r="J34"/>
      <c r="K34"/>
    </row>
    <row r="35" spans="1:11">
      <c r="A35" s="107" t="s">
        <v>300</v>
      </c>
      <c r="B35" s="107">
        <v>10</v>
      </c>
      <c r="J35"/>
      <c r="K35"/>
    </row>
    <row r="36" spans="1:11">
      <c r="A36" s="107" t="s">
        <v>301</v>
      </c>
      <c r="B36" s="107">
        <v>11</v>
      </c>
      <c r="J36"/>
      <c r="K36"/>
    </row>
    <row r="37" spans="1:11">
      <c r="A37" s="107" t="s">
        <v>302</v>
      </c>
      <c r="B37" s="107">
        <v>12</v>
      </c>
      <c r="J37"/>
      <c r="K37"/>
    </row>
    <row r="38" spans="1:11">
      <c r="A38" s="107" t="s">
        <v>303</v>
      </c>
      <c r="B38" s="107">
        <v>13</v>
      </c>
      <c r="J38"/>
      <c r="K38"/>
    </row>
    <row r="39" spans="1:11">
      <c r="A39" s="107" t="s">
        <v>304</v>
      </c>
      <c r="B39" s="107">
        <v>14</v>
      </c>
      <c r="J39"/>
      <c r="K39"/>
    </row>
    <row r="40" spans="1:11">
      <c r="A40" s="107" t="s">
        <v>305</v>
      </c>
      <c r="B40" s="107">
        <v>15</v>
      </c>
      <c r="J40"/>
      <c r="K40"/>
    </row>
    <row r="41" spans="1:11">
      <c r="A41" s="107" t="s">
        <v>306</v>
      </c>
      <c r="B41" s="107">
        <v>16</v>
      </c>
      <c r="J41"/>
      <c r="K41"/>
    </row>
    <row r="42" spans="1:11">
      <c r="A42" s="107" t="s">
        <v>307</v>
      </c>
      <c r="B42" s="107">
        <v>17</v>
      </c>
      <c r="J42"/>
      <c r="K42"/>
    </row>
    <row r="43" spans="1:11">
      <c r="A43" s="107" t="s">
        <v>308</v>
      </c>
      <c r="B43" s="107">
        <v>18</v>
      </c>
      <c r="J43"/>
      <c r="K43"/>
    </row>
    <row r="44" spans="1:11">
      <c r="A44" s="107" t="s">
        <v>309</v>
      </c>
      <c r="B44" s="107">
        <v>19</v>
      </c>
      <c r="J44"/>
      <c r="K44"/>
    </row>
    <row r="45" spans="1:11">
      <c r="A45" s="107" t="s">
        <v>310</v>
      </c>
      <c r="B45" s="107">
        <v>20</v>
      </c>
      <c r="J45"/>
      <c r="K45"/>
    </row>
    <row r="46" spans="1:11">
      <c r="A46" s="107" t="s">
        <v>311</v>
      </c>
      <c r="B46" s="107">
        <v>21</v>
      </c>
      <c r="J46"/>
      <c r="K46"/>
    </row>
    <row r="47" spans="1:11">
      <c r="A47" s="107" t="s">
        <v>312</v>
      </c>
      <c r="B47" s="107">
        <v>22</v>
      </c>
      <c r="J47"/>
      <c r="K47"/>
    </row>
    <row r="48" spans="1:11">
      <c r="A48" s="107" t="s">
        <v>313</v>
      </c>
      <c r="B48" s="107">
        <v>23</v>
      </c>
      <c r="J48"/>
      <c r="K48"/>
    </row>
    <row r="49" spans="1:11">
      <c r="A49" s="107" t="s">
        <v>314</v>
      </c>
      <c r="B49" s="107">
        <v>24</v>
      </c>
      <c r="J49"/>
      <c r="K49"/>
    </row>
    <row r="50" spans="1:11">
      <c r="A50" s="107" t="s">
        <v>315</v>
      </c>
      <c r="B50" s="107">
        <v>25</v>
      </c>
      <c r="J50"/>
      <c r="K50"/>
    </row>
    <row r="51" spans="1:11">
      <c r="A51" s="107" t="s">
        <v>316</v>
      </c>
      <c r="B51" s="107">
        <v>26</v>
      </c>
      <c r="J51"/>
      <c r="K51"/>
    </row>
    <row r="52" spans="1:11">
      <c r="A52" s="107" t="s">
        <v>317</v>
      </c>
      <c r="B52" s="107">
        <v>27</v>
      </c>
      <c r="J52"/>
      <c r="K52"/>
    </row>
    <row r="53" spans="1:11">
      <c r="A53" s="107" t="s">
        <v>318</v>
      </c>
      <c r="B53" s="107">
        <v>28</v>
      </c>
      <c r="J53"/>
      <c r="K53"/>
    </row>
    <row r="54" spans="1:11">
      <c r="A54" s="107" t="s">
        <v>319</v>
      </c>
      <c r="B54" s="107">
        <v>29</v>
      </c>
      <c r="J54"/>
      <c r="K54"/>
    </row>
    <row r="55" spans="1:11">
      <c r="A55" s="107" t="s">
        <v>320</v>
      </c>
      <c r="B55" s="107">
        <v>30</v>
      </c>
      <c r="J55"/>
      <c r="K55"/>
    </row>
    <row r="56" spans="1:11">
      <c r="A56" s="107" t="s">
        <v>321</v>
      </c>
      <c r="B56" s="107">
        <v>31</v>
      </c>
      <c r="K56"/>
    </row>
    <row r="57" spans="1:11">
      <c r="A57" s="107" t="s">
        <v>322</v>
      </c>
      <c r="B57" s="107">
        <v>32</v>
      </c>
    </row>
    <row r="58" spans="1:11">
      <c r="A58" s="107" t="s">
        <v>323</v>
      </c>
      <c r="B58" s="107">
        <v>33</v>
      </c>
    </row>
    <row r="59" spans="1:11">
      <c r="A59" s="107" t="s">
        <v>324</v>
      </c>
      <c r="B59" s="107">
        <v>34</v>
      </c>
    </row>
    <row r="60" spans="1:11">
      <c r="A60" s="107" t="s">
        <v>325</v>
      </c>
      <c r="B60" s="107">
        <v>35</v>
      </c>
    </row>
    <row r="61" spans="1:11">
      <c r="A61" s="107" t="s">
        <v>326</v>
      </c>
      <c r="B61" s="107">
        <v>36</v>
      </c>
    </row>
    <row r="62" spans="1:11">
      <c r="A62" s="107" t="s">
        <v>327</v>
      </c>
      <c r="B62" s="107">
        <v>37</v>
      </c>
    </row>
    <row r="63" spans="1:11">
      <c r="A63" s="107" t="s">
        <v>328</v>
      </c>
      <c r="B63" s="107">
        <v>38</v>
      </c>
    </row>
    <row r="64" spans="1:11">
      <c r="A64" s="107" t="s">
        <v>329</v>
      </c>
      <c r="B64" s="107">
        <v>39</v>
      </c>
    </row>
    <row r="65" spans="1:2">
      <c r="A65" s="107" t="s">
        <v>330</v>
      </c>
      <c r="B65" s="107">
        <v>40</v>
      </c>
    </row>
    <row r="66" spans="1:2">
      <c r="A66" s="107" t="s">
        <v>331</v>
      </c>
      <c r="B66" s="107">
        <v>41</v>
      </c>
    </row>
    <row r="67" spans="1:2">
      <c r="A67" s="107" t="s">
        <v>332</v>
      </c>
      <c r="B67" s="107">
        <v>42</v>
      </c>
    </row>
    <row r="68" spans="1:2">
      <c r="A68" s="107" t="s">
        <v>333</v>
      </c>
      <c r="B68" s="107">
        <v>43</v>
      </c>
    </row>
    <row r="69" spans="1:2">
      <c r="A69" s="107" t="s">
        <v>334</v>
      </c>
      <c r="B69" s="107">
        <v>44</v>
      </c>
    </row>
    <row r="70" spans="1:2">
      <c r="A70" s="107" t="s">
        <v>335</v>
      </c>
      <c r="B70" s="107">
        <v>45</v>
      </c>
    </row>
    <row r="71" spans="1:2">
      <c r="A71" s="107" t="s">
        <v>336</v>
      </c>
      <c r="B71" s="107">
        <v>46</v>
      </c>
    </row>
    <row r="73" spans="1:2">
      <c r="B73" s="107" t="s">
        <v>281</v>
      </c>
    </row>
    <row r="74" spans="1:2">
      <c r="B74" s="109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owner</cp:lastModifiedBy>
  <cp:lastPrinted>2019-05-07T07:09:23Z</cp:lastPrinted>
  <dcterms:created xsi:type="dcterms:W3CDTF">2012-06-25T01:10:26Z</dcterms:created>
  <dcterms:modified xsi:type="dcterms:W3CDTF">2023-02-02T00:55:06Z</dcterms:modified>
</cp:coreProperties>
</file>