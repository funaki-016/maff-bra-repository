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filterPrivacy="1" defaultThemeVersion="124226"/>
  <xr:revisionPtr revIDLastSave="0" documentId="13_ncr:1_{456759E0-5AF2-440D-9C75-BC4D92DA02F9}" xr6:coauthVersionLast="45" xr6:coauthVersionMax="47" xr10:uidLastSave="{00000000-0000-0000-0000-000000000000}"/>
  <bookViews>
    <workbookView xWindow="-108" yWindow="-108" windowWidth="23256" windowHeight="12576" tabRatio="845" xr2:uid="{00000000-000D-0000-FFFF-FFFF00000000}"/>
  </bookViews>
  <sheets>
    <sheet name="設定" sheetId="77" r:id="rId1"/>
    <sheet name="月別入力" sheetId="71" r:id="rId2"/>
    <sheet name="【12】作業別労働時間①_個別" sheetId="78" r:id="rId3"/>
    <sheet name="【12】作業別労働時間①_組織" sheetId="79" r:id="rId4"/>
    <sheet name="リスト" sheetId="72" state="hidden" r:id="rId5"/>
  </sheets>
  <externalReferences>
    <externalReference r:id="rId6"/>
    <externalReference r:id="rId7"/>
    <externalReference r:id="rId8"/>
  </externalReferences>
  <definedNames>
    <definedName name="_xlnm._FilterDatabase" localSheetId="0" hidden="1">設定!$B$9:$X$9</definedName>
    <definedName name="_xlnm.Print_Area" localSheetId="2">【12】作業別労働時間①_個別!$A$1:$CC$80</definedName>
    <definedName name="_xlnm.Print_Area" localSheetId="3">【12】作業別労働時間①_組織!$A$1:$BK$58</definedName>
    <definedName name="_xlnm.Print_Titles" localSheetId="0">設定!$1:$9</definedName>
    <definedName name="さとうきび">リスト!$Q$2:$Q$18</definedName>
    <definedName name="そば">リスト!$K$2:$K$18</definedName>
    <definedName name="てんさい">リスト!$P$2:$P$18</definedName>
    <definedName name="なたね">リスト!$O$2:$O$18</definedName>
    <definedName name="はだか麦">リスト!$J$2:$J$18</definedName>
    <definedName name="牛乳異動事由">[1]種類・構造・型式・牛馬コード!$R$33:$T$40</definedName>
    <definedName name="牛馬種類コード">[1]種類・構造・型式・牛馬コード!$R$2:$S$6</definedName>
    <definedName name="型式コード" localSheetId="2">#REF!</definedName>
    <definedName name="型式コード" localSheetId="3">#REF!</definedName>
    <definedName name="型式コード" localSheetId="0">#REF!</definedName>
    <definedName name="型式コード">#REF!</definedName>
    <definedName name="建築物コード" localSheetId="3">#REF!</definedName>
    <definedName name="建築物コード" localSheetId="0">#REF!</definedName>
    <definedName name="建築物コード">#REF!</definedName>
    <definedName name="建築物種類コード">[1]リスト!$E$5:$E$15</definedName>
    <definedName name="建物コード" localSheetId="2">#REF!</definedName>
    <definedName name="建物コード" localSheetId="3">#REF!</definedName>
    <definedName name="建物コード" localSheetId="0">#REF!</definedName>
    <definedName name="建物コード">#REF!</definedName>
    <definedName name="原料用かんしょ">リスト!$M$2:$M$18</definedName>
    <definedName name="原料用ばれいしょ">リスト!$N$2:$N$18</definedName>
    <definedName name="個別経営体">リスト!$D$2:$D$6</definedName>
    <definedName name="構造コード" localSheetId="3">#REF!</definedName>
    <definedName name="構造コード" localSheetId="0">#REF!</definedName>
    <definedName name="構造コード">#REF!</definedName>
    <definedName name="構築物コード" localSheetId="3">#REF!</definedName>
    <definedName name="構築物コード" localSheetId="0">#REF!</definedName>
    <definedName name="構築物コード">#REF!</definedName>
    <definedName name="残存割合" localSheetId="3">#REF!</definedName>
    <definedName name="残存割合" localSheetId="0">#REF!</definedName>
    <definedName name="残存割合">#REF!</definedName>
    <definedName name="自給牧草給与割合">[1]自給飼料!$BW$52</definedName>
    <definedName name="自動車コード" localSheetId="2">#REF!</definedName>
    <definedName name="自動車コード" localSheetId="3">#REF!</definedName>
    <definedName name="自動車コード" localSheetId="0">#REF!</definedName>
    <definedName name="自動車コード">#REF!</definedName>
    <definedName name="祝祭日">[2]祝祭日!$D$5:$E$31</definedName>
    <definedName name="償却率" localSheetId="2">#REF!</definedName>
    <definedName name="償却率" localSheetId="3">#REF!</definedName>
    <definedName name="償却率" localSheetId="0">[1]種類・構造・型式・牛馬コード!$AH$4:$AI$103</definedName>
    <definedName name="償却率">#REF!</definedName>
    <definedName name="小麦">リスト!$G$2:$G$18</definedName>
    <definedName name="新古_修繕区分" localSheetId="2">#REF!</definedName>
    <definedName name="新古_修繕区分" localSheetId="3">#REF!</definedName>
    <definedName name="新古_修繕区分" localSheetId="0">#REF!</definedName>
    <definedName name="新古_修繕区分">#REF!</definedName>
    <definedName name="性別コード">[1]種類・構造・型式・牛馬コード!$R$8:$T$10</definedName>
    <definedName name="生産費" localSheetId="2">#REF!</definedName>
    <definedName name="生産費" localSheetId="3">#REF!</definedName>
    <definedName name="生産費" localSheetId="0">#REF!</definedName>
    <definedName name="生産費">#REF!</definedName>
    <definedName name="生産費該当畜区分コード">[1]種類・構造・型式・牛馬コード!$R$21:$T$25</definedName>
    <definedName name="生産費区分" localSheetId="2">#REF!</definedName>
    <definedName name="生産費区分" localSheetId="3">#REF!</definedName>
    <definedName name="生産費区分" localSheetId="0">#REF!</definedName>
    <definedName name="生産費区分">#REF!</definedName>
    <definedName name="税制19年" localSheetId="3">#REF!</definedName>
    <definedName name="税制19年" localSheetId="0">#REF!</definedName>
    <definedName name="税制19年">#REF!</definedName>
    <definedName name="税制20年" localSheetId="3">#REF!</definedName>
    <definedName name="税制20年" localSheetId="0">#REF!</definedName>
    <definedName name="税制20年">#REF!</definedName>
    <definedName name="組織法人経営体">リスト!$E$2:$E$3</definedName>
    <definedName name="耐用年数" localSheetId="2">#REF!</definedName>
    <definedName name="耐用年数" localSheetId="3">#REF!</definedName>
    <definedName name="耐用年数" localSheetId="0">[1]種類・構造・型式・牛馬コード!$Y$1:$AF$322</definedName>
    <definedName name="耐用年数">#REF!</definedName>
    <definedName name="大豆">リスト!$L$2:$L$18</definedName>
    <definedName name="調査始期" localSheetId="2">#REF!</definedName>
    <definedName name="調査始期" localSheetId="3">#REF!</definedName>
    <definedName name="調査始期" localSheetId="0">#REF!</definedName>
    <definedName name="調査始期">#REF!</definedName>
    <definedName name="調査年" localSheetId="2">[3]表紙!$BG$17</definedName>
    <definedName name="調査年" localSheetId="3">[3]表紙!$BG$17</definedName>
    <definedName name="調査年" localSheetId="0">'[1]表紙 (新)'!$G$66</definedName>
    <definedName name="調査年">#REF!</definedName>
    <definedName name="二条大麦">リスト!$H$2:$H$18</definedName>
    <definedName name="肉用牛異動事由">[1]種類・構造・型式・牛馬コード!$R$42:$T$51</definedName>
    <definedName name="肉用牛品種コード">[1]種類・構造・型式・牛馬コード!$V$3:$W$13</definedName>
    <definedName name="年">[2]カレンダー!$J$2</definedName>
    <definedName name="農機具コード" localSheetId="2">#REF!</definedName>
    <definedName name="農機具コード" localSheetId="3">#REF!</definedName>
    <definedName name="農機具コード" localSheetId="0">#REF!</definedName>
    <definedName name="農機具コード">#REF!</definedName>
    <definedName name="馬品種コード">[1]種類・構造・型式・牛馬コード!$V$27:$W$31</definedName>
    <definedName name="繁殖牛品種コード">[1]種類・構造・型式・牛馬コード!$V$15:$W$25</definedName>
    <definedName name="米">リスト!$F$2:$F$18</definedName>
    <definedName name="六条大麦">リスト!$I$2:$I$18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77" l="1"/>
  <c r="B25" i="77"/>
  <c r="B26" i="77"/>
  <c r="B27" i="77"/>
  <c r="B28" i="77"/>
  <c r="B29" i="77"/>
  <c r="B30" i="77"/>
  <c r="B31" i="77"/>
  <c r="B32" i="77"/>
  <c r="B33" i="77"/>
  <c r="B34" i="77"/>
  <c r="B35" i="77"/>
  <c r="B36" i="77"/>
  <c r="B37" i="77"/>
  <c r="B38" i="77"/>
  <c r="B39" i="77"/>
  <c r="B40" i="77"/>
  <c r="B41" i="77"/>
  <c r="B42" i="77"/>
  <c r="B43" i="77"/>
  <c r="B44" i="77"/>
  <c r="B45" i="77"/>
  <c r="B46" i="77"/>
  <c r="B47" i="77"/>
  <c r="B48" i="77"/>
  <c r="B49" i="77"/>
  <c r="B50" i="77"/>
  <c r="B51" i="77"/>
  <c r="B52" i="77"/>
  <c r="B53" i="77"/>
  <c r="B54" i="77"/>
  <c r="B55" i="77"/>
  <c r="B56" i="77"/>
  <c r="B57" i="77"/>
  <c r="B58" i="77"/>
  <c r="B59" i="77"/>
  <c r="B60" i="77"/>
  <c r="B61" i="77"/>
  <c r="B62" i="77"/>
  <c r="B63" i="77"/>
  <c r="B64" i="77"/>
  <c r="B65" i="77"/>
  <c r="B66" i="77"/>
  <c r="B67" i="77"/>
  <c r="B68" i="77"/>
  <c r="B69" i="77"/>
  <c r="B70" i="77"/>
  <c r="B71" i="77"/>
  <c r="B72" i="77"/>
  <c r="B73" i="77"/>
  <c r="B74" i="77"/>
  <c r="B75" i="77"/>
  <c r="B76" i="77"/>
  <c r="B77" i="77"/>
  <c r="B78" i="77"/>
  <c r="B79" i="77"/>
  <c r="B80" i="77"/>
  <c r="B81" i="77"/>
  <c r="B82" i="77"/>
  <c r="B83" i="77"/>
  <c r="B84" i="77"/>
  <c r="B85" i="77"/>
  <c r="B86" i="77"/>
  <c r="B87" i="77"/>
  <c r="B88" i="77"/>
  <c r="B89" i="77"/>
  <c r="B90" i="77"/>
  <c r="B91" i="77"/>
  <c r="B92" i="77"/>
  <c r="B93" i="77"/>
  <c r="B94" i="77"/>
  <c r="B95" i="77"/>
  <c r="B96" i="77"/>
  <c r="B97" i="77"/>
  <c r="B98" i="77"/>
  <c r="B99" i="77"/>
  <c r="B100" i="77"/>
  <c r="B101" i="77"/>
  <c r="B102" i="77"/>
  <c r="B103" i="77"/>
  <c r="B104" i="77"/>
  <c r="B105" i="77"/>
  <c r="B106" i="77"/>
  <c r="B107" i="77"/>
  <c r="B108" i="77"/>
  <c r="B109" i="77"/>
  <c r="F18" i="71" l="1"/>
  <c r="G18" i="71"/>
  <c r="H18" i="71"/>
  <c r="F19" i="71"/>
  <c r="G19" i="71"/>
  <c r="H19" i="71"/>
  <c r="F20" i="71"/>
  <c r="G20" i="71"/>
  <c r="H20" i="71"/>
  <c r="F21" i="71"/>
  <c r="G21" i="71"/>
  <c r="H21" i="71"/>
  <c r="F22" i="71"/>
  <c r="G22" i="71"/>
  <c r="H22" i="71"/>
  <c r="F23" i="71"/>
  <c r="G23" i="71"/>
  <c r="H23" i="71"/>
  <c r="F24" i="71"/>
  <c r="G24" i="71"/>
  <c r="H24" i="71"/>
  <c r="F25" i="71"/>
  <c r="G25" i="71"/>
  <c r="H25" i="71"/>
  <c r="F26" i="71"/>
  <c r="G26" i="71"/>
  <c r="H26" i="71"/>
  <c r="F27" i="71"/>
  <c r="G27" i="71"/>
  <c r="H27" i="71"/>
  <c r="F28" i="71"/>
  <c r="G28" i="71"/>
  <c r="H28" i="71"/>
  <c r="F29" i="71"/>
  <c r="G29" i="71"/>
  <c r="H29" i="71"/>
  <c r="F30" i="71"/>
  <c r="G30" i="71"/>
  <c r="H30" i="71"/>
  <c r="F31" i="71"/>
  <c r="G31" i="71"/>
  <c r="H31" i="71"/>
  <c r="F32" i="71"/>
  <c r="G32" i="71"/>
  <c r="H32" i="71"/>
  <c r="F33" i="71"/>
  <c r="G33" i="71"/>
  <c r="H33" i="71"/>
  <c r="F34" i="71"/>
  <c r="G34" i="71"/>
  <c r="H34" i="71"/>
  <c r="F35" i="71"/>
  <c r="G35" i="71"/>
  <c r="H35" i="71"/>
  <c r="F36" i="71"/>
  <c r="G36" i="71"/>
  <c r="H36" i="71"/>
  <c r="F37" i="71"/>
  <c r="G37" i="71"/>
  <c r="H37" i="71"/>
  <c r="F38" i="71"/>
  <c r="G38" i="71"/>
  <c r="H38" i="71"/>
  <c r="F39" i="71"/>
  <c r="G39" i="71"/>
  <c r="H39" i="71"/>
  <c r="F40" i="71"/>
  <c r="G40" i="71"/>
  <c r="H40" i="71"/>
  <c r="F41" i="71"/>
  <c r="G41" i="71"/>
  <c r="H41" i="71"/>
  <c r="F42" i="71"/>
  <c r="G42" i="71"/>
  <c r="H42" i="71"/>
  <c r="F43" i="71"/>
  <c r="G43" i="71"/>
  <c r="H43" i="71"/>
  <c r="F44" i="71"/>
  <c r="G44" i="71"/>
  <c r="H44" i="71"/>
  <c r="F45" i="71"/>
  <c r="G45" i="71"/>
  <c r="H45" i="71"/>
  <c r="F46" i="71"/>
  <c r="G46" i="71"/>
  <c r="H46" i="71"/>
  <c r="F47" i="71"/>
  <c r="G47" i="71"/>
  <c r="H47" i="71"/>
  <c r="F48" i="71"/>
  <c r="G48" i="71"/>
  <c r="H48" i="71"/>
  <c r="F49" i="71"/>
  <c r="G49" i="71"/>
  <c r="H49" i="71"/>
  <c r="F50" i="71"/>
  <c r="G50" i="71"/>
  <c r="H50" i="71"/>
  <c r="F51" i="71"/>
  <c r="G51" i="71"/>
  <c r="H51" i="71"/>
  <c r="F52" i="71"/>
  <c r="G52" i="71"/>
  <c r="H52" i="71"/>
  <c r="F53" i="71"/>
  <c r="G53" i="71"/>
  <c r="H53" i="71"/>
  <c r="F54" i="71"/>
  <c r="G54" i="71"/>
  <c r="H54" i="71"/>
  <c r="F55" i="71"/>
  <c r="G55" i="71"/>
  <c r="H55" i="71"/>
  <c r="F56" i="71"/>
  <c r="G56" i="71"/>
  <c r="H56" i="71"/>
  <c r="F57" i="71"/>
  <c r="G57" i="71"/>
  <c r="H57" i="71"/>
  <c r="F58" i="71"/>
  <c r="G58" i="71"/>
  <c r="H58" i="71"/>
  <c r="F59" i="71"/>
  <c r="G59" i="71"/>
  <c r="H59" i="71"/>
  <c r="F60" i="71"/>
  <c r="G60" i="71"/>
  <c r="H60" i="71"/>
  <c r="F61" i="71"/>
  <c r="G61" i="71"/>
  <c r="H61" i="71"/>
  <c r="F62" i="71"/>
  <c r="G62" i="71"/>
  <c r="H62" i="71"/>
  <c r="F63" i="71"/>
  <c r="G63" i="71"/>
  <c r="H63" i="71"/>
  <c r="F64" i="71"/>
  <c r="G64" i="71"/>
  <c r="H64" i="71"/>
  <c r="F65" i="71"/>
  <c r="G65" i="71"/>
  <c r="H65" i="71"/>
  <c r="F66" i="71"/>
  <c r="G66" i="71"/>
  <c r="H66" i="71"/>
  <c r="F67" i="71"/>
  <c r="G67" i="71"/>
  <c r="H67" i="71"/>
  <c r="F68" i="71"/>
  <c r="G68" i="71"/>
  <c r="H68" i="71"/>
  <c r="F69" i="71"/>
  <c r="G69" i="71"/>
  <c r="H69" i="71"/>
  <c r="F70" i="71"/>
  <c r="G70" i="71"/>
  <c r="H70" i="71"/>
  <c r="F71" i="71"/>
  <c r="G71" i="71"/>
  <c r="H71" i="71"/>
  <c r="F72" i="71"/>
  <c r="G72" i="71"/>
  <c r="H72" i="71"/>
  <c r="F73" i="71"/>
  <c r="G73" i="71"/>
  <c r="H73" i="71"/>
  <c r="F74" i="71"/>
  <c r="G74" i="71"/>
  <c r="H74" i="71"/>
  <c r="F75" i="71"/>
  <c r="G75" i="71"/>
  <c r="H75" i="71"/>
  <c r="F76" i="71"/>
  <c r="G76" i="71"/>
  <c r="H76" i="71"/>
  <c r="F77" i="71"/>
  <c r="G77" i="71"/>
  <c r="H77" i="71"/>
  <c r="F78" i="71"/>
  <c r="G78" i="71"/>
  <c r="H78" i="71"/>
  <c r="F79" i="71"/>
  <c r="G79" i="71"/>
  <c r="H79" i="71"/>
  <c r="F80" i="71"/>
  <c r="G80" i="71"/>
  <c r="H80" i="71"/>
  <c r="F81" i="71"/>
  <c r="G81" i="71"/>
  <c r="H81" i="71"/>
  <c r="F82" i="71"/>
  <c r="G82" i="71"/>
  <c r="H82" i="71"/>
  <c r="F83" i="71"/>
  <c r="G83" i="71"/>
  <c r="H83" i="71"/>
  <c r="F84" i="71"/>
  <c r="G84" i="71"/>
  <c r="H84" i="71"/>
  <c r="F85" i="71"/>
  <c r="G85" i="71"/>
  <c r="H85" i="71"/>
  <c r="F86" i="71"/>
  <c r="G86" i="71"/>
  <c r="H86" i="71"/>
  <c r="F87" i="71"/>
  <c r="G87" i="71"/>
  <c r="H87" i="71"/>
  <c r="F88" i="71"/>
  <c r="G88" i="71"/>
  <c r="H88" i="71"/>
  <c r="F89" i="71"/>
  <c r="G89" i="71"/>
  <c r="H89" i="71"/>
  <c r="F90" i="71"/>
  <c r="G90" i="71"/>
  <c r="H90" i="71"/>
  <c r="F91" i="71"/>
  <c r="G91" i="71"/>
  <c r="H91" i="71"/>
  <c r="F92" i="71"/>
  <c r="G92" i="71"/>
  <c r="H92" i="71"/>
  <c r="F93" i="71"/>
  <c r="G93" i="71"/>
  <c r="H93" i="71"/>
  <c r="F94" i="71"/>
  <c r="G94" i="71"/>
  <c r="H94" i="71"/>
  <c r="F95" i="71"/>
  <c r="G95" i="71"/>
  <c r="H95" i="71"/>
  <c r="F96" i="71"/>
  <c r="G96" i="71"/>
  <c r="H96" i="71"/>
  <c r="F97" i="71"/>
  <c r="G97" i="71"/>
  <c r="H97" i="71"/>
  <c r="F98" i="71"/>
  <c r="G98" i="71"/>
  <c r="H98" i="71"/>
  <c r="F99" i="71"/>
  <c r="G99" i="71"/>
  <c r="H99" i="71"/>
  <c r="F100" i="71"/>
  <c r="G100" i="71"/>
  <c r="H100" i="71"/>
  <c r="F101" i="71"/>
  <c r="G101" i="71"/>
  <c r="H101" i="71"/>
  <c r="F102" i="71"/>
  <c r="G102" i="71"/>
  <c r="H102" i="71"/>
  <c r="F103" i="71"/>
  <c r="G103" i="71"/>
  <c r="H103" i="71"/>
  <c r="F104" i="71"/>
  <c r="G104" i="71"/>
  <c r="H104" i="71"/>
  <c r="F105" i="71"/>
  <c r="G105" i="71"/>
  <c r="H105" i="71"/>
  <c r="F106" i="71"/>
  <c r="G106" i="71"/>
  <c r="H106" i="71"/>
  <c r="S100" i="72" l="1"/>
  <c r="S99" i="72"/>
  <c r="S98" i="72"/>
  <c r="S97" i="72"/>
  <c r="S96" i="72"/>
  <c r="S95" i="72"/>
  <c r="S94" i="72"/>
  <c r="S93" i="72"/>
  <c r="S92" i="72"/>
  <c r="S91" i="72"/>
  <c r="S90" i="72"/>
  <c r="S89" i="72"/>
  <c r="S88" i="72"/>
  <c r="S87" i="72"/>
  <c r="S86" i="72"/>
  <c r="S85" i="72"/>
  <c r="S84" i="72"/>
  <c r="S83" i="72"/>
  <c r="S82" i="72"/>
  <c r="S81" i="72"/>
  <c r="S80" i="72"/>
  <c r="S79" i="72"/>
  <c r="S78" i="72"/>
  <c r="S77" i="72"/>
  <c r="S76" i="72"/>
  <c r="S75" i="72"/>
  <c r="S74" i="72"/>
  <c r="S73" i="72"/>
  <c r="S72" i="72"/>
  <c r="S71" i="72"/>
  <c r="S70" i="72"/>
  <c r="S69" i="72"/>
  <c r="S68" i="72"/>
  <c r="S67" i="72"/>
  <c r="S66" i="72"/>
  <c r="S65" i="72"/>
  <c r="S64" i="72"/>
  <c r="S63" i="72"/>
  <c r="S62" i="72"/>
  <c r="S61" i="72"/>
  <c r="S60" i="72"/>
  <c r="S59" i="72"/>
  <c r="S58" i="72"/>
  <c r="S57" i="72"/>
  <c r="S56" i="72"/>
  <c r="S55" i="72"/>
  <c r="S54" i="72"/>
  <c r="S53" i="72"/>
  <c r="S52" i="72"/>
  <c r="S51" i="72"/>
  <c r="S50" i="72"/>
  <c r="S49" i="72"/>
  <c r="S48" i="72"/>
  <c r="S47" i="72"/>
  <c r="S46" i="72"/>
  <c r="S45" i="72"/>
  <c r="S44" i="72"/>
  <c r="S43" i="72"/>
  <c r="S42" i="72"/>
  <c r="S41" i="72"/>
  <c r="S40" i="72"/>
  <c r="S39" i="72"/>
  <c r="S38" i="72"/>
  <c r="S37" i="72"/>
  <c r="S36" i="72"/>
  <c r="S35" i="72"/>
  <c r="S34" i="72"/>
  <c r="S33" i="72"/>
  <c r="S32" i="72"/>
  <c r="S31" i="72"/>
  <c r="S30" i="72"/>
  <c r="S29" i="72"/>
  <c r="S28" i="72"/>
  <c r="S27" i="72"/>
  <c r="S26" i="72"/>
  <c r="S25" i="72"/>
  <c r="S24" i="72"/>
  <c r="S23" i="72"/>
  <c r="S22" i="72"/>
  <c r="S21" i="72"/>
  <c r="S20" i="72"/>
  <c r="S19" i="72"/>
  <c r="S18" i="72"/>
  <c r="S17" i="72"/>
  <c r="S16" i="72"/>
  <c r="S15" i="72"/>
  <c r="S14" i="72"/>
  <c r="S13" i="72"/>
  <c r="S12" i="72"/>
  <c r="S11" i="72"/>
  <c r="S10" i="72"/>
  <c r="S9" i="72"/>
  <c r="S8" i="72"/>
  <c r="S7" i="72"/>
  <c r="S6" i="72"/>
  <c r="S5" i="72"/>
  <c r="S4" i="72"/>
  <c r="S3" i="72"/>
  <c r="S2" i="72"/>
  <c r="X8" i="77"/>
  <c r="D33" i="79" s="1"/>
  <c r="W8" i="77"/>
  <c r="W106" i="77" s="1"/>
  <c r="V8" i="77"/>
  <c r="V107" i="77" s="1"/>
  <c r="U8" i="77"/>
  <c r="U93" i="77" s="1"/>
  <c r="T8" i="77"/>
  <c r="S8" i="77"/>
  <c r="D28" i="79" s="1"/>
  <c r="R8" i="77"/>
  <c r="Q8" i="77"/>
  <c r="D26" i="79" s="1"/>
  <c r="P8" i="77"/>
  <c r="O8" i="77"/>
  <c r="D24" i="79" s="1"/>
  <c r="N8" i="77"/>
  <c r="M8" i="77"/>
  <c r="D22" i="79" s="1"/>
  <c r="L8" i="77"/>
  <c r="K8" i="77"/>
  <c r="D20" i="79" s="1"/>
  <c r="J8" i="77"/>
  <c r="I8" i="77"/>
  <c r="D18" i="79" s="1"/>
  <c r="H8" i="77"/>
  <c r="C15" i="78" s="1"/>
  <c r="W109" i="77"/>
  <c r="V109" i="77"/>
  <c r="U109" i="77"/>
  <c r="W93" i="77"/>
  <c r="W90" i="77"/>
  <c r="W89" i="77"/>
  <c r="W86" i="77"/>
  <c r="W85" i="77"/>
  <c r="U85" i="77"/>
  <c r="W82" i="77"/>
  <c r="W81" i="77"/>
  <c r="W78" i="77"/>
  <c r="W77" i="77"/>
  <c r="V75" i="77"/>
  <c r="W74" i="77"/>
  <c r="W73" i="77"/>
  <c r="V71" i="77"/>
  <c r="W70" i="77"/>
  <c r="W69" i="77"/>
  <c r="U69" i="77"/>
  <c r="W68" i="77"/>
  <c r="V68" i="77"/>
  <c r="W67" i="77"/>
  <c r="V67" i="77"/>
  <c r="W66" i="77"/>
  <c r="W65" i="77"/>
  <c r="V65" i="77"/>
  <c r="W64" i="77"/>
  <c r="W63" i="77"/>
  <c r="V63" i="77"/>
  <c r="W62" i="77"/>
  <c r="W61" i="77"/>
  <c r="V61" i="77"/>
  <c r="W60" i="77"/>
  <c r="W59" i="77"/>
  <c r="V59" i="77"/>
  <c r="W58" i="77"/>
  <c r="W57" i="77"/>
  <c r="V57" i="77"/>
  <c r="W56" i="77"/>
  <c r="U56" i="77"/>
  <c r="W55" i="77"/>
  <c r="V55" i="77"/>
  <c r="W54" i="77"/>
  <c r="V54" i="77"/>
  <c r="W53" i="77"/>
  <c r="V53" i="77"/>
  <c r="W52" i="77"/>
  <c r="V52" i="77"/>
  <c r="W51" i="77"/>
  <c r="V51" i="77"/>
  <c r="W50" i="77"/>
  <c r="V50" i="77"/>
  <c r="W49" i="77"/>
  <c r="V49" i="77"/>
  <c r="W48" i="77"/>
  <c r="V48" i="77"/>
  <c r="U48" i="77"/>
  <c r="W47" i="77"/>
  <c r="V47" i="77"/>
  <c r="W46" i="77"/>
  <c r="V46" i="77"/>
  <c r="W45" i="77"/>
  <c r="V45" i="77"/>
  <c r="W44" i="77"/>
  <c r="V44" i="77"/>
  <c r="W43" i="77"/>
  <c r="V43" i="77"/>
  <c r="W42" i="77"/>
  <c r="V42" i="77"/>
  <c r="U42" i="77"/>
  <c r="W41" i="77"/>
  <c r="V41" i="77"/>
  <c r="W40" i="77"/>
  <c r="V40" i="77"/>
  <c r="U40" i="77"/>
  <c r="W39" i="77"/>
  <c r="V39" i="77"/>
  <c r="W10" i="77"/>
  <c r="V10" i="77"/>
  <c r="U45" i="77" l="1"/>
  <c r="U53" i="77"/>
  <c r="U59" i="77"/>
  <c r="U62" i="77"/>
  <c r="U51" i="77"/>
  <c r="U63" i="77"/>
  <c r="U66" i="77"/>
  <c r="U76" i="77"/>
  <c r="U46" i="77"/>
  <c r="U54" i="77"/>
  <c r="U57" i="77"/>
  <c r="U60" i="77"/>
  <c r="U77" i="77"/>
  <c r="U43" i="77"/>
  <c r="U10" i="77"/>
  <c r="U41" i="77"/>
  <c r="U49" i="77"/>
  <c r="U67" i="77"/>
  <c r="U89" i="77"/>
  <c r="U44" i="77"/>
  <c r="U52" i="77"/>
  <c r="U61" i="77"/>
  <c r="U64" i="77"/>
  <c r="U72" i="77"/>
  <c r="U39" i="77"/>
  <c r="U47" i="77"/>
  <c r="U55" i="77"/>
  <c r="U58" i="77"/>
  <c r="U73" i="77"/>
  <c r="U81" i="77"/>
  <c r="U50" i="77"/>
  <c r="U65" i="77"/>
  <c r="V97" i="77"/>
  <c r="V79" i="77"/>
  <c r="V87" i="77"/>
  <c r="V105" i="77"/>
  <c r="V81" i="77"/>
  <c r="V89" i="77"/>
  <c r="V108" i="77"/>
  <c r="C28" i="78"/>
  <c r="W101" i="77"/>
  <c r="V101" i="77"/>
  <c r="V56" i="77"/>
  <c r="V58" i="77"/>
  <c r="V60" i="77"/>
  <c r="V62" i="77"/>
  <c r="V64" i="77"/>
  <c r="V66" i="77"/>
  <c r="V69" i="77"/>
  <c r="V73" i="77"/>
  <c r="V77" i="77"/>
  <c r="V83" i="77"/>
  <c r="V85" i="77"/>
  <c r="V91" i="77"/>
  <c r="V93" i="77"/>
  <c r="V95" i="77"/>
  <c r="V99" i="77"/>
  <c r="V103" i="77"/>
  <c r="W98" i="77"/>
  <c r="U101" i="77"/>
  <c r="D19" i="79"/>
  <c r="C17" i="78"/>
  <c r="D21" i="79"/>
  <c r="C19" i="78"/>
  <c r="D23" i="79"/>
  <c r="C21" i="78"/>
  <c r="D25" i="79"/>
  <c r="C23" i="78"/>
  <c r="D27" i="79"/>
  <c r="C25" i="78"/>
  <c r="D29" i="79"/>
  <c r="C27" i="78"/>
  <c r="C16" i="78"/>
  <c r="C20" i="78"/>
  <c r="C24" i="78"/>
  <c r="U108" i="77"/>
  <c r="D30" i="79"/>
  <c r="W108" i="77"/>
  <c r="D32" i="79"/>
  <c r="C18" i="78"/>
  <c r="C22" i="78"/>
  <c r="C26" i="78"/>
  <c r="C30" i="78"/>
  <c r="AL30" i="78" s="1"/>
  <c r="C29" i="78"/>
  <c r="C31" i="78"/>
  <c r="D31" i="79"/>
  <c r="W94" i="77"/>
  <c r="U97" i="77"/>
  <c r="W97" i="77"/>
  <c r="W102" i="77"/>
  <c r="U105" i="77"/>
  <c r="W105" i="77"/>
  <c r="U68" i="77"/>
  <c r="U70" i="77"/>
  <c r="U71" i="77"/>
  <c r="W71" i="77"/>
  <c r="W72" i="77"/>
  <c r="U74" i="77"/>
  <c r="U75" i="77"/>
  <c r="W75" i="77"/>
  <c r="W76" i="77"/>
  <c r="U78" i="77"/>
  <c r="U79" i="77"/>
  <c r="U80" i="77"/>
  <c r="U82" i="77"/>
  <c r="U83" i="77"/>
  <c r="U84" i="77"/>
  <c r="U86" i="77"/>
  <c r="U87" i="77"/>
  <c r="U88" i="77"/>
  <c r="U90" i="77"/>
  <c r="U91" i="77"/>
  <c r="U92" i="77"/>
  <c r="U94" i="77"/>
  <c r="U95" i="77"/>
  <c r="U96" i="77"/>
  <c r="U98" i="77"/>
  <c r="U99" i="77"/>
  <c r="U100" i="77"/>
  <c r="U102" i="77"/>
  <c r="U103" i="77"/>
  <c r="U104" i="77"/>
  <c r="U106" i="77"/>
  <c r="U107" i="77"/>
  <c r="W79" i="77"/>
  <c r="W80" i="77"/>
  <c r="W83" i="77"/>
  <c r="W84" i="77"/>
  <c r="W87" i="77"/>
  <c r="W88" i="77"/>
  <c r="W91" i="77"/>
  <c r="W92" i="77"/>
  <c r="W95" i="77"/>
  <c r="W96" i="77"/>
  <c r="W99" i="77"/>
  <c r="W100" i="77"/>
  <c r="W103" i="77"/>
  <c r="W104" i="77"/>
  <c r="W107" i="77"/>
  <c r="V70" i="77"/>
  <c r="V72" i="77"/>
  <c r="V74" i="77"/>
  <c r="V76" i="77"/>
  <c r="V78" i="77"/>
  <c r="V80" i="77"/>
  <c r="V82" i="77"/>
  <c r="V84" i="77"/>
  <c r="V86" i="77"/>
  <c r="V88" i="77"/>
  <c r="V90" i="77"/>
  <c r="V92" i="77"/>
  <c r="V94" i="77"/>
  <c r="V96" i="77"/>
  <c r="V98" i="77"/>
  <c r="V100" i="77"/>
  <c r="V102" i="77"/>
  <c r="V104" i="77"/>
  <c r="V106" i="77"/>
  <c r="AL29" i="78" l="1"/>
  <c r="AM31" i="79"/>
  <c r="AM32" i="79"/>
  <c r="AM30" i="79"/>
  <c r="AL28" i="78"/>
  <c r="D17" i="79"/>
  <c r="AM33" i="79"/>
  <c r="AM29" i="79"/>
  <c r="AM28" i="79"/>
  <c r="AM27" i="79"/>
  <c r="AM26" i="79"/>
  <c r="AM25" i="79"/>
  <c r="AM24" i="79"/>
  <c r="AM23" i="79"/>
  <c r="AM22" i="79"/>
  <c r="AM21" i="79"/>
  <c r="AM20" i="79"/>
  <c r="AM19" i="79"/>
  <c r="AM18" i="79"/>
  <c r="AM17" i="79" l="1"/>
  <c r="T100" i="72"/>
  <c r="T99" i="72"/>
  <c r="T98" i="72"/>
  <c r="T97" i="72"/>
  <c r="T96" i="72"/>
  <c r="T95" i="72"/>
  <c r="T94" i="72"/>
  <c r="T93" i="72"/>
  <c r="T92" i="72"/>
  <c r="T91" i="72"/>
  <c r="T90" i="72"/>
  <c r="T89" i="72"/>
  <c r="T88" i="72"/>
  <c r="T87" i="72"/>
  <c r="T86" i="72"/>
  <c r="T85" i="72"/>
  <c r="T84" i="72"/>
  <c r="T83" i="72"/>
  <c r="T82" i="72"/>
  <c r="T81" i="72"/>
  <c r="T80" i="72"/>
  <c r="T79" i="72"/>
  <c r="T78" i="72"/>
  <c r="T77" i="72"/>
  <c r="T76" i="72"/>
  <c r="T75" i="72"/>
  <c r="T74" i="72"/>
  <c r="T73" i="72"/>
  <c r="T72" i="72"/>
  <c r="T71" i="72"/>
  <c r="T70" i="72"/>
  <c r="T69" i="72"/>
  <c r="T68" i="72"/>
  <c r="T67" i="72"/>
  <c r="T66" i="72"/>
  <c r="T65" i="72"/>
  <c r="T64" i="72"/>
  <c r="T63" i="72"/>
  <c r="T62" i="72"/>
  <c r="T61" i="72"/>
  <c r="T60" i="72"/>
  <c r="T59" i="72"/>
  <c r="T58" i="72"/>
  <c r="T57" i="72"/>
  <c r="T56" i="72"/>
  <c r="T55" i="72"/>
  <c r="T54" i="72"/>
  <c r="T53" i="72"/>
  <c r="T52" i="72"/>
  <c r="T51" i="72"/>
  <c r="T50" i="72"/>
  <c r="T49" i="72"/>
  <c r="T48" i="72"/>
  <c r="T47" i="72"/>
  <c r="T46" i="72"/>
  <c r="T45" i="72"/>
  <c r="T44" i="72"/>
  <c r="T43" i="72"/>
  <c r="T42" i="72"/>
  <c r="T41" i="72"/>
  <c r="T40" i="72"/>
  <c r="T39" i="72"/>
  <c r="T38" i="72"/>
  <c r="T37" i="72"/>
  <c r="T36" i="72"/>
  <c r="T35" i="72"/>
  <c r="T34" i="72"/>
  <c r="T33" i="72"/>
  <c r="T32" i="72"/>
  <c r="T31" i="72"/>
  <c r="T30" i="72"/>
  <c r="T29" i="72"/>
  <c r="T28" i="72"/>
  <c r="T27" i="72"/>
  <c r="T26" i="72"/>
  <c r="T25" i="72"/>
  <c r="T24" i="72"/>
  <c r="T23" i="72"/>
  <c r="T22" i="72"/>
  <c r="T21" i="72"/>
  <c r="T20" i="72"/>
  <c r="T19" i="72"/>
  <c r="T18" i="72"/>
  <c r="T17" i="72"/>
  <c r="T16" i="72"/>
  <c r="T2" i="72"/>
  <c r="P11" i="78" s="1"/>
  <c r="T3" i="72"/>
  <c r="Q11" i="78" s="1"/>
  <c r="T4" i="72"/>
  <c r="R11" i="78" s="1"/>
  <c r="T5" i="72"/>
  <c r="S11" i="78" s="1"/>
  <c r="T6" i="72"/>
  <c r="T11" i="78" s="1"/>
  <c r="T7" i="72"/>
  <c r="U11" i="78" s="1"/>
  <c r="T8" i="72"/>
  <c r="V11" i="78" s="1"/>
  <c r="T9" i="72"/>
  <c r="W11" i="78" s="1"/>
  <c r="T10" i="72"/>
  <c r="X11" i="78" s="1"/>
  <c r="T11" i="72"/>
  <c r="Y11" i="78" s="1"/>
  <c r="T12" i="72"/>
  <c r="Z11" i="78" s="1"/>
  <c r="T13" i="72"/>
  <c r="AA11" i="78" s="1"/>
  <c r="T14" i="72"/>
  <c r="AB11" i="78" s="1"/>
  <c r="T15" i="72"/>
  <c r="AC11" i="78" s="1"/>
  <c r="AC30" i="78" l="1"/>
  <c r="AC22" i="78"/>
  <c r="AC27" i="78"/>
  <c r="AC23" i="78"/>
  <c r="AC19" i="78"/>
  <c r="AC15" i="78"/>
  <c r="AC20" i="78"/>
  <c r="AC16" i="78"/>
  <c r="AC31" i="78"/>
  <c r="AC28" i="78"/>
  <c r="AC24" i="78"/>
  <c r="AC26" i="78"/>
  <c r="AC29" i="78"/>
  <c r="AC17" i="78"/>
  <c r="AC18" i="78"/>
  <c r="AC21" i="78"/>
  <c r="AC25" i="78"/>
  <c r="U30" i="78"/>
  <c r="U22" i="78"/>
  <c r="U20" i="78"/>
  <c r="U27" i="78"/>
  <c r="U23" i="78"/>
  <c r="U19" i="78"/>
  <c r="U15" i="78"/>
  <c r="U16" i="78"/>
  <c r="U31" i="78"/>
  <c r="U28" i="78"/>
  <c r="U24" i="78"/>
  <c r="U26" i="78"/>
  <c r="U25" i="78"/>
  <c r="U18" i="78"/>
  <c r="U17" i="78"/>
  <c r="U29" i="78"/>
  <c r="U21" i="78"/>
  <c r="AF14" i="78"/>
  <c r="AF11" i="78"/>
  <c r="AB30" i="78"/>
  <c r="AB26" i="78"/>
  <c r="AB22" i="78"/>
  <c r="AB18" i="78"/>
  <c r="AB23" i="78"/>
  <c r="AB15" i="78"/>
  <c r="AB27" i="78"/>
  <c r="AB19" i="78"/>
  <c r="AB20" i="78"/>
  <c r="AB31" i="78"/>
  <c r="AB28" i="78"/>
  <c r="AB24" i="78"/>
  <c r="AB29" i="78"/>
  <c r="AB25" i="78"/>
  <c r="AB21" i="78"/>
  <c r="AB17" i="78"/>
  <c r="AB16" i="78"/>
  <c r="T30" i="78"/>
  <c r="T26" i="78"/>
  <c r="T22" i="78"/>
  <c r="T18" i="78"/>
  <c r="T23" i="78"/>
  <c r="T15" i="78"/>
  <c r="T27" i="78"/>
  <c r="T19" i="78"/>
  <c r="T20" i="78"/>
  <c r="T31" i="78"/>
  <c r="T28" i="78"/>
  <c r="T24" i="78"/>
  <c r="T29" i="78"/>
  <c r="T25" i="78"/>
  <c r="T21" i="78"/>
  <c r="T17" i="78"/>
  <c r="T16" i="78"/>
  <c r="AG14" i="78"/>
  <c r="AG11" i="78"/>
  <c r="AD14" i="78"/>
  <c r="AD11" i="78"/>
  <c r="AE14" i="78"/>
  <c r="AE11" i="78"/>
  <c r="AA29" i="78"/>
  <c r="AA21" i="78"/>
  <c r="AA30" i="78"/>
  <c r="AA19" i="78"/>
  <c r="AA26" i="78"/>
  <c r="AA22" i="78"/>
  <c r="AA18" i="78"/>
  <c r="AA15" i="78"/>
  <c r="AA27" i="78"/>
  <c r="AA23" i="78"/>
  <c r="AA25" i="78"/>
  <c r="AA24" i="78"/>
  <c r="AA16" i="78"/>
  <c r="AA31" i="78"/>
  <c r="AA20" i="78"/>
  <c r="AA17" i="78"/>
  <c r="AA28" i="78"/>
  <c r="AH14" i="78"/>
  <c r="AH11" i="78"/>
  <c r="Z29" i="78"/>
  <c r="Z25" i="78"/>
  <c r="Z21" i="78"/>
  <c r="Z17" i="78"/>
  <c r="Z26" i="78"/>
  <c r="Z22" i="78"/>
  <c r="Z18" i="78"/>
  <c r="Z19" i="78"/>
  <c r="Z30" i="78"/>
  <c r="Z27" i="78"/>
  <c r="Z23" i="78"/>
  <c r="Z31" i="78"/>
  <c r="Z28" i="78"/>
  <c r="Z24" i="78"/>
  <c r="Z20" i="78"/>
  <c r="Z16" i="78"/>
  <c r="Z15" i="78"/>
  <c r="AI14" i="78"/>
  <c r="AI11" i="78"/>
  <c r="W27" i="78"/>
  <c r="W23" i="78"/>
  <c r="W19" i="78"/>
  <c r="W31" i="78"/>
  <c r="W28" i="78"/>
  <c r="W17" i="78"/>
  <c r="W24" i="78"/>
  <c r="W20" i="78"/>
  <c r="W16" i="78"/>
  <c r="W29" i="78"/>
  <c r="W25" i="78"/>
  <c r="W21" i="78"/>
  <c r="W18" i="78"/>
  <c r="W15" i="78"/>
  <c r="W22" i="78"/>
  <c r="W30" i="78"/>
  <c r="W26" i="78"/>
  <c r="V27" i="78"/>
  <c r="V23" i="78"/>
  <c r="V19" i="78"/>
  <c r="V15" i="78"/>
  <c r="V24" i="78"/>
  <c r="V20" i="78"/>
  <c r="V16" i="78"/>
  <c r="V31" i="78"/>
  <c r="V28" i="78"/>
  <c r="V29" i="78"/>
  <c r="V25" i="78"/>
  <c r="V21" i="78"/>
  <c r="V30" i="78"/>
  <c r="V26" i="78"/>
  <c r="V22" i="78"/>
  <c r="V18" i="78"/>
  <c r="V17" i="78"/>
  <c r="S29" i="78"/>
  <c r="S21" i="78"/>
  <c r="S30" i="78"/>
  <c r="S26" i="78"/>
  <c r="S22" i="78"/>
  <c r="S18" i="78"/>
  <c r="S19" i="78"/>
  <c r="S15" i="78"/>
  <c r="S27" i="78"/>
  <c r="S23" i="78"/>
  <c r="S25" i="78"/>
  <c r="S31" i="78"/>
  <c r="S20" i="78"/>
  <c r="S28" i="78"/>
  <c r="S24" i="78"/>
  <c r="S17" i="78"/>
  <c r="S16" i="78"/>
  <c r="R29" i="78"/>
  <c r="R25" i="78"/>
  <c r="R21" i="78"/>
  <c r="R17" i="78"/>
  <c r="R22" i="78"/>
  <c r="R26" i="78"/>
  <c r="R18" i="78"/>
  <c r="R19" i="78"/>
  <c r="R30" i="78"/>
  <c r="R27" i="78"/>
  <c r="R23" i="78"/>
  <c r="R31" i="78"/>
  <c r="R28" i="78"/>
  <c r="R24" i="78"/>
  <c r="R20" i="78"/>
  <c r="R16" i="78"/>
  <c r="R15" i="78"/>
  <c r="Y31" i="78"/>
  <c r="Y28" i="78"/>
  <c r="Y20" i="78"/>
  <c r="Y29" i="78"/>
  <c r="Y25" i="78"/>
  <c r="Y21" i="78"/>
  <c r="Y17" i="78"/>
  <c r="Y18" i="78"/>
  <c r="Y30" i="78"/>
  <c r="Y26" i="78"/>
  <c r="Y22" i="78"/>
  <c r="Y24" i="78"/>
  <c r="Y16" i="78"/>
  <c r="Y27" i="78"/>
  <c r="Y15" i="78"/>
  <c r="Y23" i="78"/>
  <c r="Y19" i="78"/>
  <c r="Q31" i="78"/>
  <c r="Q28" i="78"/>
  <c r="Q20" i="78"/>
  <c r="Q29" i="78"/>
  <c r="Q18" i="78"/>
  <c r="Q25" i="78"/>
  <c r="Q21" i="78"/>
  <c r="Q17" i="78"/>
  <c r="Q30" i="78"/>
  <c r="Q26" i="78"/>
  <c r="Q22" i="78"/>
  <c r="Q24" i="78"/>
  <c r="Q23" i="78"/>
  <c r="Q19" i="78"/>
  <c r="Q15" i="78"/>
  <c r="Q27" i="78"/>
  <c r="Q16" i="78"/>
  <c r="X31" i="78"/>
  <c r="X28" i="78"/>
  <c r="X24" i="78"/>
  <c r="X20" i="78"/>
  <c r="X16" i="78"/>
  <c r="X21" i="78"/>
  <c r="X25" i="78"/>
  <c r="X17" i="78"/>
  <c r="X18" i="78"/>
  <c r="X29" i="78"/>
  <c r="X30" i="78"/>
  <c r="X26" i="78"/>
  <c r="X22" i="78"/>
  <c r="X27" i="78"/>
  <c r="X23" i="78"/>
  <c r="X19" i="78"/>
  <c r="X15" i="78"/>
  <c r="P31" i="78"/>
  <c r="P28" i="78"/>
  <c r="P24" i="78"/>
  <c r="P20" i="78"/>
  <c r="P16" i="78"/>
  <c r="P25" i="78"/>
  <c r="P21" i="78"/>
  <c r="P17" i="78"/>
  <c r="P29" i="78"/>
  <c r="P30" i="78"/>
  <c r="P26" i="78"/>
  <c r="P22" i="78"/>
  <c r="P27" i="78"/>
  <c r="P23" i="78"/>
  <c r="P19" i="78"/>
  <c r="P15" i="78"/>
  <c r="P18" i="78"/>
  <c r="W12" i="78"/>
  <c r="S13" i="78"/>
  <c r="AC14" i="78"/>
  <c r="AA14" i="78"/>
  <c r="Y14" i="78"/>
  <c r="W13" i="78"/>
  <c r="U14" i="78"/>
  <c r="S14" i="78"/>
  <c r="Q14" i="78"/>
  <c r="AD13" i="78"/>
  <c r="AF13" i="78"/>
  <c r="AH12" i="78"/>
  <c r="AB14" i="78"/>
  <c r="Z14" i="78"/>
  <c r="X14" i="78"/>
  <c r="V14" i="78"/>
  <c r="T14" i="78"/>
  <c r="R14" i="78"/>
  <c r="P14" i="78"/>
  <c r="AE13" i="78"/>
  <c r="AG13" i="78"/>
  <c r="AI13" i="78"/>
  <c r="AD12" i="78"/>
  <c r="AH13" i="78"/>
  <c r="AA13" i="78"/>
  <c r="W14" i="78"/>
  <c r="S12" i="78"/>
  <c r="AA12" i="78"/>
  <c r="Q12" i="78"/>
  <c r="U12" i="78"/>
  <c r="Y12" i="78"/>
  <c r="AC12" i="78"/>
  <c r="AF12" i="78"/>
  <c r="Q13" i="78"/>
  <c r="U13" i="78"/>
  <c r="Y13" i="78"/>
  <c r="AC13" i="78"/>
  <c r="AE12" i="78"/>
  <c r="AG12" i="78"/>
  <c r="AI12" i="78"/>
  <c r="P12" i="78"/>
  <c r="R12" i="78"/>
  <c r="T12" i="78"/>
  <c r="V12" i="78"/>
  <c r="X12" i="78"/>
  <c r="Z12" i="78"/>
  <c r="AB12" i="78"/>
  <c r="P13" i="78"/>
  <c r="R13" i="78"/>
  <c r="T13" i="78"/>
  <c r="V13" i="78"/>
  <c r="X13" i="78"/>
  <c r="Z13" i="78"/>
  <c r="AB13" i="78"/>
  <c r="B3" i="71"/>
  <c r="AG31" i="78" l="1"/>
  <c r="AG28" i="78"/>
  <c r="AG20" i="78"/>
  <c r="AG29" i="78"/>
  <c r="AG18" i="78"/>
  <c r="AG25" i="78"/>
  <c r="AG21" i="78"/>
  <c r="AG17" i="78"/>
  <c r="AG30" i="78"/>
  <c r="AG26" i="78"/>
  <c r="AG22" i="78"/>
  <c r="AG24" i="78"/>
  <c r="AG27" i="78"/>
  <c r="AG16" i="78"/>
  <c r="AG15" i="78"/>
  <c r="AG23" i="78"/>
  <c r="AG19" i="78"/>
  <c r="AH29" i="78"/>
  <c r="AH25" i="78"/>
  <c r="AH21" i="78"/>
  <c r="AH17" i="78"/>
  <c r="AH22" i="78"/>
  <c r="AH26" i="78"/>
  <c r="AH18" i="78"/>
  <c r="AH19" i="78"/>
  <c r="AH30" i="78"/>
  <c r="AH27" i="78"/>
  <c r="AH23" i="78"/>
  <c r="AH31" i="78"/>
  <c r="AH28" i="78"/>
  <c r="AH24" i="78"/>
  <c r="AH20" i="78"/>
  <c r="AH16" i="78"/>
  <c r="AH15" i="78"/>
  <c r="AE27" i="78"/>
  <c r="AE19" i="78"/>
  <c r="AE31" i="78"/>
  <c r="AE28" i="78"/>
  <c r="AE24" i="78"/>
  <c r="AE20" i="78"/>
  <c r="AE16" i="78"/>
  <c r="AE17" i="78"/>
  <c r="AE29" i="78"/>
  <c r="AE25" i="78"/>
  <c r="AE21" i="78"/>
  <c r="AE23" i="78"/>
  <c r="AE30" i="78"/>
  <c r="AE26" i="78"/>
  <c r="AE15" i="78"/>
  <c r="AE22" i="78"/>
  <c r="AE18" i="78"/>
  <c r="AF31" i="78"/>
  <c r="AF28" i="78"/>
  <c r="AF24" i="78"/>
  <c r="AF20" i="78"/>
  <c r="AF16" i="78"/>
  <c r="AF25" i="78"/>
  <c r="AF21" i="78"/>
  <c r="AF17" i="78"/>
  <c r="AF18" i="78"/>
  <c r="AF29" i="78"/>
  <c r="AF30" i="78"/>
  <c r="AF26" i="78"/>
  <c r="AF22" i="78"/>
  <c r="AF27" i="78"/>
  <c r="AF23" i="78"/>
  <c r="AF19" i="78"/>
  <c r="AF15" i="78"/>
  <c r="AI29" i="78"/>
  <c r="AI21" i="78"/>
  <c r="AI30" i="78"/>
  <c r="AI26" i="78"/>
  <c r="AI22" i="78"/>
  <c r="AI18" i="78"/>
  <c r="AI19" i="78"/>
  <c r="AI15" i="78"/>
  <c r="AI27" i="78"/>
  <c r="AI23" i="78"/>
  <c r="AI25" i="78"/>
  <c r="AI16" i="78"/>
  <c r="AI28" i="78"/>
  <c r="AI31" i="78"/>
  <c r="AI20" i="78"/>
  <c r="AI24" i="78"/>
  <c r="AI17" i="78"/>
  <c r="AD27" i="78"/>
  <c r="AD23" i="78"/>
  <c r="AD19" i="78"/>
  <c r="AD15" i="78"/>
  <c r="AD20" i="78"/>
  <c r="AD24" i="78"/>
  <c r="AD16" i="78"/>
  <c r="AD31" i="78"/>
  <c r="AD28" i="78"/>
  <c r="AD29" i="78"/>
  <c r="AD25" i="78"/>
  <c r="AD21" i="78"/>
  <c r="AD30" i="78"/>
  <c r="AD26" i="78"/>
  <c r="AD22" i="78"/>
  <c r="AD18" i="78"/>
  <c r="AD17" i="78"/>
  <c r="BN51" i="78"/>
  <c r="BN54" i="78" s="1"/>
  <c r="BN50" i="78"/>
  <c r="BJ40" i="78"/>
  <c r="BJ43" i="78" s="1"/>
  <c r="BD39" i="78"/>
  <c r="BE30" i="78"/>
  <c r="BK28" i="78"/>
  <c r="BK27" i="78"/>
  <c r="BH26" i="78"/>
  <c r="BE24" i="78"/>
  <c r="BD23" i="78"/>
  <c r="BK21" i="78"/>
  <c r="BD17" i="78"/>
  <c r="BL40" i="78"/>
  <c r="BL43" i="78" s="1"/>
  <c r="BE29" i="78"/>
  <c r="BH18" i="78"/>
  <c r="BM51" i="78"/>
  <c r="BM54" i="78" s="1"/>
  <c r="BM50" i="78"/>
  <c r="BI40" i="78"/>
  <c r="BL39" i="78"/>
  <c r="BK31" i="78"/>
  <c r="BD30" i="78"/>
  <c r="BF30" i="78" s="1"/>
  <c r="BE25" i="78"/>
  <c r="BD24" i="78"/>
  <c r="BK22" i="78"/>
  <c r="BH20" i="78"/>
  <c r="BE18" i="78"/>
  <c r="BK16" i="78"/>
  <c r="BE50" i="78"/>
  <c r="BD28" i="78"/>
  <c r="BD15" i="78"/>
  <c r="BL51" i="78"/>
  <c r="BL50" i="78"/>
  <c r="BK39" i="78"/>
  <c r="BK29" i="78"/>
  <c r="BH27" i="78"/>
  <c r="BD25" i="78"/>
  <c r="BF25" i="78" s="1"/>
  <c r="BH21" i="78"/>
  <c r="BE19" i="78"/>
  <c r="BD18" i="78"/>
  <c r="BE20" i="78"/>
  <c r="BK17" i="78"/>
  <c r="BD40" i="78"/>
  <c r="BH24" i="78"/>
  <c r="BE16" i="78"/>
  <c r="BH51" i="78"/>
  <c r="BH54" i="78" s="1"/>
  <c r="BH50" i="78"/>
  <c r="BG40" i="78"/>
  <c r="BJ39" i="78"/>
  <c r="BH31" i="78"/>
  <c r="BH28" i="78"/>
  <c r="BE26" i="78"/>
  <c r="BK24" i="78"/>
  <c r="BK23" i="78"/>
  <c r="BH22" i="78"/>
  <c r="BD19" i="78"/>
  <c r="BH15" i="78"/>
  <c r="BK26" i="78"/>
  <c r="BG51" i="78"/>
  <c r="BG54" i="78" s="1"/>
  <c r="BG50" i="78"/>
  <c r="BF40" i="78"/>
  <c r="BI39" i="78"/>
  <c r="BH29" i="78"/>
  <c r="BE27" i="78"/>
  <c r="BD26" i="78"/>
  <c r="BE21" i="78"/>
  <c r="BD20" i="78"/>
  <c r="BK18" i="78"/>
  <c r="BH16" i="78"/>
  <c r="BE51" i="78"/>
  <c r="BF39" i="78"/>
  <c r="BK20" i="78"/>
  <c r="BF51" i="78"/>
  <c r="BF54" i="78" s="1"/>
  <c r="BF50" i="78"/>
  <c r="BE40" i="78"/>
  <c r="BG39" i="78"/>
  <c r="BE31" i="78"/>
  <c r="BE28" i="78"/>
  <c r="BD27" i="78"/>
  <c r="BK25" i="78"/>
  <c r="BH23" i="78"/>
  <c r="BD21" i="78"/>
  <c r="BF21" i="78" s="1"/>
  <c r="BH17" i="78"/>
  <c r="BE15" i="78"/>
  <c r="BD31" i="78"/>
  <c r="BK19" i="78"/>
  <c r="BO51" i="78"/>
  <c r="BO54" i="78" s="1"/>
  <c r="BO50" i="78"/>
  <c r="BK40" i="78"/>
  <c r="BK43" i="78" s="1"/>
  <c r="BE39" i="78"/>
  <c r="BD29" i="78"/>
  <c r="BF29" i="78" s="1"/>
  <c r="BH25" i="78"/>
  <c r="BE23" i="78"/>
  <c r="BD22" i="78"/>
  <c r="BE17" i="78"/>
  <c r="BD16" i="78"/>
  <c r="BH19" i="78"/>
  <c r="BK15" i="78"/>
  <c r="BE22" i="78"/>
  <c r="X109" i="77"/>
  <c r="T109" i="77"/>
  <c r="S109" i="77"/>
  <c r="R109" i="77"/>
  <c r="Q109" i="77"/>
  <c r="P109" i="77"/>
  <c r="O109" i="77"/>
  <c r="N109" i="77"/>
  <c r="M109" i="77"/>
  <c r="L109" i="77"/>
  <c r="K109" i="77"/>
  <c r="J109" i="77"/>
  <c r="I109" i="77"/>
  <c r="H109" i="77"/>
  <c r="X108" i="77"/>
  <c r="T108" i="77"/>
  <c r="S108" i="77"/>
  <c r="R108" i="77"/>
  <c r="Q108" i="77"/>
  <c r="P108" i="77"/>
  <c r="O108" i="77"/>
  <c r="N108" i="77"/>
  <c r="M108" i="77"/>
  <c r="L108" i="77"/>
  <c r="K108" i="77"/>
  <c r="J108" i="77"/>
  <c r="I108" i="77"/>
  <c r="H108" i="77"/>
  <c r="X107" i="77"/>
  <c r="T107" i="77"/>
  <c r="S107" i="77"/>
  <c r="R107" i="77"/>
  <c r="Q107" i="77"/>
  <c r="P107" i="77"/>
  <c r="O107" i="77"/>
  <c r="N107" i="77"/>
  <c r="M107" i="77"/>
  <c r="L107" i="77"/>
  <c r="K107" i="77"/>
  <c r="J107" i="77"/>
  <c r="I107" i="77"/>
  <c r="H107" i="77"/>
  <c r="X106" i="77"/>
  <c r="T106" i="77"/>
  <c r="S106" i="77"/>
  <c r="R106" i="77"/>
  <c r="Q106" i="77"/>
  <c r="P106" i="77"/>
  <c r="O106" i="77"/>
  <c r="N106" i="77"/>
  <c r="M106" i="77"/>
  <c r="L106" i="77"/>
  <c r="K106" i="77"/>
  <c r="J106" i="77"/>
  <c r="I106" i="77"/>
  <c r="H106" i="77"/>
  <c r="X105" i="77"/>
  <c r="T105" i="77"/>
  <c r="S105" i="77"/>
  <c r="R105" i="77"/>
  <c r="Q105" i="77"/>
  <c r="P105" i="77"/>
  <c r="O105" i="77"/>
  <c r="N105" i="77"/>
  <c r="M105" i="77"/>
  <c r="L105" i="77"/>
  <c r="K105" i="77"/>
  <c r="J105" i="77"/>
  <c r="I105" i="77"/>
  <c r="H105" i="77"/>
  <c r="X104" i="77"/>
  <c r="T104" i="77"/>
  <c r="S104" i="77"/>
  <c r="R104" i="77"/>
  <c r="Q104" i="77"/>
  <c r="P104" i="77"/>
  <c r="O104" i="77"/>
  <c r="N104" i="77"/>
  <c r="M104" i="77"/>
  <c r="L104" i="77"/>
  <c r="K104" i="77"/>
  <c r="J104" i="77"/>
  <c r="I104" i="77"/>
  <c r="H104" i="77"/>
  <c r="X103" i="77"/>
  <c r="T103" i="77"/>
  <c r="S103" i="77"/>
  <c r="R103" i="77"/>
  <c r="Q103" i="77"/>
  <c r="P103" i="77"/>
  <c r="O103" i="77"/>
  <c r="N103" i="77"/>
  <c r="M103" i="77"/>
  <c r="L103" i="77"/>
  <c r="K103" i="77"/>
  <c r="J103" i="77"/>
  <c r="I103" i="77"/>
  <c r="H103" i="77"/>
  <c r="X102" i="77"/>
  <c r="T102" i="77"/>
  <c r="S102" i="77"/>
  <c r="R102" i="77"/>
  <c r="Q102" i="77"/>
  <c r="P102" i="77"/>
  <c r="O102" i="77"/>
  <c r="N102" i="77"/>
  <c r="M102" i="77"/>
  <c r="L102" i="77"/>
  <c r="K102" i="77"/>
  <c r="J102" i="77"/>
  <c r="I102" i="77"/>
  <c r="H102" i="77"/>
  <c r="X101" i="77"/>
  <c r="T101" i="77"/>
  <c r="S101" i="77"/>
  <c r="R101" i="77"/>
  <c r="Q101" i="77"/>
  <c r="P101" i="77"/>
  <c r="O101" i="77"/>
  <c r="N101" i="77"/>
  <c r="M101" i="77"/>
  <c r="L101" i="77"/>
  <c r="K101" i="77"/>
  <c r="J101" i="77"/>
  <c r="I101" i="77"/>
  <c r="H101" i="77"/>
  <c r="X100" i="77"/>
  <c r="T100" i="77"/>
  <c r="S100" i="77"/>
  <c r="R100" i="77"/>
  <c r="Q100" i="77"/>
  <c r="P100" i="77"/>
  <c r="O100" i="77"/>
  <c r="N100" i="77"/>
  <c r="M100" i="77"/>
  <c r="L100" i="77"/>
  <c r="K100" i="77"/>
  <c r="J100" i="77"/>
  <c r="I100" i="77"/>
  <c r="H100" i="77"/>
  <c r="X99" i="77"/>
  <c r="T99" i="77"/>
  <c r="S99" i="77"/>
  <c r="R99" i="77"/>
  <c r="Q99" i="77"/>
  <c r="P99" i="77"/>
  <c r="O99" i="77"/>
  <c r="N99" i="77"/>
  <c r="M99" i="77"/>
  <c r="L99" i="77"/>
  <c r="K99" i="77"/>
  <c r="J99" i="77"/>
  <c r="I99" i="77"/>
  <c r="H99" i="77"/>
  <c r="X98" i="77"/>
  <c r="T98" i="77"/>
  <c r="S98" i="77"/>
  <c r="R98" i="77"/>
  <c r="Q98" i="77"/>
  <c r="P98" i="77"/>
  <c r="O98" i="77"/>
  <c r="N98" i="77"/>
  <c r="M98" i="77"/>
  <c r="L98" i="77"/>
  <c r="K98" i="77"/>
  <c r="J98" i="77"/>
  <c r="I98" i="77"/>
  <c r="H98" i="77"/>
  <c r="X97" i="77"/>
  <c r="T97" i="77"/>
  <c r="S97" i="77"/>
  <c r="R97" i="77"/>
  <c r="Q97" i="77"/>
  <c r="P97" i="77"/>
  <c r="O97" i="77"/>
  <c r="N97" i="77"/>
  <c r="M97" i="77"/>
  <c r="L97" i="77"/>
  <c r="K97" i="77"/>
  <c r="J97" i="77"/>
  <c r="I97" i="77"/>
  <c r="H97" i="77"/>
  <c r="X96" i="77"/>
  <c r="T96" i="77"/>
  <c r="S96" i="77"/>
  <c r="R96" i="77"/>
  <c r="Q96" i="77"/>
  <c r="P96" i="77"/>
  <c r="O96" i="77"/>
  <c r="N96" i="77"/>
  <c r="M96" i="77"/>
  <c r="L96" i="77"/>
  <c r="K96" i="77"/>
  <c r="J96" i="77"/>
  <c r="I96" i="77"/>
  <c r="H96" i="77"/>
  <c r="X95" i="77"/>
  <c r="T95" i="77"/>
  <c r="S95" i="77"/>
  <c r="R95" i="77"/>
  <c r="Q95" i="77"/>
  <c r="P95" i="77"/>
  <c r="O95" i="77"/>
  <c r="N95" i="77"/>
  <c r="M95" i="77"/>
  <c r="L95" i="77"/>
  <c r="K95" i="77"/>
  <c r="J95" i="77"/>
  <c r="I95" i="77"/>
  <c r="H95" i="77"/>
  <c r="X94" i="77"/>
  <c r="T94" i="77"/>
  <c r="S94" i="77"/>
  <c r="R94" i="77"/>
  <c r="Q94" i="77"/>
  <c r="P94" i="77"/>
  <c r="O94" i="77"/>
  <c r="N94" i="77"/>
  <c r="M94" i="77"/>
  <c r="L94" i="77"/>
  <c r="K94" i="77"/>
  <c r="J94" i="77"/>
  <c r="I94" i="77"/>
  <c r="H94" i="77"/>
  <c r="X93" i="77"/>
  <c r="T93" i="77"/>
  <c r="S93" i="77"/>
  <c r="R93" i="77"/>
  <c r="Q93" i="77"/>
  <c r="P93" i="77"/>
  <c r="O93" i="77"/>
  <c r="N93" i="77"/>
  <c r="M93" i="77"/>
  <c r="L93" i="77"/>
  <c r="K93" i="77"/>
  <c r="J93" i="77"/>
  <c r="I93" i="77"/>
  <c r="H93" i="77"/>
  <c r="X92" i="77"/>
  <c r="T92" i="77"/>
  <c r="S92" i="77"/>
  <c r="R92" i="77"/>
  <c r="Q92" i="77"/>
  <c r="P92" i="77"/>
  <c r="O92" i="77"/>
  <c r="N92" i="77"/>
  <c r="M92" i="77"/>
  <c r="L92" i="77"/>
  <c r="K92" i="77"/>
  <c r="J92" i="77"/>
  <c r="I92" i="77"/>
  <c r="H92" i="77"/>
  <c r="X91" i="77"/>
  <c r="T91" i="77"/>
  <c r="S91" i="77"/>
  <c r="R91" i="77"/>
  <c r="Q91" i="77"/>
  <c r="P91" i="77"/>
  <c r="O91" i="77"/>
  <c r="N91" i="77"/>
  <c r="M91" i="77"/>
  <c r="L91" i="77"/>
  <c r="K91" i="77"/>
  <c r="J91" i="77"/>
  <c r="I91" i="77"/>
  <c r="H91" i="77"/>
  <c r="X90" i="77"/>
  <c r="T90" i="77"/>
  <c r="S90" i="77"/>
  <c r="R90" i="77"/>
  <c r="Q90" i="77"/>
  <c r="P90" i="77"/>
  <c r="O90" i="77"/>
  <c r="N90" i="77"/>
  <c r="M90" i="77"/>
  <c r="L90" i="77"/>
  <c r="K90" i="77"/>
  <c r="J90" i="77"/>
  <c r="I90" i="77"/>
  <c r="H90" i="77"/>
  <c r="X89" i="77"/>
  <c r="T89" i="77"/>
  <c r="S89" i="77"/>
  <c r="R89" i="77"/>
  <c r="Q89" i="77"/>
  <c r="P89" i="77"/>
  <c r="O89" i="77"/>
  <c r="N89" i="77"/>
  <c r="M89" i="77"/>
  <c r="L89" i="77"/>
  <c r="K89" i="77"/>
  <c r="J89" i="77"/>
  <c r="I89" i="77"/>
  <c r="H89" i="77"/>
  <c r="X88" i="77"/>
  <c r="T88" i="77"/>
  <c r="S88" i="77"/>
  <c r="R88" i="77"/>
  <c r="Q88" i="77"/>
  <c r="P88" i="77"/>
  <c r="O88" i="77"/>
  <c r="N88" i="77"/>
  <c r="M88" i="77"/>
  <c r="L88" i="77"/>
  <c r="K88" i="77"/>
  <c r="J88" i="77"/>
  <c r="I88" i="77"/>
  <c r="H88" i="77"/>
  <c r="X87" i="77"/>
  <c r="T87" i="77"/>
  <c r="S87" i="77"/>
  <c r="R87" i="77"/>
  <c r="Q87" i="77"/>
  <c r="P87" i="77"/>
  <c r="O87" i="77"/>
  <c r="N87" i="77"/>
  <c r="M87" i="77"/>
  <c r="L87" i="77"/>
  <c r="K87" i="77"/>
  <c r="J87" i="77"/>
  <c r="I87" i="77"/>
  <c r="H87" i="77"/>
  <c r="X86" i="77"/>
  <c r="T86" i="77"/>
  <c r="S86" i="77"/>
  <c r="R86" i="77"/>
  <c r="Q86" i="77"/>
  <c r="P86" i="77"/>
  <c r="O86" i="77"/>
  <c r="N86" i="77"/>
  <c r="M86" i="77"/>
  <c r="L86" i="77"/>
  <c r="K86" i="77"/>
  <c r="J86" i="77"/>
  <c r="I86" i="77"/>
  <c r="H86" i="77"/>
  <c r="X85" i="77"/>
  <c r="T85" i="77"/>
  <c r="S85" i="77"/>
  <c r="R85" i="77"/>
  <c r="Q85" i="77"/>
  <c r="P85" i="77"/>
  <c r="O85" i="77"/>
  <c r="N85" i="77"/>
  <c r="M85" i="77"/>
  <c r="L85" i="77"/>
  <c r="K85" i="77"/>
  <c r="J85" i="77"/>
  <c r="I85" i="77"/>
  <c r="H85" i="77"/>
  <c r="X84" i="77"/>
  <c r="T84" i="77"/>
  <c r="S84" i="77"/>
  <c r="R84" i="77"/>
  <c r="Q84" i="77"/>
  <c r="P84" i="77"/>
  <c r="O84" i="77"/>
  <c r="N84" i="77"/>
  <c r="M84" i="77"/>
  <c r="L84" i="77"/>
  <c r="K84" i="77"/>
  <c r="J84" i="77"/>
  <c r="I84" i="77"/>
  <c r="H84" i="77"/>
  <c r="X83" i="77"/>
  <c r="T83" i="77"/>
  <c r="S83" i="77"/>
  <c r="R83" i="77"/>
  <c r="Q83" i="77"/>
  <c r="P83" i="77"/>
  <c r="O83" i="77"/>
  <c r="N83" i="77"/>
  <c r="M83" i="77"/>
  <c r="L83" i="77"/>
  <c r="K83" i="77"/>
  <c r="J83" i="77"/>
  <c r="I83" i="77"/>
  <c r="H83" i="77"/>
  <c r="X82" i="77"/>
  <c r="T82" i="77"/>
  <c r="S82" i="77"/>
  <c r="R82" i="77"/>
  <c r="Q82" i="77"/>
  <c r="P82" i="77"/>
  <c r="O82" i="77"/>
  <c r="N82" i="77"/>
  <c r="M82" i="77"/>
  <c r="L82" i="77"/>
  <c r="K82" i="77"/>
  <c r="J82" i="77"/>
  <c r="I82" i="77"/>
  <c r="H82" i="77"/>
  <c r="X81" i="77"/>
  <c r="T81" i="77"/>
  <c r="S81" i="77"/>
  <c r="R81" i="77"/>
  <c r="Q81" i="77"/>
  <c r="P81" i="77"/>
  <c r="O81" i="77"/>
  <c r="N81" i="77"/>
  <c r="M81" i="77"/>
  <c r="L81" i="77"/>
  <c r="K81" i="77"/>
  <c r="J81" i="77"/>
  <c r="I81" i="77"/>
  <c r="H81" i="77"/>
  <c r="X80" i="77"/>
  <c r="T80" i="77"/>
  <c r="S80" i="77"/>
  <c r="R80" i="77"/>
  <c r="Q80" i="77"/>
  <c r="P80" i="77"/>
  <c r="O80" i="77"/>
  <c r="N80" i="77"/>
  <c r="M80" i="77"/>
  <c r="L80" i="77"/>
  <c r="K80" i="77"/>
  <c r="J80" i="77"/>
  <c r="I80" i="77"/>
  <c r="H80" i="77"/>
  <c r="X79" i="77"/>
  <c r="T79" i="77"/>
  <c r="S79" i="77"/>
  <c r="R79" i="77"/>
  <c r="Q79" i="77"/>
  <c r="P79" i="77"/>
  <c r="O79" i="77"/>
  <c r="N79" i="77"/>
  <c r="M79" i="77"/>
  <c r="L79" i="77"/>
  <c r="K79" i="77"/>
  <c r="J79" i="77"/>
  <c r="I79" i="77"/>
  <c r="H79" i="77"/>
  <c r="X78" i="77"/>
  <c r="T78" i="77"/>
  <c r="S78" i="77"/>
  <c r="R78" i="77"/>
  <c r="Q78" i="77"/>
  <c r="P78" i="77"/>
  <c r="O78" i="77"/>
  <c r="N78" i="77"/>
  <c r="M78" i="77"/>
  <c r="L78" i="77"/>
  <c r="K78" i="77"/>
  <c r="J78" i="77"/>
  <c r="I78" i="77"/>
  <c r="H78" i="77"/>
  <c r="X77" i="77"/>
  <c r="T77" i="77"/>
  <c r="S77" i="77"/>
  <c r="R77" i="77"/>
  <c r="Q77" i="77"/>
  <c r="P77" i="77"/>
  <c r="O77" i="77"/>
  <c r="N77" i="77"/>
  <c r="M77" i="77"/>
  <c r="L77" i="77"/>
  <c r="K77" i="77"/>
  <c r="J77" i="77"/>
  <c r="I77" i="77"/>
  <c r="H77" i="77"/>
  <c r="X76" i="77"/>
  <c r="T76" i="77"/>
  <c r="S76" i="77"/>
  <c r="R76" i="77"/>
  <c r="Q76" i="77"/>
  <c r="P76" i="77"/>
  <c r="O76" i="77"/>
  <c r="N76" i="77"/>
  <c r="M76" i="77"/>
  <c r="L76" i="77"/>
  <c r="K76" i="77"/>
  <c r="J76" i="77"/>
  <c r="I76" i="77"/>
  <c r="H76" i="77"/>
  <c r="X75" i="77"/>
  <c r="T75" i="77"/>
  <c r="S75" i="77"/>
  <c r="R75" i="77"/>
  <c r="Q75" i="77"/>
  <c r="P75" i="77"/>
  <c r="O75" i="77"/>
  <c r="N75" i="77"/>
  <c r="M75" i="77"/>
  <c r="L75" i="77"/>
  <c r="K75" i="77"/>
  <c r="J75" i="77"/>
  <c r="I75" i="77"/>
  <c r="H75" i="77"/>
  <c r="X74" i="77"/>
  <c r="T74" i="77"/>
  <c r="S74" i="77"/>
  <c r="R74" i="77"/>
  <c r="Q74" i="77"/>
  <c r="P74" i="77"/>
  <c r="O74" i="77"/>
  <c r="N74" i="77"/>
  <c r="M74" i="77"/>
  <c r="L74" i="77"/>
  <c r="K74" i="77"/>
  <c r="J74" i="77"/>
  <c r="I74" i="77"/>
  <c r="H74" i="77"/>
  <c r="X73" i="77"/>
  <c r="T73" i="77"/>
  <c r="S73" i="77"/>
  <c r="R73" i="77"/>
  <c r="Q73" i="77"/>
  <c r="P73" i="77"/>
  <c r="O73" i="77"/>
  <c r="N73" i="77"/>
  <c r="M73" i="77"/>
  <c r="L73" i="77"/>
  <c r="K73" i="77"/>
  <c r="J73" i="77"/>
  <c r="I73" i="77"/>
  <c r="H73" i="77"/>
  <c r="X72" i="77"/>
  <c r="T72" i="77"/>
  <c r="S72" i="77"/>
  <c r="R72" i="77"/>
  <c r="Q72" i="77"/>
  <c r="P72" i="77"/>
  <c r="O72" i="77"/>
  <c r="N72" i="77"/>
  <c r="M72" i="77"/>
  <c r="L72" i="77"/>
  <c r="K72" i="77"/>
  <c r="J72" i="77"/>
  <c r="I72" i="77"/>
  <c r="H72" i="77"/>
  <c r="X71" i="77"/>
  <c r="T71" i="77"/>
  <c r="S71" i="77"/>
  <c r="R71" i="77"/>
  <c r="Q71" i="77"/>
  <c r="P71" i="77"/>
  <c r="O71" i="77"/>
  <c r="N71" i="77"/>
  <c r="M71" i="77"/>
  <c r="L71" i="77"/>
  <c r="K71" i="77"/>
  <c r="J71" i="77"/>
  <c r="I71" i="77"/>
  <c r="H71" i="77"/>
  <c r="X70" i="77"/>
  <c r="T70" i="77"/>
  <c r="S70" i="77"/>
  <c r="R70" i="77"/>
  <c r="Q70" i="77"/>
  <c r="P70" i="77"/>
  <c r="O70" i="77"/>
  <c r="N70" i="77"/>
  <c r="M70" i="77"/>
  <c r="L70" i="77"/>
  <c r="K70" i="77"/>
  <c r="J70" i="77"/>
  <c r="I70" i="77"/>
  <c r="H70" i="77"/>
  <c r="X69" i="77"/>
  <c r="T69" i="77"/>
  <c r="S69" i="77"/>
  <c r="R69" i="77"/>
  <c r="Q69" i="77"/>
  <c r="P69" i="77"/>
  <c r="O69" i="77"/>
  <c r="N69" i="77"/>
  <c r="M69" i="77"/>
  <c r="L69" i="77"/>
  <c r="K69" i="77"/>
  <c r="J69" i="77"/>
  <c r="I69" i="77"/>
  <c r="H69" i="77"/>
  <c r="X68" i="77"/>
  <c r="T68" i="77"/>
  <c r="S68" i="77"/>
  <c r="R68" i="77"/>
  <c r="Q68" i="77"/>
  <c r="P68" i="77"/>
  <c r="O68" i="77"/>
  <c r="N68" i="77"/>
  <c r="M68" i="77"/>
  <c r="L68" i="77"/>
  <c r="K68" i="77"/>
  <c r="J68" i="77"/>
  <c r="I68" i="77"/>
  <c r="H68" i="77"/>
  <c r="X67" i="77"/>
  <c r="T67" i="77"/>
  <c r="S67" i="77"/>
  <c r="R67" i="77"/>
  <c r="Q67" i="77"/>
  <c r="P67" i="77"/>
  <c r="O67" i="77"/>
  <c r="N67" i="77"/>
  <c r="M67" i="77"/>
  <c r="L67" i="77"/>
  <c r="K67" i="77"/>
  <c r="J67" i="77"/>
  <c r="I67" i="77"/>
  <c r="H67" i="77"/>
  <c r="X66" i="77"/>
  <c r="T66" i="77"/>
  <c r="S66" i="77"/>
  <c r="R66" i="77"/>
  <c r="Q66" i="77"/>
  <c r="P66" i="77"/>
  <c r="O66" i="77"/>
  <c r="N66" i="77"/>
  <c r="M66" i="77"/>
  <c r="L66" i="77"/>
  <c r="K66" i="77"/>
  <c r="J66" i="77"/>
  <c r="I66" i="77"/>
  <c r="H66" i="77"/>
  <c r="X65" i="77"/>
  <c r="T65" i="77"/>
  <c r="S65" i="77"/>
  <c r="R65" i="77"/>
  <c r="Q65" i="77"/>
  <c r="P65" i="77"/>
  <c r="O65" i="77"/>
  <c r="N65" i="77"/>
  <c r="M65" i="77"/>
  <c r="L65" i="77"/>
  <c r="K65" i="77"/>
  <c r="J65" i="77"/>
  <c r="I65" i="77"/>
  <c r="H65" i="77"/>
  <c r="X64" i="77"/>
  <c r="T64" i="77"/>
  <c r="S64" i="77"/>
  <c r="R64" i="77"/>
  <c r="Q64" i="77"/>
  <c r="P64" i="77"/>
  <c r="O64" i="77"/>
  <c r="N64" i="77"/>
  <c r="M64" i="77"/>
  <c r="L64" i="77"/>
  <c r="K64" i="77"/>
  <c r="J64" i="77"/>
  <c r="I64" i="77"/>
  <c r="H64" i="77"/>
  <c r="X63" i="77"/>
  <c r="T63" i="77"/>
  <c r="S63" i="77"/>
  <c r="R63" i="77"/>
  <c r="Q63" i="77"/>
  <c r="P63" i="77"/>
  <c r="O63" i="77"/>
  <c r="N63" i="77"/>
  <c r="M63" i="77"/>
  <c r="L63" i="77"/>
  <c r="K63" i="77"/>
  <c r="J63" i="77"/>
  <c r="I63" i="77"/>
  <c r="H63" i="77"/>
  <c r="X62" i="77"/>
  <c r="T62" i="77"/>
  <c r="S62" i="77"/>
  <c r="R62" i="77"/>
  <c r="Q62" i="77"/>
  <c r="P62" i="77"/>
  <c r="O62" i="77"/>
  <c r="N62" i="77"/>
  <c r="M62" i="77"/>
  <c r="L62" i="77"/>
  <c r="K62" i="77"/>
  <c r="J62" i="77"/>
  <c r="I62" i="77"/>
  <c r="H62" i="77"/>
  <c r="X61" i="77"/>
  <c r="T61" i="77"/>
  <c r="S61" i="77"/>
  <c r="R61" i="77"/>
  <c r="Q61" i="77"/>
  <c r="P61" i="77"/>
  <c r="O61" i="77"/>
  <c r="N61" i="77"/>
  <c r="M61" i="77"/>
  <c r="L61" i="77"/>
  <c r="K61" i="77"/>
  <c r="J61" i="77"/>
  <c r="I61" i="77"/>
  <c r="H61" i="77"/>
  <c r="X60" i="77"/>
  <c r="T60" i="77"/>
  <c r="S60" i="77"/>
  <c r="R60" i="77"/>
  <c r="Q60" i="77"/>
  <c r="P60" i="77"/>
  <c r="O60" i="77"/>
  <c r="N60" i="77"/>
  <c r="M60" i="77"/>
  <c r="L60" i="77"/>
  <c r="K60" i="77"/>
  <c r="J60" i="77"/>
  <c r="I60" i="77"/>
  <c r="H60" i="77"/>
  <c r="X59" i="77"/>
  <c r="T59" i="77"/>
  <c r="S59" i="77"/>
  <c r="R59" i="77"/>
  <c r="Q59" i="77"/>
  <c r="P59" i="77"/>
  <c r="O59" i="77"/>
  <c r="N59" i="77"/>
  <c r="M59" i="77"/>
  <c r="L59" i="77"/>
  <c r="K59" i="77"/>
  <c r="J59" i="77"/>
  <c r="I59" i="77"/>
  <c r="H59" i="77"/>
  <c r="X58" i="77"/>
  <c r="T58" i="77"/>
  <c r="S58" i="77"/>
  <c r="R58" i="77"/>
  <c r="Q58" i="77"/>
  <c r="P58" i="77"/>
  <c r="O58" i="77"/>
  <c r="N58" i="77"/>
  <c r="M58" i="77"/>
  <c r="L58" i="77"/>
  <c r="K58" i="77"/>
  <c r="J58" i="77"/>
  <c r="I58" i="77"/>
  <c r="H58" i="77"/>
  <c r="X57" i="77"/>
  <c r="T57" i="77"/>
  <c r="S57" i="77"/>
  <c r="R57" i="77"/>
  <c r="Q57" i="77"/>
  <c r="P57" i="77"/>
  <c r="O57" i="77"/>
  <c r="N57" i="77"/>
  <c r="M57" i="77"/>
  <c r="L57" i="77"/>
  <c r="K57" i="77"/>
  <c r="J57" i="77"/>
  <c r="I57" i="77"/>
  <c r="H57" i="77"/>
  <c r="X56" i="77"/>
  <c r="T56" i="77"/>
  <c r="S56" i="77"/>
  <c r="R56" i="77"/>
  <c r="Q56" i="77"/>
  <c r="P56" i="77"/>
  <c r="O56" i="77"/>
  <c r="N56" i="77"/>
  <c r="M56" i="77"/>
  <c r="L56" i="77"/>
  <c r="K56" i="77"/>
  <c r="J56" i="77"/>
  <c r="I56" i="77"/>
  <c r="H56" i="77"/>
  <c r="X55" i="77"/>
  <c r="T55" i="77"/>
  <c r="S55" i="77"/>
  <c r="R55" i="77"/>
  <c r="Q55" i="77"/>
  <c r="P55" i="77"/>
  <c r="O55" i="77"/>
  <c r="N55" i="77"/>
  <c r="M55" i="77"/>
  <c r="L55" i="77"/>
  <c r="K55" i="77"/>
  <c r="J55" i="77"/>
  <c r="I55" i="77"/>
  <c r="H55" i="77"/>
  <c r="X54" i="77"/>
  <c r="T54" i="77"/>
  <c r="S54" i="77"/>
  <c r="R54" i="77"/>
  <c r="Q54" i="77"/>
  <c r="P54" i="77"/>
  <c r="O54" i="77"/>
  <c r="N54" i="77"/>
  <c r="M54" i="77"/>
  <c r="L54" i="77"/>
  <c r="K54" i="77"/>
  <c r="J54" i="77"/>
  <c r="I54" i="77"/>
  <c r="H54" i="77"/>
  <c r="X53" i="77"/>
  <c r="T53" i="77"/>
  <c r="S53" i="77"/>
  <c r="R53" i="77"/>
  <c r="Q53" i="77"/>
  <c r="P53" i="77"/>
  <c r="O53" i="77"/>
  <c r="N53" i="77"/>
  <c r="M53" i="77"/>
  <c r="L53" i="77"/>
  <c r="K53" i="77"/>
  <c r="J53" i="77"/>
  <c r="I53" i="77"/>
  <c r="H53" i="77"/>
  <c r="X52" i="77"/>
  <c r="T52" i="77"/>
  <c r="S52" i="77"/>
  <c r="R52" i="77"/>
  <c r="Q52" i="77"/>
  <c r="P52" i="77"/>
  <c r="O52" i="77"/>
  <c r="N52" i="77"/>
  <c r="M52" i="77"/>
  <c r="L52" i="77"/>
  <c r="K52" i="77"/>
  <c r="J52" i="77"/>
  <c r="I52" i="77"/>
  <c r="H52" i="77"/>
  <c r="X51" i="77"/>
  <c r="T51" i="77"/>
  <c r="S51" i="77"/>
  <c r="R51" i="77"/>
  <c r="Q51" i="77"/>
  <c r="P51" i="77"/>
  <c r="O51" i="77"/>
  <c r="N51" i="77"/>
  <c r="M51" i="77"/>
  <c r="L51" i="77"/>
  <c r="K51" i="77"/>
  <c r="J51" i="77"/>
  <c r="I51" i="77"/>
  <c r="H51" i="77"/>
  <c r="X50" i="77"/>
  <c r="T50" i="77"/>
  <c r="S50" i="77"/>
  <c r="R50" i="77"/>
  <c r="Q50" i="77"/>
  <c r="P50" i="77"/>
  <c r="O50" i="77"/>
  <c r="N50" i="77"/>
  <c r="M50" i="77"/>
  <c r="L50" i="77"/>
  <c r="K50" i="77"/>
  <c r="J50" i="77"/>
  <c r="I50" i="77"/>
  <c r="H50" i="77"/>
  <c r="X49" i="77"/>
  <c r="T49" i="77"/>
  <c r="S49" i="77"/>
  <c r="R49" i="77"/>
  <c r="Q49" i="77"/>
  <c r="P49" i="77"/>
  <c r="O49" i="77"/>
  <c r="N49" i="77"/>
  <c r="M49" i="77"/>
  <c r="L49" i="77"/>
  <c r="K49" i="77"/>
  <c r="J49" i="77"/>
  <c r="I49" i="77"/>
  <c r="H49" i="77"/>
  <c r="X48" i="77"/>
  <c r="T48" i="77"/>
  <c r="S48" i="77"/>
  <c r="R48" i="77"/>
  <c r="Q48" i="77"/>
  <c r="P48" i="77"/>
  <c r="O48" i="77"/>
  <c r="N48" i="77"/>
  <c r="M48" i="77"/>
  <c r="L48" i="77"/>
  <c r="K48" i="77"/>
  <c r="J48" i="77"/>
  <c r="I48" i="77"/>
  <c r="H48" i="77"/>
  <c r="X47" i="77"/>
  <c r="T47" i="77"/>
  <c r="S47" i="77"/>
  <c r="R47" i="77"/>
  <c r="Q47" i="77"/>
  <c r="P47" i="77"/>
  <c r="O47" i="77"/>
  <c r="N47" i="77"/>
  <c r="M47" i="77"/>
  <c r="L47" i="77"/>
  <c r="K47" i="77"/>
  <c r="J47" i="77"/>
  <c r="I47" i="77"/>
  <c r="H47" i="77"/>
  <c r="X46" i="77"/>
  <c r="T46" i="77"/>
  <c r="S46" i="77"/>
  <c r="R46" i="77"/>
  <c r="Q46" i="77"/>
  <c r="P46" i="77"/>
  <c r="O46" i="77"/>
  <c r="N46" i="77"/>
  <c r="M46" i="77"/>
  <c r="L46" i="77"/>
  <c r="K46" i="77"/>
  <c r="J46" i="77"/>
  <c r="I46" i="77"/>
  <c r="H46" i="77"/>
  <c r="X45" i="77"/>
  <c r="T45" i="77"/>
  <c r="S45" i="77"/>
  <c r="R45" i="77"/>
  <c r="Q45" i="77"/>
  <c r="P45" i="77"/>
  <c r="O45" i="77"/>
  <c r="N45" i="77"/>
  <c r="M45" i="77"/>
  <c r="L45" i="77"/>
  <c r="K45" i="77"/>
  <c r="J45" i="77"/>
  <c r="I45" i="77"/>
  <c r="H45" i="77"/>
  <c r="X44" i="77"/>
  <c r="T44" i="77"/>
  <c r="S44" i="77"/>
  <c r="R44" i="77"/>
  <c r="Q44" i="77"/>
  <c r="P44" i="77"/>
  <c r="O44" i="77"/>
  <c r="N44" i="77"/>
  <c r="M44" i="77"/>
  <c r="L44" i="77"/>
  <c r="K44" i="77"/>
  <c r="J44" i="77"/>
  <c r="I44" i="77"/>
  <c r="H44" i="77"/>
  <c r="X43" i="77"/>
  <c r="T43" i="77"/>
  <c r="S43" i="77"/>
  <c r="R43" i="77"/>
  <c r="Q43" i="77"/>
  <c r="P43" i="77"/>
  <c r="O43" i="77"/>
  <c r="N43" i="77"/>
  <c r="M43" i="77"/>
  <c r="L43" i="77"/>
  <c r="K43" i="77"/>
  <c r="J43" i="77"/>
  <c r="I43" i="77"/>
  <c r="H43" i="77"/>
  <c r="X42" i="77"/>
  <c r="T42" i="77"/>
  <c r="S42" i="77"/>
  <c r="R42" i="77"/>
  <c r="Q42" i="77"/>
  <c r="P42" i="77"/>
  <c r="O42" i="77"/>
  <c r="N42" i="77"/>
  <c r="M42" i="77"/>
  <c r="L42" i="77"/>
  <c r="K42" i="77"/>
  <c r="J42" i="77"/>
  <c r="I42" i="77"/>
  <c r="H42" i="77"/>
  <c r="X41" i="77"/>
  <c r="T41" i="77"/>
  <c r="S41" i="77"/>
  <c r="R41" i="77"/>
  <c r="Q41" i="77"/>
  <c r="P41" i="77"/>
  <c r="O41" i="77"/>
  <c r="N41" i="77"/>
  <c r="M41" i="77"/>
  <c r="L41" i="77"/>
  <c r="K41" i="77"/>
  <c r="J41" i="77"/>
  <c r="I41" i="77"/>
  <c r="H41" i="77"/>
  <c r="X40" i="77"/>
  <c r="T40" i="77"/>
  <c r="S40" i="77"/>
  <c r="R40" i="77"/>
  <c r="Q40" i="77"/>
  <c r="P40" i="77"/>
  <c r="O40" i="77"/>
  <c r="N40" i="77"/>
  <c r="M40" i="77"/>
  <c r="L40" i="77"/>
  <c r="K40" i="77"/>
  <c r="J40" i="77"/>
  <c r="I40" i="77"/>
  <c r="H40" i="77"/>
  <c r="X39" i="77"/>
  <c r="T39" i="77"/>
  <c r="S39" i="77"/>
  <c r="R39" i="77"/>
  <c r="Q39" i="77"/>
  <c r="P39" i="77"/>
  <c r="O39" i="77"/>
  <c r="N39" i="77"/>
  <c r="M39" i="77"/>
  <c r="L39" i="77"/>
  <c r="K39" i="77"/>
  <c r="J39" i="77"/>
  <c r="I39" i="77"/>
  <c r="H39" i="77"/>
  <c r="X10" i="77"/>
  <c r="T10" i="77"/>
  <c r="S10" i="77"/>
  <c r="R10" i="77"/>
  <c r="Q10" i="77"/>
  <c r="P10" i="77"/>
  <c r="O10" i="77"/>
  <c r="N10" i="77"/>
  <c r="M10" i="77"/>
  <c r="L10" i="77"/>
  <c r="K10" i="77"/>
  <c r="J10" i="77"/>
  <c r="I10" i="77"/>
  <c r="H10" i="77"/>
  <c r="BF26" i="78" l="1"/>
  <c r="BF27" i="78"/>
  <c r="BF31" i="78"/>
  <c r="BH14" i="78"/>
  <c r="BH32" i="78" s="1"/>
  <c r="BJ42" i="78"/>
  <c r="BJ44" i="78" s="1"/>
  <c r="BJ41" i="78"/>
  <c r="BL52" i="78"/>
  <c r="BL53" i="78"/>
  <c r="BP50" i="78"/>
  <c r="BF16" i="78"/>
  <c r="BO52" i="78"/>
  <c r="BO53" i="78"/>
  <c r="BO55" i="78" s="1"/>
  <c r="BF19" i="78"/>
  <c r="BG43" i="78"/>
  <c r="BQ43" i="78" s="1"/>
  <c r="BQ40" i="78"/>
  <c r="BF18" i="78"/>
  <c r="BL54" i="78"/>
  <c r="BP54" i="78" s="1"/>
  <c r="BP51" i="78"/>
  <c r="BF24" i="78"/>
  <c r="BF41" i="78"/>
  <c r="BP39" i="78"/>
  <c r="BF42" i="78"/>
  <c r="BH53" i="78"/>
  <c r="BH55" i="78" s="1"/>
  <c r="BH52" i="78"/>
  <c r="BD14" i="78"/>
  <c r="BF15" i="78"/>
  <c r="BF22" i="78"/>
  <c r="BE54" i="78"/>
  <c r="BI54" i="78" s="1"/>
  <c r="BI51" i="78"/>
  <c r="BI41" i="78"/>
  <c r="BM39" i="78"/>
  <c r="BI42" i="78"/>
  <c r="BF28" i="78"/>
  <c r="BF43" i="78"/>
  <c r="BP43" i="78" s="1"/>
  <c r="BP40" i="78"/>
  <c r="BE52" i="78"/>
  <c r="BI50" i="78"/>
  <c r="BE53" i="78"/>
  <c r="BF17" i="78"/>
  <c r="BN39" i="78"/>
  <c r="BD42" i="78"/>
  <c r="BH39" i="78"/>
  <c r="BD41" i="78"/>
  <c r="BE14" i="78"/>
  <c r="BE32" i="78" s="1"/>
  <c r="BG41" i="78"/>
  <c r="BQ39" i="78"/>
  <c r="BG42" i="78"/>
  <c r="BG52" i="78"/>
  <c r="BG53" i="78"/>
  <c r="BG55" i="78" s="1"/>
  <c r="BL41" i="78"/>
  <c r="BL42" i="78"/>
  <c r="BL44" i="78" s="1"/>
  <c r="BE43" i="78"/>
  <c r="BO43" i="78" s="1"/>
  <c r="BO40" i="78"/>
  <c r="BF20" i="78"/>
  <c r="BN40" i="78"/>
  <c r="BH40" i="78"/>
  <c r="BD43" i="78"/>
  <c r="BI43" i="78"/>
  <c r="BM43" i="78" s="1"/>
  <c r="BM40" i="78"/>
  <c r="BF23" i="78"/>
  <c r="BN52" i="78"/>
  <c r="BN53" i="78"/>
  <c r="BN55" i="78" s="1"/>
  <c r="BK14" i="78"/>
  <c r="BK32" i="78" s="1"/>
  <c r="BE41" i="78"/>
  <c r="BO39" i="78"/>
  <c r="BE42" i="78"/>
  <c r="BF52" i="78"/>
  <c r="BF53" i="78"/>
  <c r="BF55" i="78" s="1"/>
  <c r="BK41" i="78"/>
  <c r="BK42" i="78"/>
  <c r="BK44" i="78" s="1"/>
  <c r="BM52" i="78"/>
  <c r="BM53" i="78"/>
  <c r="BM55" i="78" s="1"/>
  <c r="G108" i="77"/>
  <c r="R100" i="72" s="1"/>
  <c r="G106" i="77"/>
  <c r="R98" i="72" s="1"/>
  <c r="G104" i="77"/>
  <c r="R96" i="72" s="1"/>
  <c r="G102" i="77"/>
  <c r="R94" i="72" s="1"/>
  <c r="G100" i="77"/>
  <c r="R92" i="72" s="1"/>
  <c r="G98" i="77"/>
  <c r="R90" i="72" s="1"/>
  <c r="G96" i="77"/>
  <c r="R88" i="72" s="1"/>
  <c r="G94" i="77"/>
  <c r="R86" i="72" s="1"/>
  <c r="G92" i="77"/>
  <c r="R84" i="72" s="1"/>
  <c r="G90" i="77"/>
  <c r="R82" i="72" s="1"/>
  <c r="G88" i="77"/>
  <c r="R80" i="72" s="1"/>
  <c r="G86" i="77"/>
  <c r="R78" i="72" s="1"/>
  <c r="G84" i="77"/>
  <c r="R76" i="72" s="1"/>
  <c r="G82" i="77"/>
  <c r="R74" i="72" s="1"/>
  <c r="G80" i="77"/>
  <c r="R72" i="72" s="1"/>
  <c r="G78" i="77"/>
  <c r="R70" i="72" s="1"/>
  <c r="G76" i="77"/>
  <c r="R68" i="72" s="1"/>
  <c r="G74" i="77"/>
  <c r="R66" i="72" s="1"/>
  <c r="G72" i="77"/>
  <c r="R64" i="72" s="1"/>
  <c r="G70" i="77"/>
  <c r="R62" i="72" s="1"/>
  <c r="G68" i="77"/>
  <c r="R60" i="72" s="1"/>
  <c r="G66" i="77"/>
  <c r="R58" i="72" s="1"/>
  <c r="G64" i="77"/>
  <c r="R56" i="72" s="1"/>
  <c r="G62" i="77"/>
  <c r="R54" i="72" s="1"/>
  <c r="G60" i="77"/>
  <c r="R52" i="72" s="1"/>
  <c r="G58" i="77"/>
  <c r="R50" i="72" s="1"/>
  <c r="G56" i="77"/>
  <c r="R48" i="72" s="1"/>
  <c r="G54" i="77"/>
  <c r="R46" i="72" s="1"/>
  <c r="G52" i="77"/>
  <c r="R44" i="72" s="1"/>
  <c r="G50" i="77"/>
  <c r="R42" i="72" s="1"/>
  <c r="G48" i="77"/>
  <c r="R40" i="72" s="1"/>
  <c r="G46" i="77"/>
  <c r="R38" i="72" s="1"/>
  <c r="G44" i="77"/>
  <c r="R36" i="72" s="1"/>
  <c r="G42" i="77"/>
  <c r="R34" i="72" s="1"/>
  <c r="G40" i="77"/>
  <c r="R32" i="72" s="1"/>
  <c r="G10" i="77"/>
  <c r="R2" i="72" s="1"/>
  <c r="H17" i="71"/>
  <c r="G17" i="71"/>
  <c r="F17" i="71"/>
  <c r="H16" i="71"/>
  <c r="G16" i="71"/>
  <c r="F16" i="71"/>
  <c r="H15" i="71"/>
  <c r="G15" i="71"/>
  <c r="F15" i="71"/>
  <c r="H14" i="71"/>
  <c r="G14" i="71"/>
  <c r="F14" i="71"/>
  <c r="H13" i="71"/>
  <c r="G13" i="71"/>
  <c r="F13" i="71"/>
  <c r="H12" i="71"/>
  <c r="G12" i="71"/>
  <c r="F12" i="71"/>
  <c r="H11" i="71"/>
  <c r="G11" i="71"/>
  <c r="F11" i="71"/>
  <c r="H10" i="71"/>
  <c r="G10" i="71"/>
  <c r="F10" i="71"/>
  <c r="H9" i="71"/>
  <c r="G9" i="71"/>
  <c r="F9" i="71"/>
  <c r="H8" i="71"/>
  <c r="G8" i="71"/>
  <c r="F8" i="71"/>
  <c r="H7" i="71"/>
  <c r="G7" i="71"/>
  <c r="F7" i="71"/>
  <c r="AJ33" i="79" l="1"/>
  <c r="AK15" i="78"/>
  <c r="BJ15" i="78" s="1"/>
  <c r="BL15" i="78" s="1"/>
  <c r="AJ15" i="78"/>
  <c r="BG15" i="78" s="1"/>
  <c r="BI15" i="78" s="1"/>
  <c r="AJ26" i="79"/>
  <c r="AX26" i="79" s="1"/>
  <c r="AJ28" i="79"/>
  <c r="AJ22" i="79"/>
  <c r="AJ18" i="79"/>
  <c r="AK31" i="78"/>
  <c r="AJ23" i="78"/>
  <c r="BG23" i="78" s="1"/>
  <c r="BI23" i="78" s="1"/>
  <c r="AJ19" i="78"/>
  <c r="AJ31" i="78"/>
  <c r="BG31" i="78" s="1"/>
  <c r="AK24" i="78"/>
  <c r="BJ24" i="78" s="1"/>
  <c r="BL24" i="78" s="1"/>
  <c r="AJ26" i="78"/>
  <c r="AJ23" i="79"/>
  <c r="AJ30" i="79"/>
  <c r="AX30" i="79" s="1"/>
  <c r="AJ27" i="79"/>
  <c r="AJ24" i="78"/>
  <c r="BG24" i="78" s="1"/>
  <c r="BI24" i="78" s="1"/>
  <c r="BM24" i="78" s="1"/>
  <c r="AK20" i="78"/>
  <c r="AJ25" i="79"/>
  <c r="AX25" i="79" s="1"/>
  <c r="AJ20" i="78"/>
  <c r="AJ29" i="79"/>
  <c r="AX29" i="79" s="1"/>
  <c r="AK21" i="78"/>
  <c r="AJ21" i="79"/>
  <c r="AX21" i="79" s="1"/>
  <c r="AJ31" i="79"/>
  <c r="AK25" i="78"/>
  <c r="AK29" i="78"/>
  <c r="AJ21" i="78"/>
  <c r="AK27" i="78"/>
  <c r="BJ27" i="78" s="1"/>
  <c r="BL27" i="78" s="1"/>
  <c r="AJ28" i="78"/>
  <c r="BG28" i="78" s="1"/>
  <c r="BI28" i="78" s="1"/>
  <c r="AJ29" i="78"/>
  <c r="AK16" i="78"/>
  <c r="BJ16" i="78" s="1"/>
  <c r="AJ27" i="78"/>
  <c r="BG27" i="78" s="1"/>
  <c r="BI27" i="78" s="1"/>
  <c r="AK28" i="78"/>
  <c r="BJ28" i="78" s="1"/>
  <c r="BL28" i="78" s="1"/>
  <c r="AK23" i="78"/>
  <c r="BJ23" i="78" s="1"/>
  <c r="BL23" i="78" s="1"/>
  <c r="AJ16" i="78"/>
  <c r="AK19" i="78"/>
  <c r="AJ25" i="78"/>
  <c r="AK26" i="78"/>
  <c r="AJ17" i="79"/>
  <c r="AX17" i="79" s="1"/>
  <c r="AH33" i="79"/>
  <c r="AF33" i="79"/>
  <c r="AY44" i="79" s="1"/>
  <c r="AY47" i="79" s="1"/>
  <c r="AD28" i="79"/>
  <c r="AD18" i="79"/>
  <c r="AB18" i="79"/>
  <c r="AH28" i="79"/>
  <c r="AB33" i="79"/>
  <c r="AB26" i="79"/>
  <c r="AD26" i="79"/>
  <c r="AF28" i="79"/>
  <c r="AF22" i="79"/>
  <c r="AH26" i="79"/>
  <c r="AH22" i="79"/>
  <c r="AF26" i="79"/>
  <c r="AD22" i="79"/>
  <c r="AH18" i="79"/>
  <c r="AB28" i="79"/>
  <c r="AB22" i="79"/>
  <c r="AF18" i="79"/>
  <c r="AD33" i="79"/>
  <c r="AX44" i="79" s="1"/>
  <c r="AX47" i="79" s="1"/>
  <c r="AH27" i="79"/>
  <c r="AD29" i="79"/>
  <c r="AD27" i="79"/>
  <c r="AD31" i="79"/>
  <c r="AF23" i="79"/>
  <c r="AB31" i="79"/>
  <c r="AH30" i="79"/>
  <c r="AB27" i="79"/>
  <c r="AD23" i="79"/>
  <c r="AB32" i="79"/>
  <c r="AF30" i="79"/>
  <c r="AH25" i="79"/>
  <c r="AB23" i="79"/>
  <c r="AH32" i="79"/>
  <c r="AH21" i="79"/>
  <c r="AH31" i="79"/>
  <c r="AH23" i="79"/>
  <c r="AD30" i="79"/>
  <c r="AF25" i="79"/>
  <c r="AD32" i="79"/>
  <c r="AF31" i="79"/>
  <c r="AB21" i="79"/>
  <c r="AB30" i="79"/>
  <c r="AB25" i="79"/>
  <c r="AF32" i="79"/>
  <c r="AF21" i="79"/>
  <c r="AB29" i="79"/>
  <c r="AF27" i="79"/>
  <c r="AD25" i="79"/>
  <c r="AH29" i="79"/>
  <c r="AD21" i="79"/>
  <c r="AF29" i="79"/>
  <c r="AH17" i="79"/>
  <c r="AB17" i="79"/>
  <c r="AF17" i="79"/>
  <c r="AD17" i="79"/>
  <c r="AB19" i="79"/>
  <c r="AF19" i="79"/>
  <c r="AD19" i="79"/>
  <c r="AH19" i="79"/>
  <c r="AJ19" i="79"/>
  <c r="AJ17" i="78"/>
  <c r="AK17" i="78"/>
  <c r="BJ17" i="78" s="1"/>
  <c r="BL17" i="78" s="1"/>
  <c r="AH20" i="79"/>
  <c r="AF20" i="79"/>
  <c r="AD20" i="79"/>
  <c r="AB20" i="79"/>
  <c r="AK18" i="78"/>
  <c r="BJ18" i="78" s="1"/>
  <c r="BL18" i="78" s="1"/>
  <c r="AJ18" i="78"/>
  <c r="AJ20" i="79"/>
  <c r="AX20" i="79" s="1"/>
  <c r="AB24" i="79"/>
  <c r="AH24" i="79"/>
  <c r="AD24" i="79"/>
  <c r="AF24" i="79"/>
  <c r="AJ22" i="78"/>
  <c r="BG22" i="78" s="1"/>
  <c r="BI22" i="78" s="1"/>
  <c r="AJ24" i="79"/>
  <c r="AX24" i="79" s="1"/>
  <c r="AK22" i="78"/>
  <c r="BJ22" i="78" s="1"/>
  <c r="BL22" i="78" s="1"/>
  <c r="BO41" i="78"/>
  <c r="BR40" i="78"/>
  <c r="BQ41" i="78"/>
  <c r="BF14" i="78"/>
  <c r="BD32" i="78"/>
  <c r="BF32" i="78" s="1"/>
  <c r="BO42" i="78"/>
  <c r="BO44" i="78" s="1"/>
  <c r="BE44" i="78"/>
  <c r="BI44" i="78"/>
  <c r="BM44" i="78" s="1"/>
  <c r="BM42" i="78"/>
  <c r="BE55" i="78"/>
  <c r="BI55" i="78" s="1"/>
  <c r="BI53" i="78"/>
  <c r="BL55" i="78"/>
  <c r="BP55" i="78" s="1"/>
  <c r="BP53" i="78"/>
  <c r="BN43" i="78"/>
  <c r="BR43" i="78" s="1"/>
  <c r="BH43" i="78"/>
  <c r="BM41" i="78"/>
  <c r="BP52" i="78"/>
  <c r="BH41" i="78"/>
  <c r="BI52" i="78"/>
  <c r="BP42" i="78"/>
  <c r="BP44" i="78" s="1"/>
  <c r="BF44" i="78"/>
  <c r="BP41" i="78"/>
  <c r="BD44" i="78"/>
  <c r="BN42" i="78"/>
  <c r="BH42" i="78"/>
  <c r="BM15" i="78"/>
  <c r="BQ42" i="78"/>
  <c r="BQ44" i="78" s="1"/>
  <c r="BG44" i="78"/>
  <c r="BR39" i="78"/>
  <c r="BN41" i="78"/>
  <c r="AW23" i="79"/>
  <c r="BJ21" i="78"/>
  <c r="BL21" i="78" s="1"/>
  <c r="AX23" i="79"/>
  <c r="BG21" i="78"/>
  <c r="BI21" i="78" s="1"/>
  <c r="BJ19" i="78"/>
  <c r="BL19" i="78" s="1"/>
  <c r="BG19" i="78"/>
  <c r="BI19" i="78" s="1"/>
  <c r="AX19" i="79"/>
  <c r="BG17" i="78"/>
  <c r="BI17" i="78" s="1"/>
  <c r="AX18" i="79"/>
  <c r="BG16" i="78"/>
  <c r="BJ20" i="78"/>
  <c r="BL20" i="78" s="1"/>
  <c r="BG20" i="78"/>
  <c r="BI20" i="78" s="1"/>
  <c r="AX22" i="79"/>
  <c r="AW28" i="79"/>
  <c r="BG18" i="78"/>
  <c r="BI18" i="78" s="1"/>
  <c r="BJ26" i="78"/>
  <c r="BL26" i="78" s="1"/>
  <c r="AX28" i="79"/>
  <c r="BG26" i="78"/>
  <c r="BI26" i="78" s="1"/>
  <c r="AX31" i="79"/>
  <c r="BJ29" i="78"/>
  <c r="BL29" i="78" s="1"/>
  <c r="BG29" i="78"/>
  <c r="BI29" i="78" s="1"/>
  <c r="AZ44" i="79"/>
  <c r="AZ47" i="79" s="1"/>
  <c r="AX27" i="79"/>
  <c r="BJ25" i="78"/>
  <c r="BL25" i="78" s="1"/>
  <c r="BG25" i="78"/>
  <c r="BI25" i="78" s="1"/>
  <c r="AW31" i="79"/>
  <c r="BJ31" i="78"/>
  <c r="G39" i="77"/>
  <c r="R31" i="72" s="1"/>
  <c r="G41" i="77"/>
  <c r="R33" i="72" s="1"/>
  <c r="G43" i="77"/>
  <c r="R35" i="72" s="1"/>
  <c r="G45" i="77"/>
  <c r="R37" i="72" s="1"/>
  <c r="G47" i="77"/>
  <c r="R39" i="72" s="1"/>
  <c r="G49" i="77"/>
  <c r="R41" i="72" s="1"/>
  <c r="G51" i="77"/>
  <c r="R43" i="72" s="1"/>
  <c r="G53" i="77"/>
  <c r="R45" i="72" s="1"/>
  <c r="G55" i="77"/>
  <c r="R47" i="72" s="1"/>
  <c r="G57" i="77"/>
  <c r="R49" i="72" s="1"/>
  <c r="G59" i="77"/>
  <c r="R51" i="72" s="1"/>
  <c r="G61" i="77"/>
  <c r="R53" i="72" s="1"/>
  <c r="G63" i="77"/>
  <c r="R55" i="72" s="1"/>
  <c r="G65" i="77"/>
  <c r="R57" i="72" s="1"/>
  <c r="G67" i="77"/>
  <c r="R59" i="72" s="1"/>
  <c r="G69" i="77"/>
  <c r="R61" i="72" s="1"/>
  <c r="G71" i="77"/>
  <c r="R63" i="72" s="1"/>
  <c r="G73" i="77"/>
  <c r="R65" i="72" s="1"/>
  <c r="G75" i="77"/>
  <c r="R67" i="72" s="1"/>
  <c r="G77" i="77"/>
  <c r="R69" i="72" s="1"/>
  <c r="G79" i="77"/>
  <c r="R71" i="72" s="1"/>
  <c r="G81" i="77"/>
  <c r="R73" i="72" s="1"/>
  <c r="G83" i="77"/>
  <c r="R75" i="72" s="1"/>
  <c r="G85" i="77"/>
  <c r="R77" i="72" s="1"/>
  <c r="G87" i="77"/>
  <c r="R79" i="72" s="1"/>
  <c r="G89" i="77"/>
  <c r="R81" i="72" s="1"/>
  <c r="G91" i="77"/>
  <c r="R83" i="72" s="1"/>
  <c r="G93" i="77"/>
  <c r="R85" i="72" s="1"/>
  <c r="G95" i="77"/>
  <c r="R87" i="72" s="1"/>
  <c r="G97" i="77"/>
  <c r="R89" i="72" s="1"/>
  <c r="G99" i="77"/>
  <c r="R91" i="72" s="1"/>
  <c r="G101" i="77"/>
  <c r="R93" i="72" s="1"/>
  <c r="G103" i="77"/>
  <c r="R95" i="72" s="1"/>
  <c r="G105" i="77"/>
  <c r="R97" i="72" s="1"/>
  <c r="G107" i="77"/>
  <c r="R99" i="72" s="1"/>
  <c r="G109" i="77"/>
  <c r="B23" i="77"/>
  <c r="B22" i="77"/>
  <c r="B21" i="77"/>
  <c r="B20" i="77"/>
  <c r="B19" i="77"/>
  <c r="B18" i="77"/>
  <c r="B17" i="77"/>
  <c r="B16" i="77"/>
  <c r="B15" i="77"/>
  <c r="B14" i="77"/>
  <c r="B13" i="77"/>
  <c r="B12" i="77"/>
  <c r="B11" i="77"/>
  <c r="AW29" i="79" l="1"/>
  <c r="AW26" i="79"/>
  <c r="BM27" i="78"/>
  <c r="BM28" i="78"/>
  <c r="AW25" i="79"/>
  <c r="AW30" i="79"/>
  <c r="BD51" i="78"/>
  <c r="BJ51" i="78" s="1"/>
  <c r="BI31" i="78"/>
  <c r="BM23" i="78"/>
  <c r="AW19" i="79"/>
  <c r="BM26" i="78"/>
  <c r="BM25" i="78"/>
  <c r="BM21" i="78"/>
  <c r="BM18" i="78"/>
  <c r="BR41" i="78"/>
  <c r="BH44" i="78"/>
  <c r="AW24" i="79"/>
  <c r="AW32" i="79"/>
  <c r="BJ14" i="78"/>
  <c r="BL16" i="78"/>
  <c r="BR42" i="78"/>
  <c r="BN44" i="78"/>
  <c r="BR44" i="78" s="1"/>
  <c r="AW18" i="79"/>
  <c r="BB44" i="79"/>
  <c r="AX33" i="79"/>
  <c r="AW22" i="79"/>
  <c r="BK51" i="78"/>
  <c r="BQ51" i="78" s="1"/>
  <c r="BR51" i="78" s="1"/>
  <c r="BL31" i="78"/>
  <c r="BM31" i="78" s="1"/>
  <c r="AW27" i="79"/>
  <c r="AX34" i="79"/>
  <c r="BB43" i="79" s="1"/>
  <c r="AW33" i="79"/>
  <c r="AW44" i="79"/>
  <c r="BM29" i="78"/>
  <c r="BM22" i="78"/>
  <c r="BM20" i="78"/>
  <c r="BM19" i="78"/>
  <c r="BM17" i="78"/>
  <c r="AW43" i="79"/>
  <c r="AW17" i="79"/>
  <c r="AX43" i="79"/>
  <c r="BI16" i="78"/>
  <c r="BG14" i="78"/>
  <c r="AW20" i="79"/>
  <c r="AZ43" i="79"/>
  <c r="AY43" i="79"/>
  <c r="AW21" i="79"/>
  <c r="W11" i="77"/>
  <c r="U11" i="77"/>
  <c r="V11" i="77"/>
  <c r="W13" i="77"/>
  <c r="U13" i="77"/>
  <c r="V13" i="77"/>
  <c r="W15" i="77"/>
  <c r="U15" i="77"/>
  <c r="V15" i="77"/>
  <c r="W17" i="77"/>
  <c r="U17" i="77"/>
  <c r="V17" i="77"/>
  <c r="W19" i="77"/>
  <c r="U19" i="77"/>
  <c r="V19" i="77"/>
  <c r="W21" i="77"/>
  <c r="U21" i="77"/>
  <c r="V21" i="77"/>
  <c r="W23" i="77"/>
  <c r="U23" i="77"/>
  <c r="V23" i="77"/>
  <c r="W25" i="77"/>
  <c r="U25" i="77"/>
  <c r="V25" i="77"/>
  <c r="W27" i="77"/>
  <c r="U27" i="77"/>
  <c r="V27" i="77"/>
  <c r="W29" i="77"/>
  <c r="U29" i="77"/>
  <c r="V29" i="77"/>
  <c r="W31" i="77"/>
  <c r="U31" i="77"/>
  <c r="V31" i="77"/>
  <c r="W33" i="77"/>
  <c r="U33" i="77"/>
  <c r="V33" i="77"/>
  <c r="W35" i="77"/>
  <c r="U35" i="77"/>
  <c r="V35" i="77"/>
  <c r="W37" i="77"/>
  <c r="U37" i="77"/>
  <c r="V37" i="77"/>
  <c r="V12" i="77"/>
  <c r="W12" i="77"/>
  <c r="U12" i="77"/>
  <c r="V14" i="77"/>
  <c r="W14" i="77"/>
  <c r="U14" i="77"/>
  <c r="V16" i="77"/>
  <c r="W16" i="77"/>
  <c r="U16" i="77"/>
  <c r="V18" i="77"/>
  <c r="W18" i="77"/>
  <c r="U18" i="77"/>
  <c r="V20" i="77"/>
  <c r="W20" i="77"/>
  <c r="U20" i="77"/>
  <c r="V22" i="77"/>
  <c r="W22" i="77"/>
  <c r="U22" i="77"/>
  <c r="V24" i="77"/>
  <c r="W24" i="77"/>
  <c r="U24" i="77"/>
  <c r="V26" i="77"/>
  <c r="W26" i="77"/>
  <c r="U26" i="77"/>
  <c r="V28" i="77"/>
  <c r="W28" i="77"/>
  <c r="U28" i="77"/>
  <c r="V30" i="77"/>
  <c r="W30" i="77"/>
  <c r="U30" i="77"/>
  <c r="V32" i="77"/>
  <c r="W32" i="77"/>
  <c r="U32" i="77"/>
  <c r="V34" i="77"/>
  <c r="W34" i="77"/>
  <c r="U34" i="77"/>
  <c r="V36" i="77"/>
  <c r="W36" i="77"/>
  <c r="U36" i="77"/>
  <c r="V38" i="77"/>
  <c r="W38" i="77"/>
  <c r="U38" i="77"/>
  <c r="X11" i="77"/>
  <c r="S11" i="77"/>
  <c r="Q11" i="77"/>
  <c r="O11" i="77"/>
  <c r="M11" i="77"/>
  <c r="K11" i="77"/>
  <c r="I11" i="77"/>
  <c r="R11" i="77"/>
  <c r="N11" i="77"/>
  <c r="J11" i="77"/>
  <c r="T11" i="77"/>
  <c r="P11" i="77"/>
  <c r="L11" i="77"/>
  <c r="H11" i="77"/>
  <c r="X12" i="77"/>
  <c r="S12" i="77"/>
  <c r="Q12" i="77"/>
  <c r="O12" i="77"/>
  <c r="M12" i="77"/>
  <c r="K12" i="77"/>
  <c r="I12" i="77"/>
  <c r="T12" i="77"/>
  <c r="P12" i="77"/>
  <c r="L12" i="77"/>
  <c r="H12" i="77"/>
  <c r="R12" i="77"/>
  <c r="N12" i="77"/>
  <c r="J12" i="77"/>
  <c r="X14" i="77"/>
  <c r="S14" i="77"/>
  <c r="Q14" i="77"/>
  <c r="O14" i="77"/>
  <c r="M14" i="77"/>
  <c r="K14" i="77"/>
  <c r="I14" i="77"/>
  <c r="T14" i="77"/>
  <c r="P14" i="77"/>
  <c r="L14" i="77"/>
  <c r="H14" i="77"/>
  <c r="R14" i="77"/>
  <c r="N14" i="77"/>
  <c r="J14" i="77"/>
  <c r="X16" i="77"/>
  <c r="S16" i="77"/>
  <c r="Q16" i="77"/>
  <c r="O16" i="77"/>
  <c r="M16" i="77"/>
  <c r="K16" i="77"/>
  <c r="I16" i="77"/>
  <c r="T16" i="77"/>
  <c r="P16" i="77"/>
  <c r="L16" i="77"/>
  <c r="H16" i="77"/>
  <c r="R16" i="77"/>
  <c r="N16" i="77"/>
  <c r="J16" i="77"/>
  <c r="X18" i="77"/>
  <c r="S18" i="77"/>
  <c r="Q18" i="77"/>
  <c r="O18" i="77"/>
  <c r="M18" i="77"/>
  <c r="K18" i="77"/>
  <c r="I18" i="77"/>
  <c r="T18" i="77"/>
  <c r="R18" i="77"/>
  <c r="P18" i="77"/>
  <c r="N18" i="77"/>
  <c r="L18" i="77"/>
  <c r="H18" i="77"/>
  <c r="J18" i="77"/>
  <c r="X20" i="77"/>
  <c r="S20" i="77"/>
  <c r="T20" i="77"/>
  <c r="Q20" i="77"/>
  <c r="O20" i="77"/>
  <c r="M20" i="77"/>
  <c r="K20" i="77"/>
  <c r="I20" i="77"/>
  <c r="R20" i="77"/>
  <c r="P20" i="77"/>
  <c r="N20" i="77"/>
  <c r="L20" i="77"/>
  <c r="J20" i="77"/>
  <c r="H20" i="77"/>
  <c r="X22" i="77"/>
  <c r="S22" i="77"/>
  <c r="Q22" i="77"/>
  <c r="O22" i="77"/>
  <c r="M22" i="77"/>
  <c r="K22" i="77"/>
  <c r="I22" i="77"/>
  <c r="T22" i="77"/>
  <c r="P22" i="77"/>
  <c r="L22" i="77"/>
  <c r="H22" i="77"/>
  <c r="R22" i="77"/>
  <c r="N22" i="77"/>
  <c r="J22" i="77"/>
  <c r="X24" i="77"/>
  <c r="S24" i="77"/>
  <c r="Q24" i="77"/>
  <c r="O24" i="77"/>
  <c r="M24" i="77"/>
  <c r="K24" i="77"/>
  <c r="I24" i="77"/>
  <c r="T24" i="77"/>
  <c r="P24" i="77"/>
  <c r="L24" i="77"/>
  <c r="H24" i="77"/>
  <c r="R24" i="77"/>
  <c r="N24" i="77"/>
  <c r="J24" i="77"/>
  <c r="X26" i="77"/>
  <c r="S26" i="77"/>
  <c r="Q26" i="77"/>
  <c r="O26" i="77"/>
  <c r="M26" i="77"/>
  <c r="K26" i="77"/>
  <c r="I26" i="77"/>
  <c r="T26" i="77"/>
  <c r="P26" i="77"/>
  <c r="L26" i="77"/>
  <c r="H26" i="77"/>
  <c r="R26" i="77"/>
  <c r="N26" i="77"/>
  <c r="J26" i="77"/>
  <c r="X28" i="77"/>
  <c r="S28" i="77"/>
  <c r="Q28" i="77"/>
  <c r="O28" i="77"/>
  <c r="M28" i="77"/>
  <c r="K28" i="77"/>
  <c r="I28" i="77"/>
  <c r="R28" i="77"/>
  <c r="N28" i="77"/>
  <c r="J28" i="77"/>
  <c r="P28" i="77"/>
  <c r="H28" i="77"/>
  <c r="T28" i="77"/>
  <c r="L28" i="77"/>
  <c r="X30" i="77"/>
  <c r="S30" i="77"/>
  <c r="Q30" i="77"/>
  <c r="O30" i="77"/>
  <c r="M30" i="77"/>
  <c r="K30" i="77"/>
  <c r="I30" i="77"/>
  <c r="R30" i="77"/>
  <c r="N30" i="77"/>
  <c r="J30" i="77"/>
  <c r="T30" i="77"/>
  <c r="L30" i="77"/>
  <c r="P30" i="77"/>
  <c r="H30" i="77"/>
  <c r="X32" i="77"/>
  <c r="S32" i="77"/>
  <c r="Q32" i="77"/>
  <c r="O32" i="77"/>
  <c r="M32" i="77"/>
  <c r="K32" i="77"/>
  <c r="I32" i="77"/>
  <c r="R32" i="77"/>
  <c r="N32" i="77"/>
  <c r="J32" i="77"/>
  <c r="P32" i="77"/>
  <c r="H32" i="77"/>
  <c r="T32" i="77"/>
  <c r="L32" i="77"/>
  <c r="X34" i="77"/>
  <c r="S34" i="77"/>
  <c r="Q34" i="77"/>
  <c r="O34" i="77"/>
  <c r="M34" i="77"/>
  <c r="K34" i="77"/>
  <c r="I34" i="77"/>
  <c r="R34" i="77"/>
  <c r="N34" i="77"/>
  <c r="J34" i="77"/>
  <c r="T34" i="77"/>
  <c r="L34" i="77"/>
  <c r="P34" i="77"/>
  <c r="H34" i="77"/>
  <c r="X36" i="77"/>
  <c r="S36" i="77"/>
  <c r="Q36" i="77"/>
  <c r="O36" i="77"/>
  <c r="M36" i="77"/>
  <c r="K36" i="77"/>
  <c r="I36" i="77"/>
  <c r="R36" i="77"/>
  <c r="N36" i="77"/>
  <c r="J36" i="77"/>
  <c r="P36" i="77"/>
  <c r="H36" i="77"/>
  <c r="T36" i="77"/>
  <c r="L36" i="77"/>
  <c r="X38" i="77"/>
  <c r="S38" i="77"/>
  <c r="Q38" i="77"/>
  <c r="O38" i="77"/>
  <c r="M38" i="77"/>
  <c r="K38" i="77"/>
  <c r="I38" i="77"/>
  <c r="R38" i="77"/>
  <c r="N38" i="77"/>
  <c r="J38" i="77"/>
  <c r="T38" i="77"/>
  <c r="L38" i="77"/>
  <c r="P38" i="77"/>
  <c r="H38" i="77"/>
  <c r="X13" i="77"/>
  <c r="S13" i="77"/>
  <c r="Q13" i="77"/>
  <c r="O13" i="77"/>
  <c r="M13" i="77"/>
  <c r="K13" i="77"/>
  <c r="I13" i="77"/>
  <c r="R13" i="77"/>
  <c r="N13" i="77"/>
  <c r="J13" i="77"/>
  <c r="T13" i="77"/>
  <c r="P13" i="77"/>
  <c r="L13" i="77"/>
  <c r="H13" i="77"/>
  <c r="X15" i="77"/>
  <c r="S15" i="77"/>
  <c r="Q15" i="77"/>
  <c r="O15" i="77"/>
  <c r="M15" i="77"/>
  <c r="K15" i="77"/>
  <c r="I15" i="77"/>
  <c r="R15" i="77"/>
  <c r="N15" i="77"/>
  <c r="J15" i="77"/>
  <c r="T15" i="77"/>
  <c r="P15" i="77"/>
  <c r="L15" i="77"/>
  <c r="H15" i="77"/>
  <c r="X17" i="77"/>
  <c r="S17" i="77"/>
  <c r="Q17" i="77"/>
  <c r="O17" i="77"/>
  <c r="M17" i="77"/>
  <c r="K17" i="77"/>
  <c r="I17" i="77"/>
  <c r="R17" i="77"/>
  <c r="N17" i="77"/>
  <c r="J17" i="77"/>
  <c r="T17" i="77"/>
  <c r="P17" i="77"/>
  <c r="L17" i="77"/>
  <c r="H17" i="77"/>
  <c r="X19" i="77"/>
  <c r="S19" i="77"/>
  <c r="Q19" i="77"/>
  <c r="O19" i="77"/>
  <c r="M19" i="77"/>
  <c r="K19" i="77"/>
  <c r="I19" i="77"/>
  <c r="T19" i="77"/>
  <c r="R19" i="77"/>
  <c r="P19" i="77"/>
  <c r="N19" i="77"/>
  <c r="L19" i="77"/>
  <c r="J19" i="77"/>
  <c r="H19" i="77"/>
  <c r="X21" i="77"/>
  <c r="S21" i="77"/>
  <c r="Q21" i="77"/>
  <c r="O21" i="77"/>
  <c r="M21" i="77"/>
  <c r="K21" i="77"/>
  <c r="I21" i="77"/>
  <c r="R21" i="77"/>
  <c r="N21" i="77"/>
  <c r="J21" i="77"/>
  <c r="T21" i="77"/>
  <c r="P21" i="77"/>
  <c r="L21" i="77"/>
  <c r="H21" i="77"/>
  <c r="X23" i="77"/>
  <c r="S23" i="77"/>
  <c r="Q23" i="77"/>
  <c r="O23" i="77"/>
  <c r="M23" i="77"/>
  <c r="K23" i="77"/>
  <c r="I23" i="77"/>
  <c r="R23" i="77"/>
  <c r="N23" i="77"/>
  <c r="J23" i="77"/>
  <c r="T23" i="77"/>
  <c r="P23" i="77"/>
  <c r="L23" i="77"/>
  <c r="H23" i="77"/>
  <c r="X25" i="77"/>
  <c r="S25" i="77"/>
  <c r="Q25" i="77"/>
  <c r="O25" i="77"/>
  <c r="M25" i="77"/>
  <c r="K25" i="77"/>
  <c r="I25" i="77"/>
  <c r="R25" i="77"/>
  <c r="N25" i="77"/>
  <c r="J25" i="77"/>
  <c r="T25" i="77"/>
  <c r="P25" i="77"/>
  <c r="L25" i="77"/>
  <c r="H25" i="77"/>
  <c r="X27" i="77"/>
  <c r="S27" i="77"/>
  <c r="Q27" i="77"/>
  <c r="O27" i="77"/>
  <c r="M27" i="77"/>
  <c r="K27" i="77"/>
  <c r="I27" i="77"/>
  <c r="T27" i="77"/>
  <c r="P27" i="77"/>
  <c r="L27" i="77"/>
  <c r="H27" i="77"/>
  <c r="N27" i="77"/>
  <c r="R27" i="77"/>
  <c r="J27" i="77"/>
  <c r="X29" i="77"/>
  <c r="S29" i="77"/>
  <c r="Q29" i="77"/>
  <c r="O29" i="77"/>
  <c r="M29" i="77"/>
  <c r="K29" i="77"/>
  <c r="I29" i="77"/>
  <c r="T29" i="77"/>
  <c r="P29" i="77"/>
  <c r="L29" i="77"/>
  <c r="H29" i="77"/>
  <c r="R29" i="77"/>
  <c r="J29" i="77"/>
  <c r="N29" i="77"/>
  <c r="X31" i="77"/>
  <c r="S31" i="77"/>
  <c r="Q31" i="77"/>
  <c r="O31" i="77"/>
  <c r="M31" i="77"/>
  <c r="K31" i="77"/>
  <c r="I31" i="77"/>
  <c r="T31" i="77"/>
  <c r="P31" i="77"/>
  <c r="L31" i="77"/>
  <c r="H31" i="77"/>
  <c r="N31" i="77"/>
  <c r="R31" i="77"/>
  <c r="J31" i="77"/>
  <c r="X33" i="77"/>
  <c r="S33" i="77"/>
  <c r="Q33" i="77"/>
  <c r="O33" i="77"/>
  <c r="M33" i="77"/>
  <c r="K33" i="77"/>
  <c r="I33" i="77"/>
  <c r="T33" i="77"/>
  <c r="P33" i="77"/>
  <c r="L33" i="77"/>
  <c r="H33" i="77"/>
  <c r="R33" i="77"/>
  <c r="J33" i="77"/>
  <c r="N33" i="77"/>
  <c r="X35" i="77"/>
  <c r="S35" i="77"/>
  <c r="Q35" i="77"/>
  <c r="O35" i="77"/>
  <c r="M35" i="77"/>
  <c r="K35" i="77"/>
  <c r="I35" i="77"/>
  <c r="T35" i="77"/>
  <c r="P35" i="77"/>
  <c r="L35" i="77"/>
  <c r="H35" i="77"/>
  <c r="N35" i="77"/>
  <c r="R35" i="77"/>
  <c r="J35" i="77"/>
  <c r="X37" i="77"/>
  <c r="S37" i="77"/>
  <c r="Q37" i="77"/>
  <c r="O37" i="77"/>
  <c r="M37" i="77"/>
  <c r="K37" i="77"/>
  <c r="I37" i="77"/>
  <c r="T37" i="77"/>
  <c r="P37" i="77"/>
  <c r="L37" i="77"/>
  <c r="H37" i="77"/>
  <c r="R37" i="77"/>
  <c r="J37" i="77"/>
  <c r="N37" i="77"/>
  <c r="BB45" i="79" l="1"/>
  <c r="BB46" i="79" s="1"/>
  <c r="AX35" i="79"/>
  <c r="AX46" i="79"/>
  <c r="AX48" i="79" s="1"/>
  <c r="AX45" i="79"/>
  <c r="BA44" i="79"/>
  <c r="AW47" i="79"/>
  <c r="BA47" i="79" s="1"/>
  <c r="AW34" i="79"/>
  <c r="AW35" i="79" s="1"/>
  <c r="AW46" i="79"/>
  <c r="BA43" i="79"/>
  <c r="AW45" i="79"/>
  <c r="AY46" i="79"/>
  <c r="AY48" i="79" s="1"/>
  <c r="AY45" i="79"/>
  <c r="AZ45" i="79"/>
  <c r="AZ46" i="79"/>
  <c r="AZ48" i="79" s="1"/>
  <c r="BM16" i="78"/>
  <c r="BK50" i="78"/>
  <c r="BJ32" i="78"/>
  <c r="BL32" i="78" s="1"/>
  <c r="BL14" i="78"/>
  <c r="BD50" i="78"/>
  <c r="BG32" i="78"/>
  <c r="BI32" i="78" s="1"/>
  <c r="BI14" i="78"/>
  <c r="AI30" i="79"/>
  <c r="AK30" i="79"/>
  <c r="AC30" i="79"/>
  <c r="AE30" i="79"/>
  <c r="AG30" i="79"/>
  <c r="AG31" i="79"/>
  <c r="AI31" i="79"/>
  <c r="AK31" i="79"/>
  <c r="AC31" i="79"/>
  <c r="AE31" i="79"/>
  <c r="AI32" i="79"/>
  <c r="AG32" i="79"/>
  <c r="AE32" i="79"/>
  <c r="AC32" i="79"/>
  <c r="AE17" i="79"/>
  <c r="AG17" i="79"/>
  <c r="AE25" i="79"/>
  <c r="AG25" i="79"/>
  <c r="AE19" i="79"/>
  <c r="AG19" i="79"/>
  <c r="AE27" i="79"/>
  <c r="AG27" i="79"/>
  <c r="AG20" i="79"/>
  <c r="AE20" i="79"/>
  <c r="AG24" i="79"/>
  <c r="AE24" i="79"/>
  <c r="AG28" i="79"/>
  <c r="AE28" i="79"/>
  <c r="AE21" i="79"/>
  <c r="AG21" i="79"/>
  <c r="AE29" i="79"/>
  <c r="AG29" i="79"/>
  <c r="AE23" i="79"/>
  <c r="AG23" i="79"/>
  <c r="AG18" i="79"/>
  <c r="AC18" i="79"/>
  <c r="AE18" i="79"/>
  <c r="AG22" i="79"/>
  <c r="AE22" i="79"/>
  <c r="AE26" i="79"/>
  <c r="AG26" i="79"/>
  <c r="AE33" i="79"/>
  <c r="AG33" i="79"/>
  <c r="AK17" i="79"/>
  <c r="AC17" i="79"/>
  <c r="AI17" i="79"/>
  <c r="AI25" i="79"/>
  <c r="AK25" i="79"/>
  <c r="AC25" i="79"/>
  <c r="AI19" i="79"/>
  <c r="AK19" i="79"/>
  <c r="AC19" i="79"/>
  <c r="AK27" i="79"/>
  <c r="AC27" i="79"/>
  <c r="AI27" i="79"/>
  <c r="AK20" i="79"/>
  <c r="AC20" i="79"/>
  <c r="AI20" i="79"/>
  <c r="AI24" i="79"/>
  <c r="AK24" i="79"/>
  <c r="AC24" i="79"/>
  <c r="AI28" i="79"/>
  <c r="AK28" i="79"/>
  <c r="AC28" i="79"/>
  <c r="AI21" i="79"/>
  <c r="AK21" i="79"/>
  <c r="AC21" i="79"/>
  <c r="AI29" i="79"/>
  <c r="AK29" i="79"/>
  <c r="AC29" i="79"/>
  <c r="AK23" i="79"/>
  <c r="AC23" i="79"/>
  <c r="AI23" i="79"/>
  <c r="AK18" i="79"/>
  <c r="AI18" i="79"/>
  <c r="AI22" i="79"/>
  <c r="AK22" i="79"/>
  <c r="AC22" i="79"/>
  <c r="AI26" i="79"/>
  <c r="AK26" i="79"/>
  <c r="AC26" i="79"/>
  <c r="AI33" i="79"/>
  <c r="AK33" i="79"/>
  <c r="AC33" i="79"/>
  <c r="G25" i="77"/>
  <c r="R17" i="72" s="1"/>
  <c r="G11" i="77"/>
  <c r="R3" i="72" s="1"/>
  <c r="G18" i="77"/>
  <c r="R10" i="72" s="1"/>
  <c r="G23" i="77"/>
  <c r="R15" i="72" s="1"/>
  <c r="G21" i="77"/>
  <c r="R13" i="72" s="1"/>
  <c r="G19" i="77"/>
  <c r="R11" i="72" s="1"/>
  <c r="G17" i="77"/>
  <c r="R9" i="72" s="1"/>
  <c r="G15" i="77"/>
  <c r="R7" i="72" s="1"/>
  <c r="G13" i="77"/>
  <c r="R5" i="72" s="1"/>
  <c r="G38" i="77"/>
  <c r="R30" i="72" s="1"/>
  <c r="G36" i="77"/>
  <c r="R28" i="72" s="1"/>
  <c r="G34" i="77"/>
  <c r="R26" i="72" s="1"/>
  <c r="G32" i="77"/>
  <c r="R24" i="72" s="1"/>
  <c r="G30" i="77"/>
  <c r="R22" i="72" s="1"/>
  <c r="G28" i="77"/>
  <c r="R20" i="72" s="1"/>
  <c r="G20" i="77"/>
  <c r="R12" i="72" s="1"/>
  <c r="G37" i="77"/>
  <c r="R29" i="72" s="1"/>
  <c r="G35" i="77"/>
  <c r="R27" i="72" s="1"/>
  <c r="G33" i="77"/>
  <c r="R25" i="72" s="1"/>
  <c r="G31" i="77"/>
  <c r="R23" i="72" s="1"/>
  <c r="G29" i="77"/>
  <c r="R21" i="72" s="1"/>
  <c r="G27" i="77"/>
  <c r="R19" i="72" s="1"/>
  <c r="G26" i="77"/>
  <c r="R18" i="72" s="1"/>
  <c r="G24" i="77"/>
  <c r="R16" i="72" s="1"/>
  <c r="G22" i="77"/>
  <c r="R14" i="72" s="1"/>
  <c r="G16" i="77"/>
  <c r="R8" i="72" s="1"/>
  <c r="G14" i="77"/>
  <c r="R6" i="72" s="1"/>
  <c r="G12" i="77"/>
  <c r="R4" i="72" s="1"/>
  <c r="BB47" i="79" l="1"/>
  <c r="BB48" i="79" s="1"/>
  <c r="BM14" i="78"/>
  <c r="BK52" i="78"/>
  <c r="BQ50" i="78"/>
  <c r="BA45" i="79"/>
  <c r="BA46" i="79"/>
  <c r="AW48" i="79"/>
  <c r="BA48" i="79" s="1"/>
  <c r="BM32" i="78"/>
  <c r="BD52" i="78"/>
  <c r="BJ50" i="78"/>
  <c r="AL16" i="78"/>
  <c r="AL18" i="78"/>
  <c r="AL20" i="78"/>
  <c r="AL22" i="78"/>
  <c r="AL24" i="78"/>
  <c r="AL26" i="78"/>
  <c r="AL31" i="78"/>
  <c r="AL15" i="78"/>
  <c r="AL17" i="78"/>
  <c r="AL19" i="78"/>
  <c r="AL21" i="78"/>
  <c r="AL23" i="78"/>
  <c r="AL25" i="78"/>
  <c r="AL27" i="78"/>
  <c r="BD53" i="78" l="1"/>
  <c r="BD54" i="78"/>
  <c r="BJ54" i="78" s="1"/>
  <c r="BJ52" i="78"/>
  <c r="BR50" i="78"/>
  <c r="BQ52" i="78"/>
  <c r="BK54" i="78"/>
  <c r="BQ54" i="78" s="1"/>
  <c r="BK53" i="78"/>
  <c r="BR54" i="78" l="1"/>
  <c r="BR52" i="78"/>
  <c r="BK55" i="78"/>
  <c r="BQ55" i="78" s="1"/>
  <c r="BQ53" i="78"/>
  <c r="BD55" i="78"/>
  <c r="BJ55" i="78" s="1"/>
  <c r="BJ53" i="78"/>
  <c r="BR53" i="78" l="1"/>
  <c r="BR55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10" authorId="0" shapeId="0" xr:uid="{50AE26B0-7D87-4BFE-9B78-2F1A10EF9395}">
      <text>
        <r>
          <rPr>
            <sz val="9"/>
            <color indexed="81"/>
            <rFont val="ＭＳ 明朝"/>
            <family val="1"/>
            <charset val="128"/>
          </rPr>
          <t>「&lt;=12」は年計
「1」～「12」は各月の計</t>
        </r>
      </text>
    </comment>
  </commentList>
</comments>
</file>

<file path=xl/sharedStrings.xml><?xml version="1.0" encoding="utf-8"?>
<sst xmlns="http://schemas.openxmlformats.org/spreadsheetml/2006/main" count="442" uniqueCount="192">
  <si>
    <t>米</t>
    <rPh sb="0" eb="1">
      <t>コメ</t>
    </rPh>
    <phoneticPr fontId="2"/>
  </si>
  <si>
    <t>田植</t>
    <rPh sb="0" eb="2">
      <t>タウ</t>
    </rPh>
    <phoneticPr fontId="2"/>
  </si>
  <si>
    <t>基肥</t>
    <rPh sb="0" eb="2">
      <t>モトゴエ</t>
    </rPh>
    <phoneticPr fontId="2"/>
  </si>
  <si>
    <t>大豆</t>
    <rPh sb="0" eb="2">
      <t>ダイズ</t>
    </rPh>
    <phoneticPr fontId="2"/>
  </si>
  <si>
    <t>時間</t>
    <rPh sb="0" eb="2">
      <t>ジカン</t>
    </rPh>
    <phoneticPr fontId="2"/>
  </si>
  <si>
    <t>耕起整地</t>
    <rPh sb="0" eb="2">
      <t>コウキ</t>
    </rPh>
    <rPh sb="2" eb="4">
      <t>セイチ</t>
    </rPh>
    <phoneticPr fontId="2"/>
  </si>
  <si>
    <t>追肥</t>
    <rPh sb="0" eb="2">
      <t>ツイヒ</t>
    </rPh>
    <phoneticPr fontId="2"/>
  </si>
  <si>
    <t>防除</t>
    <rPh sb="0" eb="2">
      <t>ボウジョ</t>
    </rPh>
    <phoneticPr fontId="2"/>
  </si>
  <si>
    <t>収穫</t>
    <rPh sb="0" eb="2">
      <t>シュウカク</t>
    </rPh>
    <phoneticPr fontId="2"/>
  </si>
  <si>
    <t>種子予措</t>
    <rPh sb="0" eb="2">
      <t>シュシ</t>
    </rPh>
    <rPh sb="2" eb="3">
      <t>ヨ</t>
    </rPh>
    <rPh sb="3" eb="4">
      <t>ソ</t>
    </rPh>
    <phoneticPr fontId="2"/>
  </si>
  <si>
    <t>育苗</t>
    <rPh sb="0" eb="2">
      <t>イクビョウ</t>
    </rPh>
    <phoneticPr fontId="2"/>
  </si>
  <si>
    <t>月</t>
    <rPh sb="0" eb="1">
      <t>ツキ</t>
    </rPh>
    <phoneticPr fontId="6"/>
  </si>
  <si>
    <t>除草</t>
    <rPh sb="0" eb="2">
      <t>ジョソウ</t>
    </rPh>
    <phoneticPr fontId="2"/>
  </si>
  <si>
    <t>管理</t>
    <rPh sb="0" eb="2">
      <t>カンリ</t>
    </rPh>
    <phoneticPr fontId="2"/>
  </si>
  <si>
    <t>刈取脱穀</t>
    <rPh sb="0" eb="1">
      <t>カ</t>
    </rPh>
    <rPh sb="1" eb="2">
      <t>ト</t>
    </rPh>
    <rPh sb="2" eb="4">
      <t>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</si>
  <si>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</si>
  <si>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</si>
  <si>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間接労働</t>
    <rPh sb="0" eb="2">
      <t>カンセツ</t>
    </rPh>
    <rPh sb="2" eb="4">
      <t>ロウドウ</t>
    </rPh>
    <phoneticPr fontId="2"/>
  </si>
  <si>
    <t>性別</t>
    <rPh sb="0" eb="2">
      <t>セイベツ</t>
    </rPh>
    <phoneticPr fontId="2"/>
  </si>
  <si>
    <t>年齢</t>
    <rPh sb="0" eb="2">
      <t>ネンレイ</t>
    </rPh>
    <phoneticPr fontId="2"/>
  </si>
  <si>
    <t>直まき</t>
    <rPh sb="0" eb="1">
      <t>ジカ</t>
    </rPh>
    <phoneticPr fontId="2"/>
  </si>
  <si>
    <t>作業
種類</t>
    <rPh sb="0" eb="2">
      <t>サギョウ</t>
    </rPh>
    <rPh sb="3" eb="5">
      <t>シュルイ</t>
    </rPh>
    <phoneticPr fontId="6"/>
  </si>
  <si>
    <t>内容例示</t>
    <rPh sb="0" eb="2">
      <t>ナイヨウ</t>
    </rPh>
    <rPh sb="2" eb="4">
      <t>レイジ</t>
    </rPh>
    <phoneticPr fontId="6"/>
  </si>
  <si>
    <t>氏名</t>
    <rPh sb="0" eb="2">
      <t>シメイ</t>
    </rPh>
    <phoneticPr fontId="6"/>
  </si>
  <si>
    <t>雇用労働
時間
男</t>
    <rPh sb="0" eb="2">
      <t>コヨウ</t>
    </rPh>
    <rPh sb="2" eb="4">
      <t>ロウドウ</t>
    </rPh>
    <rPh sb="5" eb="7">
      <t>ジカン</t>
    </rPh>
    <rPh sb="9" eb="10">
      <t>オトコ</t>
    </rPh>
    <phoneticPr fontId="6"/>
  </si>
  <si>
    <t>雇用労働
時間
女</t>
    <rPh sb="0" eb="2">
      <t>コヨウ</t>
    </rPh>
    <rPh sb="2" eb="4">
      <t>ロウドウ</t>
    </rPh>
    <rPh sb="5" eb="7">
      <t>ジカン</t>
    </rPh>
    <rPh sb="9" eb="10">
      <t>オンナ</t>
    </rPh>
    <phoneticPr fontId="6"/>
  </si>
  <si>
    <t>雇用形態</t>
    <rPh sb="0" eb="2">
      <t>コヨウ</t>
    </rPh>
    <rPh sb="2" eb="4">
      <t>ケイタイ</t>
    </rPh>
    <phoneticPr fontId="2"/>
  </si>
  <si>
    <t>集計月</t>
    <rPh sb="0" eb="2">
      <t>シュウケイ</t>
    </rPh>
    <rPh sb="2" eb="3">
      <t>ツキ</t>
    </rPh>
    <phoneticPr fontId="2"/>
  </si>
  <si>
    <t>作業者</t>
    <rPh sb="0" eb="3">
      <t>サギョウシャ</t>
    </rPh>
    <phoneticPr fontId="6"/>
  </si>
  <si>
    <t>労働時間</t>
    <rPh sb="0" eb="2">
      <t>ロウドウ</t>
    </rPh>
    <rPh sb="2" eb="4">
      <t>ジカン</t>
    </rPh>
    <phoneticPr fontId="2"/>
  </si>
  <si>
    <t>&lt;選択&gt;</t>
    <phoneticPr fontId="2"/>
  </si>
  <si>
    <t>&lt;入力&gt;</t>
    <rPh sb="1" eb="3">
      <t>ニュウリョク</t>
    </rPh>
    <phoneticPr fontId="2"/>
  </si>
  <si>
    <t>&lt;選択&gt;</t>
    <rPh sb="1" eb="3">
      <t>センタク</t>
    </rPh>
    <phoneticPr fontId="2"/>
  </si>
  <si>
    <t>&lt;=12</t>
  </si>
  <si>
    <t>性別</t>
    <rPh sb="0" eb="2">
      <t>セイベツ</t>
    </rPh>
    <phoneticPr fontId="21"/>
  </si>
  <si>
    <t>家族・雇用</t>
    <rPh sb="0" eb="2">
      <t>カゾク</t>
    </rPh>
    <rPh sb="3" eb="5">
      <t>コヨウ</t>
    </rPh>
    <phoneticPr fontId="5"/>
  </si>
  <si>
    <t>時間</t>
  </si>
  <si>
    <t>設定</t>
    <rPh sb="0" eb="2">
      <t>セッテイ</t>
    </rPh>
    <phoneticPr fontId="2"/>
  </si>
  <si>
    <r>
      <t>集計</t>
    </r>
    <r>
      <rPr>
        <sz val="6"/>
        <rFont val="ＭＳ Ｐゴシック"/>
        <family val="3"/>
        <charset val="128"/>
      </rPr>
      <t xml:space="preserve"> &lt;自動&gt;</t>
    </r>
    <rPh sb="0" eb="2">
      <t>シュウケイ</t>
    </rPh>
    <rPh sb="4" eb="6">
      <t>ジドウ</t>
    </rPh>
    <phoneticPr fontId="2"/>
  </si>
  <si>
    <r>
      <t xml:space="preserve">作業
</t>
    </r>
    <r>
      <rPr>
        <sz val="6"/>
        <rFont val="ＭＳ Ｐゴシック"/>
        <family val="3"/>
        <charset val="128"/>
        <scheme val="minor"/>
      </rPr>
      <t>&lt;入力&gt;</t>
    </r>
    <rPh sb="0" eb="2">
      <t>サギョウ</t>
    </rPh>
    <rPh sb="4" eb="6">
      <t>ニュウリョク</t>
    </rPh>
    <phoneticPr fontId="6"/>
  </si>
  <si>
    <r>
      <t xml:space="preserve">→集計分類
</t>
    </r>
    <r>
      <rPr>
        <sz val="6"/>
        <rFont val="ＭＳ Ｐゴシック"/>
        <family val="3"/>
        <charset val="128"/>
        <scheme val="minor"/>
      </rPr>
      <t>&lt;選択&gt;</t>
    </r>
    <rPh sb="1" eb="3">
      <t>シュウケイ</t>
    </rPh>
    <rPh sb="3" eb="5">
      <t>ブンルイ</t>
    </rPh>
    <rPh sb="7" eb="9">
      <t>センタク</t>
    </rPh>
    <phoneticPr fontId="6"/>
  </si>
  <si>
    <r>
      <t xml:space="preserve">性別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セイベツ</t>
    </rPh>
    <rPh sb="4" eb="6">
      <t>ジドウ</t>
    </rPh>
    <phoneticPr fontId="2"/>
  </si>
  <si>
    <r>
      <t xml:space="preserve">年齢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ネンレイ</t>
    </rPh>
    <rPh sb="4" eb="6">
      <t>ジドウ</t>
    </rPh>
    <phoneticPr fontId="2"/>
  </si>
  <si>
    <r>
      <t xml:space="preserve">雇用形態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コヨウ</t>
    </rPh>
    <rPh sb="2" eb="4">
      <t>ケイタイ</t>
    </rPh>
    <rPh sb="6" eb="8">
      <t>ジドウ</t>
    </rPh>
    <phoneticPr fontId="2"/>
  </si>
  <si>
    <r>
      <t xml:space="preserve">労働時間
</t>
    </r>
    <r>
      <rPr>
        <sz val="6"/>
        <rFont val="ＭＳ Ｐゴシック"/>
        <family val="3"/>
        <charset val="128"/>
        <scheme val="minor"/>
      </rPr>
      <t>&lt;入力&gt;</t>
    </r>
    <rPh sb="0" eb="2">
      <t>ロウドウ</t>
    </rPh>
    <rPh sb="2" eb="4">
      <t>ジカン</t>
    </rPh>
    <rPh sb="6" eb="8">
      <t>ニュウリョク</t>
    </rPh>
    <phoneticPr fontId="2"/>
  </si>
  <si>
    <t>単位：時間</t>
    <rPh sb="0" eb="2">
      <t>タンイ</t>
    </rPh>
    <rPh sb="3" eb="5">
      <t>ジカン</t>
    </rPh>
    <phoneticPr fontId="28"/>
  </si>
  <si>
    <t>性別</t>
    <rPh sb="0" eb="2">
      <t>セイベツ</t>
    </rPh>
    <phoneticPr fontId="6"/>
  </si>
  <si>
    <t>年齢</t>
    <rPh sb="0" eb="2">
      <t>ネンレイ</t>
    </rPh>
    <phoneticPr fontId="6"/>
  </si>
  <si>
    <t>【職員記入欄】</t>
  </si>
  <si>
    <t>該当する人別区分を
選択してください。</t>
    <rPh sb="0" eb="2">
      <t>ガイトウ</t>
    </rPh>
    <rPh sb="4" eb="5">
      <t>ヒト</t>
    </rPh>
    <rPh sb="5" eb="6">
      <t>ベツ</t>
    </rPh>
    <rPh sb="6" eb="8">
      <t>クブン</t>
    </rPh>
    <rPh sb="10" eb="12">
      <t>センタク</t>
    </rPh>
    <phoneticPr fontId="6"/>
  </si>
  <si>
    <t>人別区分</t>
    <rPh sb="0" eb="1">
      <t>ヒト</t>
    </rPh>
    <rPh sb="1" eb="2">
      <t>ベツ</t>
    </rPh>
    <rPh sb="2" eb="4">
      <t>クブン</t>
    </rPh>
    <phoneticPr fontId="6"/>
  </si>
  <si>
    <t>注：「もみすり・調製作業」と「包装荷造り作業」が機械化一貫作業の場合、包装荷造りに要した作業時間を除いて記入してください。</t>
    <rPh sb="0" eb="1">
      <t>チュウ</t>
    </rPh>
    <rPh sb="35" eb="37">
      <t>ホウソウ</t>
    </rPh>
    <rPh sb="37" eb="39">
      <t>ニヅク</t>
    </rPh>
    <rPh sb="41" eb="42">
      <t>ヨウ</t>
    </rPh>
    <rPh sb="44" eb="46">
      <t>サギョウ</t>
    </rPh>
    <rPh sb="46" eb="48">
      <t>ジカン</t>
    </rPh>
    <rPh sb="49" eb="50">
      <t>ノゾ</t>
    </rPh>
    <phoneticPr fontId="6"/>
  </si>
  <si>
    <t>生産費区分</t>
    <rPh sb="0" eb="3">
      <t>セイサンヒ</t>
    </rPh>
    <rPh sb="3" eb="5">
      <t>クブン</t>
    </rPh>
    <phoneticPr fontId="21"/>
  </si>
  <si>
    <t>なたね</t>
  </si>
  <si>
    <t>そば</t>
  </si>
  <si>
    <t>二条大麦</t>
    <rPh sb="0" eb="2">
      <t>ニジョウ</t>
    </rPh>
    <rPh sb="2" eb="4">
      <t>オオムギ</t>
    </rPh>
    <phoneticPr fontId="2"/>
  </si>
  <si>
    <t>六条大麦</t>
    <rPh sb="0" eb="2">
      <t>ロクジョウ</t>
    </rPh>
    <rPh sb="2" eb="4">
      <t>オオムギ</t>
    </rPh>
    <phoneticPr fontId="2"/>
  </si>
  <si>
    <t>はだか麦</t>
    <rPh sb="3" eb="4">
      <t>ムギ</t>
    </rPh>
    <phoneticPr fontId="2"/>
  </si>
  <si>
    <t>小麦</t>
    <rPh sb="0" eb="2">
      <t>コムギ</t>
    </rPh>
    <phoneticPr fontId="2"/>
  </si>
  <si>
    <t>原料用かんしょ</t>
    <rPh sb="0" eb="3">
      <t>ゲンリョウヨウ</t>
    </rPh>
    <phoneticPr fontId="2"/>
  </si>
  <si>
    <t>原料用ばれいしょ</t>
  </si>
  <si>
    <t>さとうきび</t>
  </si>
  <si>
    <t>てんさい</t>
  </si>
  <si>
    <t>[1]家族</t>
    <rPh sb="3" eb="5">
      <t>カゾク</t>
    </rPh>
    <phoneticPr fontId="0"/>
  </si>
  <si>
    <t>[2]同居人</t>
    <rPh sb="3" eb="6">
      <t>ドウキョニン</t>
    </rPh>
    <phoneticPr fontId="0"/>
  </si>
  <si>
    <t>[3]ゆい・手間替え受け</t>
    <rPh sb="6" eb="8">
      <t>テマ</t>
    </rPh>
    <rPh sb="8" eb="9">
      <t>タイ</t>
    </rPh>
    <rPh sb="10" eb="11">
      <t>ウケ</t>
    </rPh>
    <phoneticPr fontId="0"/>
  </si>
  <si>
    <t>[4]手伝い・共同作業受け</t>
    <rPh sb="3" eb="4">
      <t>テ</t>
    </rPh>
    <rPh sb="4" eb="5">
      <t>デン</t>
    </rPh>
    <rPh sb="7" eb="9">
      <t>キョウドウ</t>
    </rPh>
    <rPh sb="9" eb="11">
      <t>サギョウ</t>
    </rPh>
    <rPh sb="11" eb="12">
      <t>ウケ</t>
    </rPh>
    <phoneticPr fontId="0"/>
  </si>
  <si>
    <t>[5]雇用</t>
    <rPh sb="3" eb="5">
      <t>コヨウ</t>
    </rPh>
    <phoneticPr fontId="0"/>
  </si>
  <si>
    <t>作業_米</t>
    <rPh sb="0" eb="2">
      <t>サギョウ</t>
    </rPh>
    <rPh sb="3" eb="4">
      <t>コメ</t>
    </rPh>
    <phoneticPr fontId="2"/>
  </si>
  <si>
    <t>作業_そば</t>
    <rPh sb="0" eb="2">
      <t>サギョウ</t>
    </rPh>
    <phoneticPr fontId="2"/>
  </si>
  <si>
    <t>作業_大豆</t>
    <rPh sb="0" eb="2">
      <t>サギョウ</t>
    </rPh>
    <rPh sb="3" eb="5">
      <t>ダイズ</t>
    </rPh>
    <phoneticPr fontId="2"/>
  </si>
  <si>
    <t>作業_原料用かんしょ</t>
    <rPh sb="0" eb="2">
      <t>サギョウ</t>
    </rPh>
    <rPh sb="3" eb="6">
      <t>ゲンリョウヨウ</t>
    </rPh>
    <phoneticPr fontId="2"/>
  </si>
  <si>
    <t>作業_原料用ばれいしょ</t>
    <rPh sb="0" eb="2">
      <t>サギョウ</t>
    </rPh>
    <rPh sb="3" eb="6">
      <t>ゲンリョウヨウ</t>
    </rPh>
    <phoneticPr fontId="2"/>
  </si>
  <si>
    <t>作業_なたね</t>
    <rPh sb="0" eb="2">
      <t>サギョウ</t>
    </rPh>
    <phoneticPr fontId="2"/>
  </si>
  <si>
    <t>作業_てんさい</t>
    <rPh sb="0" eb="2">
      <t>サギョウ</t>
    </rPh>
    <phoneticPr fontId="2"/>
  </si>
  <si>
    <t>作業_さとうきび</t>
    <rPh sb="0" eb="2">
      <t>サギョウ</t>
    </rPh>
    <phoneticPr fontId="2"/>
  </si>
  <si>
    <t>家族</t>
    <rPh sb="0" eb="2">
      <t>カゾク</t>
    </rPh>
    <phoneticPr fontId="2"/>
  </si>
  <si>
    <t>は種</t>
    <rPh sb="1" eb="2">
      <t>シュ</t>
    </rPh>
    <phoneticPr fontId="2"/>
  </si>
  <si>
    <t>定植</t>
    <rPh sb="0" eb="2">
      <t>テイショク</t>
    </rPh>
    <phoneticPr fontId="2"/>
  </si>
  <si>
    <t>株分け</t>
    <rPh sb="0" eb="2">
      <t>カブワ</t>
    </rPh>
    <phoneticPr fontId="2"/>
  </si>
  <si>
    <t>麦踏み</t>
    <rPh sb="0" eb="2">
      <t>ムギフ</t>
    </rPh>
    <phoneticPr fontId="2"/>
  </si>
  <si>
    <t>はく葉</t>
    <rPh sb="2" eb="3">
      <t>ヨウ</t>
    </rPh>
    <phoneticPr fontId="2"/>
  </si>
  <si>
    <t>経営種類</t>
    <rPh sb="0" eb="2">
      <t>ケイエイ</t>
    </rPh>
    <rPh sb="2" eb="4">
      <t>シュルイ</t>
    </rPh>
    <phoneticPr fontId="2"/>
  </si>
  <si>
    <t>個別経営体</t>
    <rPh sb="0" eb="2">
      <t>コベツ</t>
    </rPh>
    <rPh sb="2" eb="4">
      <t>ケイエイ</t>
    </rPh>
    <rPh sb="4" eb="5">
      <t>タイ</t>
    </rPh>
    <phoneticPr fontId="2"/>
  </si>
  <si>
    <t>組織法人経営体</t>
    <rPh sb="0" eb="2">
      <t>ソシキ</t>
    </rPh>
    <rPh sb="2" eb="4">
      <t>ホウジン</t>
    </rPh>
    <rPh sb="4" eb="6">
      <t>ケイエイ</t>
    </rPh>
    <phoneticPr fontId="2"/>
  </si>
  <si>
    <t>構成員・雇用</t>
    <rPh sb="0" eb="3">
      <t>コウセイイン</t>
    </rPh>
    <rPh sb="4" eb="6">
      <t>コヨウ</t>
    </rPh>
    <phoneticPr fontId="2"/>
  </si>
  <si>
    <t>[1]構成員</t>
    <rPh sb="3" eb="6">
      <t>コウセイイン</t>
    </rPh>
    <phoneticPr fontId="0"/>
  </si>
  <si>
    <t>[2]雇用</t>
    <rPh sb="3" eb="5">
      <t>コヨウ</t>
    </rPh>
    <phoneticPr fontId="0"/>
  </si>
  <si>
    <t xml:space="preserve"> 出力順</t>
    <rPh sb="1" eb="3">
      <t>シュツリョク</t>
    </rPh>
    <rPh sb="3" eb="4">
      <t>ジュン</t>
    </rPh>
    <phoneticPr fontId="2"/>
  </si>
  <si>
    <t xml:space="preserve"> </t>
    <phoneticPr fontId="6"/>
  </si>
  <si>
    <t>&lt;65</t>
    <phoneticPr fontId="2"/>
  </si>
  <si>
    <t>&gt;=75</t>
    <phoneticPr fontId="2"/>
  </si>
  <si>
    <t>作業種類</t>
    <rPh sb="0" eb="2">
      <t>サギョウ</t>
    </rPh>
    <rPh sb="2" eb="4">
      <t>シュルイ</t>
    </rPh>
    <phoneticPr fontId="6"/>
  </si>
  <si>
    <t>構成員の年齢階層</t>
    <rPh sb="0" eb="3">
      <t>コウセイイン</t>
    </rPh>
    <rPh sb="4" eb="6">
      <t>ネンレイ</t>
    </rPh>
    <rPh sb="6" eb="8">
      <t>カイソウ</t>
    </rPh>
    <phoneticPr fontId="6"/>
  </si>
  <si>
    <t>雇用</t>
    <rPh sb="0" eb="2">
      <t>コヨウ</t>
    </rPh>
    <phoneticPr fontId="6"/>
  </si>
  <si>
    <t>65歳未満</t>
    <rPh sb="2" eb="3">
      <t>サイ</t>
    </rPh>
    <rPh sb="3" eb="5">
      <t>ミマン</t>
    </rPh>
    <phoneticPr fontId="6"/>
  </si>
  <si>
    <t>65～69歳</t>
    <rPh sb="5" eb="6">
      <t>サイ</t>
    </rPh>
    <phoneticPr fontId="6"/>
  </si>
  <si>
    <t>70～74歳</t>
    <rPh sb="5" eb="6">
      <t>サイ</t>
    </rPh>
    <phoneticPr fontId="6"/>
  </si>
  <si>
    <t>75歳以上</t>
    <rPh sb="2" eb="3">
      <t>サイ</t>
    </rPh>
    <rPh sb="3" eb="5">
      <t>イジョウ</t>
    </rPh>
    <phoneticPr fontId="6"/>
  </si>
  <si>
    <t>合計</t>
    <rPh sb="0" eb="2">
      <t>ゴウケイ</t>
    </rPh>
    <phoneticPr fontId="6"/>
  </si>
  <si>
    <t>延べ
作業時間</t>
    <rPh sb="0" eb="1">
      <t>ノ</t>
    </rPh>
    <rPh sb="3" eb="5">
      <t>サギョウ</t>
    </rPh>
    <rPh sb="5" eb="7">
      <t>ジカン</t>
    </rPh>
    <phoneticPr fontId="6"/>
  </si>
  <si>
    <r>
      <t xml:space="preserve">作業者
</t>
    </r>
    <r>
      <rPr>
        <sz val="6"/>
        <rFont val="ＭＳ Ｐゴシック"/>
        <family val="3"/>
        <charset val="128"/>
        <scheme val="minor"/>
      </rPr>
      <t>&lt;選択&gt;</t>
    </r>
    <rPh sb="0" eb="3">
      <t>サギョウシャ</t>
    </rPh>
    <rPh sb="5" eb="7">
      <t>センタク</t>
    </rPh>
    <phoneticPr fontId="6"/>
  </si>
  <si>
    <t>[1]男</t>
    <rPh sb="3" eb="4">
      <t>オトコ</t>
    </rPh>
    <phoneticPr fontId="37"/>
  </si>
  <si>
    <t>[2]女</t>
    <rPh sb="3" eb="4">
      <t>オンナ</t>
    </rPh>
    <phoneticPr fontId="37"/>
  </si>
  <si>
    <t>時間</t>
    <phoneticPr fontId="2"/>
  </si>
  <si>
    <r>
      <t>経営種類　</t>
    </r>
    <r>
      <rPr>
        <sz val="6"/>
        <rFont val="ＭＳ Ｐ明朝"/>
        <family val="1"/>
        <charset val="128"/>
      </rPr>
      <t>&lt;選択&gt;</t>
    </r>
    <rPh sb="0" eb="2">
      <t>ケイエイ</t>
    </rPh>
    <rPh sb="2" eb="4">
      <t>シュルイ</t>
    </rPh>
    <phoneticPr fontId="2"/>
  </si>
  <si>
    <r>
      <t>生産費区分　</t>
    </r>
    <r>
      <rPr>
        <sz val="6"/>
        <rFont val="ＭＳ Ｐゴシック"/>
        <family val="3"/>
        <charset val="128"/>
      </rPr>
      <t>&lt;選択&gt;</t>
    </r>
    <rPh sb="0" eb="3">
      <t>セイサンヒ</t>
    </rPh>
    <rPh sb="3" eb="5">
      <t>クブン</t>
    </rPh>
    <phoneticPr fontId="2"/>
  </si>
  <si>
    <t>中耕除草</t>
    <rPh sb="0" eb="1">
      <t>ナカ</t>
    </rPh>
    <rPh sb="1" eb="2">
      <t>コウ</t>
    </rPh>
    <rPh sb="2" eb="4">
      <t>ジョソウ</t>
    </rPh>
    <phoneticPr fontId="2"/>
  </si>
  <si>
    <t>作業_小麦</t>
    <rPh sb="0" eb="2">
      <t>サギョウ</t>
    </rPh>
    <rPh sb="3" eb="5">
      <t>コムギ</t>
    </rPh>
    <phoneticPr fontId="2"/>
  </si>
  <si>
    <t>作業_二条大麦</t>
    <rPh sb="0" eb="2">
      <t>サギョウ</t>
    </rPh>
    <rPh sb="3" eb="5">
      <t>ニジョウ</t>
    </rPh>
    <rPh sb="5" eb="7">
      <t>オオムギ</t>
    </rPh>
    <phoneticPr fontId="2"/>
  </si>
  <si>
    <t>作業_六条大麦</t>
    <rPh sb="0" eb="2">
      <t>サギョウ</t>
    </rPh>
    <rPh sb="3" eb="5">
      <t>ロクジョウ</t>
    </rPh>
    <rPh sb="5" eb="7">
      <t>オオムギ</t>
    </rPh>
    <phoneticPr fontId="2"/>
  </si>
  <si>
    <t>作業_はだか類</t>
    <rPh sb="0" eb="2">
      <t>サギョウ</t>
    </rPh>
    <rPh sb="6" eb="7">
      <t>ルイ</t>
    </rPh>
    <phoneticPr fontId="2"/>
  </si>
  <si>
    <t>&lt;75</t>
    <phoneticPr fontId="2"/>
  </si>
  <si>
    <t>&lt;70</t>
    <phoneticPr fontId="2"/>
  </si>
  <si>
    <t>【12】作業別労働時間</t>
    <rPh sb="4" eb="7">
      <t>サギョウベツ</t>
    </rPh>
    <rPh sb="7" eb="9">
      <t>ロウドウ</t>
    </rPh>
    <rPh sb="9" eb="11">
      <t>ジカン</t>
    </rPh>
    <phoneticPr fontId="6"/>
  </si>
  <si>
    <t>　１　家族労働時間</t>
    <rPh sb="3" eb="5">
      <t>カゾク</t>
    </rPh>
    <rPh sb="5" eb="7">
      <t>ロウドウ</t>
    </rPh>
    <rPh sb="7" eb="9">
      <t>ジカン</t>
    </rPh>
    <phoneticPr fontId="6"/>
  </si>
  <si>
    <t>２　雇用労働時間</t>
    <rPh sb="2" eb="4">
      <t>コヨウ</t>
    </rPh>
    <rPh sb="4" eb="6">
      <t>ロウドウ</t>
    </rPh>
    <rPh sb="6" eb="8">
      <t>ジカン</t>
    </rPh>
    <phoneticPr fontId="6"/>
  </si>
  <si>
    <t xml:space="preserve"> １　構成員（年齢階層別）・雇用別の労働時間</t>
    <rPh sb="3" eb="6">
      <t>コウセイイン</t>
    </rPh>
    <rPh sb="7" eb="9">
      <t>ネンレイ</t>
    </rPh>
    <rPh sb="9" eb="11">
      <t>カイソウ</t>
    </rPh>
    <rPh sb="11" eb="12">
      <t>ベツ</t>
    </rPh>
    <rPh sb="14" eb="16">
      <t>コヨウ</t>
    </rPh>
    <rPh sb="16" eb="17">
      <t>ベツ</t>
    </rPh>
    <rPh sb="18" eb="20">
      <t>ロウドウ</t>
    </rPh>
    <rPh sb="20" eb="22">
      <t>ジカン</t>
    </rPh>
    <phoneticPr fontId="6"/>
  </si>
  <si>
    <t>農産物生産費統計　設定シート</t>
    <rPh sb="0" eb="3">
      <t>ノウサンブツ</t>
    </rPh>
    <rPh sb="3" eb="6">
      <t>セイサンヒ</t>
    </rPh>
    <rPh sb="6" eb="8">
      <t>トウケイ</t>
    </rPh>
    <rPh sb="9" eb="11">
      <t>セッテイ</t>
    </rPh>
    <phoneticPr fontId="2"/>
  </si>
  <si>
    <t>農産物生産費統計　入力シート（月別）</t>
    <rPh sb="0" eb="3">
      <t>ノウサンブツ</t>
    </rPh>
    <rPh sb="3" eb="6">
      <t>セイサンヒ</t>
    </rPh>
    <rPh sb="6" eb="8">
      <t>トウケイ</t>
    </rPh>
    <rPh sb="9" eb="11">
      <t>ニュウリョク</t>
    </rPh>
    <rPh sb="15" eb="16">
      <t>ツキ</t>
    </rPh>
    <rPh sb="16" eb="17">
      <t>ベツ</t>
    </rPh>
    <phoneticPr fontId="2"/>
  </si>
  <si>
    <t>農産物生産費統計　調査票貼付シート</t>
    <rPh sb="9" eb="12">
      <t>チョウサヒョウ</t>
    </rPh>
    <rPh sb="12" eb="14">
      <t>ハリツケ</t>
    </rPh>
    <phoneticPr fontId="6"/>
  </si>
  <si>
    <t>&gt;=65</t>
    <phoneticPr fontId="2"/>
  </si>
  <si>
    <t>&gt;=70</t>
    <phoneticPr fontId="2"/>
  </si>
  <si>
    <r>
      <t>2020センサス番号　</t>
    </r>
    <r>
      <rPr>
        <sz val="6"/>
        <rFont val="ＭＳ Ｐ明朝"/>
        <family val="1"/>
        <charset val="128"/>
      </rPr>
      <t>&lt;入力&gt;</t>
    </r>
    <rPh sb="8" eb="10">
      <t>バンゴウ</t>
    </rPh>
    <rPh sb="12" eb="14">
      <t>ニュウリョク</t>
    </rPh>
    <phoneticPr fontId="6"/>
  </si>
  <si>
    <t>【職員記入欄】</t>
    <phoneticPr fontId="6"/>
  </si>
  <si>
    <t>作業別労働時間</t>
    <rPh sb="0" eb="3">
      <t>サギョウベツ</t>
    </rPh>
    <rPh sb="3" eb="5">
      <t>ロウドウ</t>
    </rPh>
    <rPh sb="5" eb="7">
      <t>ジカン</t>
    </rPh>
    <phoneticPr fontId="28"/>
  </si>
  <si>
    <t>家族</t>
    <rPh sb="0" eb="2">
      <t>カゾク</t>
    </rPh>
    <phoneticPr fontId="28"/>
  </si>
  <si>
    <t>雇用</t>
    <rPh sb="0" eb="2">
      <t>コヨウ</t>
    </rPh>
    <phoneticPr fontId="40"/>
  </si>
  <si>
    <t>男</t>
    <rPh sb="0" eb="1">
      <t>オトコ</t>
    </rPh>
    <phoneticPr fontId="28"/>
  </si>
  <si>
    <t>女</t>
    <rPh sb="0" eb="1">
      <t>オンナ</t>
    </rPh>
    <phoneticPr fontId="28"/>
  </si>
  <si>
    <t>小計</t>
    <rPh sb="0" eb="2">
      <t>ショウケイ</t>
    </rPh>
    <phoneticPr fontId="28"/>
  </si>
  <si>
    <t>男</t>
    <rPh sb="0" eb="1">
      <t>オトコ</t>
    </rPh>
    <phoneticPr fontId="40"/>
  </si>
  <si>
    <t>女</t>
    <phoneticPr fontId="28"/>
  </si>
  <si>
    <t>小　　計</t>
    <phoneticPr fontId="28"/>
  </si>
  <si>
    <t>雇用</t>
    <rPh sb="0" eb="2">
      <t>コヨウ</t>
    </rPh>
    <phoneticPr fontId="28"/>
  </si>
  <si>
    <t>同居人、手伝い・共同作業受け</t>
    <phoneticPr fontId="28"/>
  </si>
  <si>
    <t>計</t>
    <rPh sb="0" eb="1">
      <t>ケイ</t>
    </rPh>
    <phoneticPr fontId="28"/>
  </si>
  <si>
    <t>計</t>
    <rPh sb="0" eb="1">
      <t>ケイ</t>
    </rPh>
    <phoneticPr fontId="40"/>
  </si>
  <si>
    <t>直接労働時間</t>
    <rPh sb="0" eb="2">
      <t>チョクセツ</t>
    </rPh>
    <rPh sb="2" eb="4">
      <t>ロウドウ</t>
    </rPh>
    <rPh sb="4" eb="6">
      <t>ジカン</t>
    </rPh>
    <phoneticPr fontId="40"/>
  </si>
  <si>
    <t>種子予措</t>
    <rPh sb="0" eb="2">
      <t>シュシ</t>
    </rPh>
    <rPh sb="2" eb="3">
      <t>ヨ</t>
    </rPh>
    <rPh sb="3" eb="4">
      <t>ソチ</t>
    </rPh>
    <phoneticPr fontId="40"/>
  </si>
  <si>
    <t>育苗</t>
    <rPh sb="0" eb="2">
      <t>イクビョウ</t>
    </rPh>
    <phoneticPr fontId="40"/>
  </si>
  <si>
    <t>耕起整地</t>
    <rPh sb="0" eb="2">
      <t>コウキ</t>
    </rPh>
    <rPh sb="2" eb="4">
      <t>セイチ</t>
    </rPh>
    <phoneticPr fontId="40"/>
  </si>
  <si>
    <t>基肥</t>
    <rPh sb="0" eb="1">
      <t>モト</t>
    </rPh>
    <rPh sb="1" eb="2">
      <t>ヒ</t>
    </rPh>
    <phoneticPr fontId="40"/>
  </si>
  <si>
    <t>直まき／は種</t>
    <rPh sb="0" eb="1">
      <t>チョク</t>
    </rPh>
    <rPh sb="5" eb="6">
      <t>タネ</t>
    </rPh>
    <phoneticPr fontId="40"/>
  </si>
  <si>
    <t>田植／定植</t>
    <rPh sb="0" eb="2">
      <t>タウ</t>
    </rPh>
    <rPh sb="3" eb="5">
      <t>テイショク</t>
    </rPh>
    <phoneticPr fontId="40"/>
  </si>
  <si>
    <t>株分け</t>
    <rPh sb="0" eb="2">
      <t>カブワ</t>
    </rPh>
    <phoneticPr fontId="28"/>
  </si>
  <si>
    <t>追肥</t>
    <rPh sb="0" eb="2">
      <t>ツイヒ</t>
    </rPh>
    <phoneticPr fontId="40"/>
  </si>
  <si>
    <t>除草／中耕除草</t>
    <rPh sb="0" eb="2">
      <t>ジョソウ</t>
    </rPh>
    <rPh sb="3" eb="5">
      <t>チュウコウ</t>
    </rPh>
    <rPh sb="5" eb="7">
      <t>ジョソウ</t>
    </rPh>
    <phoneticPr fontId="40"/>
  </si>
  <si>
    <t>麦踏み</t>
    <rPh sb="0" eb="2">
      <t>ムギフ</t>
    </rPh>
    <phoneticPr fontId="28"/>
  </si>
  <si>
    <t>管理</t>
    <rPh sb="0" eb="2">
      <t>カンリ</t>
    </rPh>
    <phoneticPr fontId="40"/>
  </si>
  <si>
    <t>防除</t>
    <rPh sb="0" eb="2">
      <t>ボウジョ</t>
    </rPh>
    <phoneticPr fontId="40"/>
  </si>
  <si>
    <t>はく葉</t>
    <rPh sb="2" eb="3">
      <t>ヨウ</t>
    </rPh>
    <phoneticPr fontId="28"/>
  </si>
  <si>
    <t>刈取脱穀</t>
    <rPh sb="0" eb="4">
      <t>カリトリダッコク</t>
    </rPh>
    <phoneticPr fontId="40"/>
  </si>
  <si>
    <t>乾燥</t>
    <rPh sb="0" eb="2">
      <t>カンソウ</t>
    </rPh>
    <phoneticPr fontId="40"/>
  </si>
  <si>
    <t>生産管理</t>
    <rPh sb="0" eb="2">
      <t>セイサン</t>
    </rPh>
    <rPh sb="2" eb="4">
      <t>カンリ</t>
    </rPh>
    <phoneticPr fontId="40"/>
  </si>
  <si>
    <t>労賃単価を入力してください。</t>
    <rPh sb="0" eb="2">
      <t>ロウチン</t>
    </rPh>
    <rPh sb="2" eb="4">
      <t>タンカ</t>
    </rPh>
    <rPh sb="5" eb="7">
      <t>ニュウリョク</t>
    </rPh>
    <phoneticPr fontId="6"/>
  </si>
  <si>
    <t>間接労働時間</t>
    <rPh sb="0" eb="2">
      <t>カンセツ</t>
    </rPh>
    <rPh sb="2" eb="4">
      <t>ロウドウ</t>
    </rPh>
    <rPh sb="4" eb="6">
      <t>ジカン</t>
    </rPh>
    <phoneticPr fontId="40"/>
  </si>
  <si>
    <t>労賃単価（円）</t>
    <rPh sb="0" eb="2">
      <t>ロウチン</t>
    </rPh>
    <rPh sb="2" eb="4">
      <t>タンカ</t>
    </rPh>
    <rPh sb="5" eb="6">
      <t>エン</t>
    </rPh>
    <phoneticPr fontId="6"/>
  </si>
  <si>
    <t>労働時間合計</t>
    <rPh sb="0" eb="2">
      <t>ロウドウ</t>
    </rPh>
    <rPh sb="2" eb="4">
      <t>ジカン</t>
    </rPh>
    <rPh sb="4" eb="6">
      <t>ゴウケイ</t>
    </rPh>
    <phoneticPr fontId="40"/>
  </si>
  <si>
    <t>年齢階層別労働時間・労働評価額</t>
    <rPh sb="0" eb="2">
      <t>ネンレイ</t>
    </rPh>
    <rPh sb="2" eb="5">
      <t>カイソウベツ</t>
    </rPh>
    <rPh sb="5" eb="7">
      <t>ロウドウ</t>
    </rPh>
    <rPh sb="7" eb="9">
      <t>ジカン</t>
    </rPh>
    <rPh sb="10" eb="12">
      <t>ロウドウ</t>
    </rPh>
    <rPh sb="12" eb="15">
      <t>ヒョウカガク</t>
    </rPh>
    <phoneticPr fontId="28"/>
  </si>
  <si>
    <t>単位：時間、円</t>
    <rPh sb="0" eb="2">
      <t>タンイ</t>
    </rPh>
    <rPh sb="3" eb="5">
      <t>ジカン</t>
    </rPh>
    <rPh sb="6" eb="7">
      <t>エン</t>
    </rPh>
    <phoneticPr fontId="28"/>
  </si>
  <si>
    <t>家族</t>
    <rPh sb="0" eb="2">
      <t>カゾク</t>
    </rPh>
    <phoneticPr fontId="40"/>
  </si>
  <si>
    <t>女</t>
    <rPh sb="0" eb="1">
      <t>オンナ</t>
    </rPh>
    <phoneticPr fontId="40"/>
  </si>
  <si>
    <t>小　　計</t>
    <rPh sb="0" eb="4">
      <t>ショウケイ</t>
    </rPh>
    <phoneticPr fontId="40"/>
  </si>
  <si>
    <t>６５歳未満</t>
    <rPh sb="2" eb="3">
      <t>サイ</t>
    </rPh>
    <rPh sb="3" eb="5">
      <t>ミマン</t>
    </rPh>
    <phoneticPr fontId="28"/>
  </si>
  <si>
    <t>６５～７０</t>
  </si>
  <si>
    <t>７０～７５</t>
  </si>
  <si>
    <t>７５歳以上</t>
    <rPh sb="2" eb="5">
      <t>サイイジョウ</t>
    </rPh>
    <phoneticPr fontId="28"/>
  </si>
  <si>
    <t>労働時間</t>
    <rPh sb="0" eb="2">
      <t>ロウドウ</t>
    </rPh>
    <rPh sb="2" eb="4">
      <t>ジカン</t>
    </rPh>
    <phoneticPr fontId="28"/>
  </si>
  <si>
    <t>直接労働</t>
    <rPh sb="0" eb="2">
      <t>チョクセツ</t>
    </rPh>
    <rPh sb="2" eb="4">
      <t>ロウドウ</t>
    </rPh>
    <phoneticPr fontId="28"/>
  </si>
  <si>
    <t>間接労働</t>
    <rPh sb="0" eb="2">
      <t>カンセツ</t>
    </rPh>
    <rPh sb="2" eb="4">
      <t>ロウドウ</t>
    </rPh>
    <phoneticPr fontId="28"/>
  </si>
  <si>
    <t>労働評価額</t>
    <rPh sb="0" eb="2">
      <t>ロウドウ</t>
    </rPh>
    <rPh sb="2" eb="5">
      <t>ヒョウカガク</t>
    </rPh>
    <phoneticPr fontId="28"/>
  </si>
  <si>
    <t>同居人、手伝い・共同作業受け</t>
    <rPh sb="0" eb="3">
      <t>ドウキョニン</t>
    </rPh>
    <rPh sb="4" eb="6">
      <t>テツダ</t>
    </rPh>
    <rPh sb="8" eb="10">
      <t>キョウドウ</t>
    </rPh>
    <rPh sb="10" eb="12">
      <t>サギョウ</t>
    </rPh>
    <rPh sb="12" eb="13">
      <t>ウ</t>
    </rPh>
    <phoneticPr fontId="28"/>
  </si>
  <si>
    <t xml:space="preserve">   当年産の対象品目生産のために雇用者に支払った労賃（現物支給も含む。）を記入してください。</t>
    <rPh sb="3" eb="5">
      <t>トウネン</t>
    </rPh>
    <rPh sb="5" eb="6">
      <t>サン</t>
    </rPh>
    <rPh sb="11" eb="13">
      <t>セイサン</t>
    </rPh>
    <rPh sb="17" eb="20">
      <t>コヨウシャ</t>
    </rPh>
    <rPh sb="21" eb="23">
      <t>シハラ</t>
    </rPh>
    <rPh sb="25" eb="27">
      <t>ロウチン</t>
    </rPh>
    <rPh sb="28" eb="30">
      <t>ゲンブツ</t>
    </rPh>
    <rPh sb="30" eb="32">
      <t>シキュウ</t>
    </rPh>
    <rPh sb="33" eb="34">
      <t>フク</t>
    </rPh>
    <phoneticPr fontId="6"/>
  </si>
  <si>
    <t>区分</t>
    <rPh sb="0" eb="2">
      <t>クブン</t>
    </rPh>
    <phoneticPr fontId="6"/>
  </si>
  <si>
    <t>支払賃金（円）</t>
    <rPh sb="0" eb="2">
      <t>シハライ</t>
    </rPh>
    <rPh sb="2" eb="4">
      <t>チンギン</t>
    </rPh>
    <rPh sb="5" eb="6">
      <t>エン</t>
    </rPh>
    <phoneticPr fontId="6"/>
  </si>
  <si>
    <t>対象品目
負担割合（％）</t>
    <rPh sb="5" eb="7">
      <t>フタン</t>
    </rPh>
    <rPh sb="7" eb="9">
      <t>ワリアイ</t>
    </rPh>
    <phoneticPr fontId="6"/>
  </si>
  <si>
    <t>男</t>
    <rPh sb="0" eb="1">
      <t>オトコ</t>
    </rPh>
    <phoneticPr fontId="6"/>
  </si>
  <si>
    <t>女</t>
    <rPh sb="0" eb="1">
      <t>オンナ</t>
    </rPh>
    <phoneticPr fontId="6"/>
  </si>
  <si>
    <t>　３　支払賃金</t>
    <rPh sb="3" eb="5">
      <t>シハライ</t>
    </rPh>
    <rPh sb="5" eb="7">
      <t>チンギン</t>
    </rPh>
    <phoneticPr fontId="6"/>
  </si>
  <si>
    <t>構成員</t>
    <rPh sb="0" eb="3">
      <t>コウセイイン</t>
    </rPh>
    <phoneticPr fontId="28"/>
  </si>
  <si>
    <t>株分け</t>
    <rPh sb="0" eb="2">
      <t>カブワ</t>
    </rPh>
    <phoneticPr fontId="6"/>
  </si>
  <si>
    <t>はく葉</t>
    <rPh sb="2" eb="3">
      <t>ヨウ</t>
    </rPh>
    <phoneticPr fontId="6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</si>
  <si>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40"/>
  </si>
  <si>
    <t>構成員</t>
    <rPh sb="0" eb="3">
      <t>コウセイイン</t>
    </rPh>
    <phoneticPr fontId="40"/>
  </si>
  <si>
    <t>６５～７０</t>
    <phoneticPr fontId="28"/>
  </si>
  <si>
    <t>７０～７５</t>
    <phoneticPr fontId="28"/>
  </si>
  <si>
    <t xml:space="preserve"> ２　支払賃金</t>
    <rPh sb="3" eb="5">
      <t>シハラ</t>
    </rPh>
    <rPh sb="5" eb="7">
      <t>チンギン</t>
    </rPh>
    <phoneticPr fontId="6"/>
  </si>
  <si>
    <t xml:space="preserve">   当年産の対象品目生産のために雇用者に支払った労賃（現物支給も含む。）を記入してください。</t>
    <rPh sb="3" eb="5">
      <t>トウネン</t>
    </rPh>
    <rPh sb="5" eb="6">
      <t>サン</t>
    </rPh>
    <rPh sb="7" eb="9">
      <t>タイショウ</t>
    </rPh>
    <rPh sb="9" eb="11">
      <t>ヒンモク</t>
    </rPh>
    <rPh sb="11" eb="13">
      <t>セイサン</t>
    </rPh>
    <rPh sb="17" eb="20">
      <t>コヨウシャ</t>
    </rPh>
    <rPh sb="21" eb="23">
      <t>シハラ</t>
    </rPh>
    <rPh sb="25" eb="27">
      <t>ロウチン</t>
    </rPh>
    <rPh sb="28" eb="30">
      <t>ゲンブツ</t>
    </rPh>
    <rPh sb="30" eb="32">
      <t>シキュウ</t>
    </rPh>
    <rPh sb="33" eb="34">
      <t>フク</t>
    </rPh>
    <phoneticPr fontId="6"/>
  </si>
  <si>
    <t>対象品目
負担割合（％）</t>
    <rPh sb="0" eb="2">
      <t>タイショウ</t>
    </rPh>
    <rPh sb="2" eb="4">
      <t>ヒンモク</t>
    </rPh>
    <rPh sb="5" eb="7">
      <t>フタン</t>
    </rPh>
    <rPh sb="7" eb="9">
      <t>ワリアイ</t>
    </rPh>
    <phoneticPr fontId="6"/>
  </si>
  <si>
    <r>
      <t>2020センサス番号</t>
    </r>
    <r>
      <rPr>
        <sz val="6"/>
        <rFont val="ＭＳ Ｐ明朝"/>
        <family val="1"/>
        <charset val="128"/>
      </rPr>
      <t xml:space="preserve"> &lt;自動&gt;</t>
    </r>
    <rPh sb="8" eb="10">
      <t>バンゴウ</t>
    </rPh>
    <rPh sb="12" eb="14">
      <t>ジドウ</t>
    </rPh>
    <phoneticPr fontId="6"/>
  </si>
  <si>
    <t>実
人数</t>
    <rPh sb="0" eb="1">
      <t>ジツ</t>
    </rPh>
    <rPh sb="2" eb="4">
      <t>ニンズウ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</si>
</sst>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000000000000000"/>
    <numFmt numFmtId="177" formatCode="#,##0;;&quot;&quot;"/>
    <numFmt numFmtId="178" formatCode="#,##0.0;[Red]\-#,##0.0;&quot;&quot;"/>
    <numFmt numFmtId="179" formatCode="#,##0;[Red]\-#,##0;&quot;&quot;"/>
    <numFmt numFmtId="180" formatCode="##0"/>
    <numFmt numFmtId="181" formatCode="#,##0.0;;&quot;&quot;"/>
  </numFmts>
  <fonts count="43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2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b/>
      <sz val="12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Ｐゴシック"/>
      <family val="3"/>
      <charset val="128"/>
    </font>
    <font>
      <sz val="10"/>
      <color rgb="FF3F3F76"/>
      <name val="ＭＳ Ｐゴシック"/>
      <family val="2"/>
      <charset val="128"/>
    </font>
    <font>
      <sz val="6"/>
      <name val="ＭＳ Ｐ明朝"/>
      <family val="1"/>
      <charset val="128"/>
    </font>
    <font>
      <sz val="9"/>
      <color indexed="81"/>
      <name val="ＭＳ 明朝"/>
      <family val="1"/>
      <charset val="128"/>
    </font>
    <font>
      <sz val="6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  <font>
      <sz val="11"/>
      <color theme="0"/>
      <name val="ＭＳ 明朝"/>
      <family val="1"/>
      <charset val="128"/>
    </font>
    <font>
      <sz val="11"/>
      <color theme="1"/>
      <name val="ＭＳ 明朝"/>
      <family val="1"/>
      <charset val="128"/>
    </font>
    <font>
      <vertAlign val="superscript"/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6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2"/>
      <color rgb="FFFF0000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b/>
      <sz val="11"/>
      <color indexed="8"/>
      <name val="ＭＳ 明朝"/>
      <family val="1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F8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</fills>
  <borders count="1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rgb="FF35A36B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35A36B"/>
      </top>
      <bottom style="thin">
        <color indexed="64"/>
      </bottom>
      <diagonal/>
    </border>
    <border>
      <left style="thin">
        <color indexed="64"/>
      </left>
      <right style="double">
        <color rgb="FF35A36B"/>
      </right>
      <top style="double">
        <color rgb="FF35A36B"/>
      </top>
      <bottom style="thin">
        <color indexed="64"/>
      </bottom>
      <diagonal/>
    </border>
    <border>
      <left style="double">
        <color rgb="FF35A36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35A36B"/>
      </right>
      <top style="thin">
        <color indexed="64"/>
      </top>
      <bottom style="thin">
        <color indexed="64"/>
      </bottom>
      <diagonal/>
    </border>
    <border>
      <left/>
      <right style="double">
        <color rgb="FF35A36B"/>
      </right>
      <top style="thin">
        <color indexed="64"/>
      </top>
      <bottom style="medium">
        <color indexed="64"/>
      </bottom>
      <diagonal/>
    </border>
    <border>
      <left style="double">
        <color rgb="FF35A36B"/>
      </left>
      <right style="thin">
        <color indexed="64"/>
      </right>
      <top style="thin">
        <color indexed="64"/>
      </top>
      <bottom style="double">
        <color rgb="FF35A3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35A36B"/>
      </bottom>
      <diagonal/>
    </border>
    <border>
      <left style="thin">
        <color indexed="64"/>
      </left>
      <right/>
      <top style="thin">
        <color indexed="64"/>
      </top>
      <bottom style="double">
        <color rgb="FF35A36B"/>
      </bottom>
      <diagonal/>
    </border>
    <border>
      <left style="thin">
        <color indexed="64"/>
      </left>
      <right style="double">
        <color rgb="FF35A36B"/>
      </right>
      <top style="thin">
        <color indexed="64"/>
      </top>
      <bottom style="double">
        <color rgb="FF35A36B"/>
      </bottom>
      <diagonal/>
    </border>
    <border>
      <left/>
      <right/>
      <top/>
      <bottom style="double">
        <color rgb="FF35A36B"/>
      </bottom>
      <diagonal/>
    </border>
    <border>
      <left style="thin">
        <color indexed="64"/>
      </left>
      <right/>
      <top/>
      <bottom style="double">
        <color rgb="FF35A36B"/>
      </bottom>
      <diagonal/>
    </border>
    <border>
      <left/>
      <right style="double">
        <color theme="1"/>
      </right>
      <top style="medium">
        <color indexed="64"/>
      </top>
      <bottom style="medium">
        <color indexed="64"/>
      </bottom>
      <diagonal/>
    </border>
    <border>
      <left style="double">
        <color theme="1"/>
      </left>
      <right style="thin">
        <color theme="1"/>
      </right>
      <top style="double">
        <color rgb="FF35A36B"/>
      </top>
      <bottom style="double">
        <color rgb="FF35A36B"/>
      </bottom>
      <diagonal/>
    </border>
    <border>
      <left style="thin">
        <color theme="1"/>
      </left>
      <right style="thin">
        <color theme="1"/>
      </right>
      <top style="double">
        <color rgb="FF35A36B"/>
      </top>
      <bottom style="double">
        <color rgb="FF35A36B"/>
      </bottom>
      <diagonal/>
    </border>
    <border>
      <left style="thin">
        <color theme="1"/>
      </left>
      <right/>
      <top style="double">
        <color rgb="FF35A36B"/>
      </top>
      <bottom style="double">
        <color rgb="FF35A36B"/>
      </bottom>
      <diagonal/>
    </border>
    <border>
      <left style="thin">
        <color auto="1"/>
      </left>
      <right style="thin">
        <color auto="1"/>
      </right>
      <top style="double">
        <color rgb="FF35A36B"/>
      </top>
      <bottom style="double">
        <color rgb="FF35A36B"/>
      </bottom>
      <diagonal/>
    </border>
    <border>
      <left style="thin">
        <color auto="1"/>
      </left>
      <right style="double">
        <color theme="1"/>
      </right>
      <top style="double">
        <color rgb="FF35A36B"/>
      </top>
      <bottom style="double">
        <color rgb="FF35A36B"/>
      </bottom>
      <diagonal/>
    </border>
    <border>
      <left style="double">
        <color theme="1"/>
      </left>
      <right/>
      <top/>
      <bottom/>
      <diagonal/>
    </border>
    <border>
      <left style="double">
        <color rgb="FF35A16B"/>
      </left>
      <right style="thin">
        <color theme="1"/>
      </right>
      <top style="double">
        <color rgb="FF35A36B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rgb="FF35A36B"/>
      </top>
      <bottom style="thin">
        <color indexed="64"/>
      </bottom>
      <diagonal/>
    </border>
    <border>
      <left style="thin">
        <color theme="1"/>
      </left>
      <right/>
      <top style="double">
        <color rgb="FF35A36B"/>
      </top>
      <bottom style="thin">
        <color indexed="64"/>
      </bottom>
      <diagonal/>
    </border>
    <border>
      <left style="double">
        <color rgb="FF35A16B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rgb="FF35A16B"/>
      </bottom>
      <diagonal/>
    </border>
    <border>
      <left style="thin">
        <color indexed="64"/>
      </left>
      <right style="thin">
        <color indexed="64"/>
      </right>
      <top/>
      <bottom style="double">
        <color rgb="FF35A16B"/>
      </bottom>
      <diagonal/>
    </border>
    <border>
      <left/>
      <right style="double">
        <color rgb="FF35A16B"/>
      </right>
      <top/>
      <bottom/>
      <diagonal/>
    </border>
    <border>
      <left style="double">
        <color rgb="FF35A16B"/>
      </left>
      <right/>
      <top style="double">
        <color rgb="FF35A16B"/>
      </top>
      <bottom style="thin">
        <color indexed="64"/>
      </bottom>
      <diagonal/>
    </border>
    <border>
      <left style="thin">
        <color indexed="64"/>
      </left>
      <right/>
      <top style="double">
        <color rgb="FF35A16B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rgb="FF35A16B"/>
      </top>
      <bottom style="thin">
        <color indexed="64"/>
      </bottom>
      <diagonal/>
    </border>
    <border>
      <left style="double">
        <color rgb="FF35A36B"/>
      </left>
      <right style="thin">
        <color theme="1"/>
      </right>
      <top style="double">
        <color rgb="FF35A16B"/>
      </top>
      <bottom style="thin">
        <color indexed="64"/>
      </bottom>
      <diagonal/>
    </border>
    <border>
      <left style="thin">
        <color theme="1"/>
      </left>
      <right style="double">
        <color rgb="FF35A36B"/>
      </right>
      <top style="double">
        <color rgb="FF35A16B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35A16B"/>
      </right>
      <top style="thin">
        <color indexed="64"/>
      </top>
      <bottom style="thin">
        <color indexed="64"/>
      </bottom>
      <diagonal/>
    </border>
    <border>
      <left style="double">
        <color rgb="FF35A16B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double">
        <color rgb="FF35A36B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double">
        <color rgb="FF35A36B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5A16B"/>
      </left>
      <right/>
      <top style="thin">
        <color indexed="64"/>
      </top>
      <bottom style="thin">
        <color indexed="64"/>
      </bottom>
      <diagonal/>
    </border>
    <border>
      <left style="double">
        <color rgb="FF35A16B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double">
        <color rgb="FF35A36B"/>
      </right>
      <top style="thin">
        <color indexed="64"/>
      </top>
      <bottom/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rgb="FF35A16B"/>
      </left>
      <right style="thin">
        <color theme="1"/>
      </right>
      <top style="double">
        <color auto="1"/>
      </top>
      <bottom style="double">
        <color rgb="FF35A16B"/>
      </bottom>
      <diagonal/>
    </border>
    <border>
      <left style="thin">
        <color theme="1"/>
      </left>
      <right style="thin">
        <color theme="1"/>
      </right>
      <top style="double">
        <color auto="1"/>
      </top>
      <bottom style="double">
        <color rgb="FF35A16B"/>
      </bottom>
      <diagonal/>
    </border>
    <border>
      <left style="thin">
        <color theme="1"/>
      </left>
      <right/>
      <top style="double">
        <color auto="1"/>
      </top>
      <bottom style="double">
        <color rgb="FF35A16B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rgb="FF35A16B"/>
      </bottom>
      <diagonal/>
    </border>
    <border>
      <left style="thin">
        <color indexed="64"/>
      </left>
      <right style="double">
        <color rgb="FF35A36B"/>
      </right>
      <top style="double">
        <color auto="1"/>
      </top>
      <bottom style="double">
        <color rgb="FF35A16B"/>
      </bottom>
      <diagonal/>
    </border>
    <border>
      <left style="double">
        <color rgb="FF35A36B"/>
      </left>
      <right/>
      <top style="double">
        <color auto="1"/>
      </top>
      <bottom style="double">
        <color rgb="FF35A16B"/>
      </bottom>
      <diagonal/>
    </border>
    <border>
      <left style="double">
        <color rgb="FF35A36B"/>
      </left>
      <right/>
      <top style="double">
        <color auto="1"/>
      </top>
      <bottom style="medium">
        <color indexed="64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rgb="FF35A16B"/>
      </right>
      <top style="thin">
        <color indexed="64"/>
      </top>
      <bottom/>
      <diagonal/>
    </border>
    <border>
      <left style="double">
        <color rgb="FF35A16B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double">
        <color rgb="FF35A16B"/>
      </right>
      <top style="double">
        <color auto="1"/>
      </top>
      <bottom style="medium">
        <color indexed="64"/>
      </bottom>
      <diagonal/>
    </border>
    <border>
      <left style="double">
        <color rgb="FF35A16B"/>
      </left>
      <right/>
      <top style="double">
        <color auto="1"/>
      </top>
      <bottom style="double">
        <color rgb="FF35A16B"/>
      </bottom>
      <diagonal/>
    </border>
    <border>
      <left style="thin">
        <color indexed="64"/>
      </left>
      <right/>
      <top style="double">
        <color auto="1"/>
      </top>
      <bottom style="double">
        <color rgb="FF35A16B"/>
      </bottom>
      <diagonal/>
    </border>
    <border>
      <left style="double">
        <color rgb="FF35A36B"/>
      </left>
      <right style="thin">
        <color theme="1"/>
      </right>
      <top style="double">
        <color auto="1"/>
      </top>
      <bottom style="double">
        <color rgb="FF35A16B"/>
      </bottom>
      <diagonal/>
    </border>
    <border>
      <left style="thin">
        <color theme="1"/>
      </left>
      <right style="double">
        <color rgb="FF35A36B"/>
      </right>
      <top style="double">
        <color auto="1"/>
      </top>
      <bottom style="double">
        <color rgb="FF35A16B"/>
      </bottom>
      <diagonal/>
    </border>
    <border diagonalDown="1">
      <left style="double">
        <color rgb="FF35A36B"/>
      </left>
      <right/>
      <top style="double">
        <color rgb="FF35A36B"/>
      </top>
      <bottom style="double">
        <color rgb="FF35A36B"/>
      </bottom>
      <diagonal style="hair">
        <color auto="1"/>
      </diagonal>
    </border>
    <border diagonalDown="1">
      <left style="thin">
        <color indexed="64"/>
      </left>
      <right/>
      <top style="double">
        <color rgb="FF35A36B"/>
      </top>
      <bottom style="double">
        <color rgb="FF35A36B"/>
      </bottom>
      <diagonal style="hair">
        <color auto="1"/>
      </diagonal>
    </border>
    <border diagonalDown="1">
      <left style="thin">
        <color indexed="64"/>
      </left>
      <right style="medium">
        <color indexed="64"/>
      </right>
      <top style="double">
        <color rgb="FF35A36B"/>
      </top>
      <bottom style="double">
        <color rgb="FF35A36B"/>
      </bottom>
      <diagonal style="hair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/>
      <diagonal style="hair">
        <color auto="1"/>
      </diagonal>
    </border>
    <border diagonalDown="1">
      <left/>
      <right style="thin">
        <color indexed="64"/>
      </right>
      <top/>
      <bottom/>
      <diagonal style="hair">
        <color auto="1"/>
      </diagonal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indexed="64"/>
      </bottom>
      <diagonal style="hair">
        <color auto="1"/>
      </diagonal>
    </border>
    <border>
      <left style="thin">
        <color indexed="64"/>
      </left>
      <right style="medium">
        <color indexed="64"/>
      </right>
      <top/>
      <bottom style="double">
        <color rgb="FF35A36B"/>
      </bottom>
      <diagonal/>
    </border>
    <border>
      <left style="double">
        <color rgb="FF35A36B"/>
      </left>
      <right style="double">
        <color rgb="FF35A36B"/>
      </right>
      <top style="double">
        <color rgb="FF35A36B"/>
      </top>
      <bottom/>
      <diagonal/>
    </border>
    <border>
      <left style="double">
        <color rgb="FF35A36B"/>
      </left>
      <right style="double">
        <color rgb="FF35A36B"/>
      </right>
      <top style="thin">
        <color indexed="64"/>
      </top>
      <bottom style="double">
        <color rgb="FF35A36B"/>
      </bottom>
      <diagonal/>
    </border>
    <border>
      <left style="double">
        <color rgb="FF35A36B"/>
      </left>
      <right style="double">
        <color rgb="FF35A36B"/>
      </right>
      <top style="thin">
        <color theme="1"/>
      </top>
      <bottom style="double">
        <color rgb="FF35A3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auto="1"/>
      </right>
      <top style="double">
        <color indexed="64"/>
      </top>
      <bottom style="double">
        <color indexed="64"/>
      </bottom>
      <diagonal/>
    </border>
    <border>
      <left/>
      <right style="double">
        <color indexed="57"/>
      </right>
      <top style="medium">
        <color indexed="64"/>
      </top>
      <bottom style="medium">
        <color indexed="64"/>
      </bottom>
      <diagonal/>
    </border>
    <border>
      <left style="double">
        <color indexed="57"/>
      </left>
      <right/>
      <top style="double">
        <color indexed="57"/>
      </top>
      <bottom style="double">
        <color indexed="57"/>
      </bottom>
      <diagonal/>
    </border>
    <border>
      <left/>
      <right/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rgb="FF35A36B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5A36B"/>
      </bottom>
      <diagonal/>
    </border>
    <border>
      <left style="thin">
        <color indexed="64"/>
      </left>
      <right style="double">
        <color indexed="64"/>
      </right>
      <top style="medium">
        <color auto="1"/>
      </top>
      <bottom/>
      <diagonal/>
    </border>
  </borders>
  <cellStyleXfs count="1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38" fontId="3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38" fontId="3" fillId="0" borderId="0" applyFont="0" applyFill="0" applyBorder="0" applyAlignment="0" applyProtection="0"/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5" fillId="0" borderId="0"/>
    <xf numFmtId="0" fontId="19" fillId="0" borderId="0"/>
  </cellStyleXfs>
  <cellXfs count="557">
    <xf numFmtId="0" fontId="0" fillId="0" borderId="0" xfId="0"/>
    <xf numFmtId="0" fontId="3" fillId="0" borderId="0" xfId="2">
      <alignment vertical="center"/>
    </xf>
    <xf numFmtId="0" fontId="4" fillId="0" borderId="0" xfId="2" applyFont="1" applyBorder="1" applyAlignment="1">
      <alignment vertical="center"/>
    </xf>
    <xf numFmtId="0" fontId="3" fillId="0" borderId="0" xfId="2" applyBorder="1">
      <alignment vertical="center"/>
    </xf>
    <xf numFmtId="0" fontId="3" fillId="0" borderId="0" xfId="2" applyAlignment="1">
      <alignment vertical="center"/>
    </xf>
    <xf numFmtId="0" fontId="3" fillId="0" borderId="0" xfId="2" applyAlignment="1">
      <alignment horizontal="left" vertical="center"/>
    </xf>
    <xf numFmtId="0" fontId="8" fillId="0" borderId="0" xfId="2" applyFont="1">
      <alignment vertical="center"/>
    </xf>
    <xf numFmtId="0" fontId="9" fillId="0" borderId="0" xfId="2" applyFont="1" applyAlignment="1">
      <alignment vertical="center"/>
    </xf>
    <xf numFmtId="0" fontId="7" fillId="0" borderId="1" xfId="2" applyFont="1" applyBorder="1" applyAlignment="1">
      <alignment horizontal="center" vertical="center" shrinkToFit="1"/>
    </xf>
    <xf numFmtId="0" fontId="7" fillId="0" borderId="19" xfId="2" applyFont="1" applyBorder="1" applyAlignment="1">
      <alignment horizontal="center" vertical="center" shrinkToFit="1"/>
    </xf>
    <xf numFmtId="0" fontId="7" fillId="0" borderId="13" xfId="2" applyFont="1" applyBorder="1" applyAlignment="1">
      <alignment horizontal="distributed" vertical="center" shrinkToFit="1"/>
    </xf>
    <xf numFmtId="0" fontId="7" fillId="0" borderId="16" xfId="2" applyFont="1" applyBorder="1" applyAlignment="1">
      <alignment horizontal="distributed" vertical="center" shrinkToFit="1"/>
    </xf>
    <xf numFmtId="0" fontId="0" fillId="0" borderId="8" xfId="0" applyBorder="1"/>
    <xf numFmtId="0" fontId="7" fillId="0" borderId="8" xfId="2" applyFont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12" fillId="0" borderId="0" xfId="3" applyFont="1" applyFill="1" applyBorder="1" applyAlignment="1"/>
    <xf numFmtId="0" fontId="13" fillId="0" borderId="0" xfId="3" applyFont="1" applyBorder="1" applyAlignment="1"/>
    <xf numFmtId="0" fontId="14" fillId="0" borderId="0" xfId="3" applyFont="1" applyBorder="1" applyAlignment="1"/>
    <xf numFmtId="0" fontId="3" fillId="0" borderId="0" xfId="3" applyFont="1" applyBorder="1" applyAlignment="1" applyProtection="1"/>
    <xf numFmtId="0" fontId="3" fillId="0" borderId="0" xfId="3" applyFont="1" applyBorder="1" applyAlignment="1"/>
    <xf numFmtId="0" fontId="15" fillId="0" borderId="0" xfId="3" applyFont="1" applyBorder="1" applyAlignment="1"/>
    <xf numFmtId="0" fontId="5" fillId="0" borderId="0" xfId="3" applyFont="1" applyBorder="1" applyAlignment="1"/>
    <xf numFmtId="0" fontId="16" fillId="0" borderId="0" xfId="3" applyFont="1" applyBorder="1" applyAlignment="1">
      <alignment vertical="center"/>
    </xf>
    <xf numFmtId="0" fontId="3" fillId="0" borderId="0" xfId="3" applyFont="1" applyBorder="1" applyAlignment="1">
      <alignment vertical="center"/>
    </xf>
    <xf numFmtId="0" fontId="14" fillId="0" borderId="0" xfId="3" applyFont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19" fillId="0" borderId="0" xfId="3" applyFont="1" applyBorder="1" applyAlignment="1"/>
    <xf numFmtId="0" fontId="19" fillId="0" borderId="0" xfId="3" applyFont="1" applyBorder="1" applyAlignment="1">
      <alignment horizontal="left" vertical="center"/>
    </xf>
    <xf numFmtId="0" fontId="19" fillId="0" borderId="0" xfId="3" applyFont="1" applyBorder="1" applyAlignment="1">
      <alignment vertical="center" textRotation="255"/>
    </xf>
    <xf numFmtId="0" fontId="19" fillId="0" borderId="0" xfId="3" applyFont="1" applyBorder="1" applyAlignment="1" applyProtection="1"/>
    <xf numFmtId="0" fontId="7" fillId="0" borderId="3" xfId="2" applyFont="1" applyBorder="1" applyAlignment="1">
      <alignment horizontal="center" vertical="center" shrinkToFit="1"/>
    </xf>
    <xf numFmtId="0" fontId="7" fillId="0" borderId="44" xfId="2" applyFont="1" applyBorder="1" applyAlignment="1">
      <alignment horizontal="center" vertical="center" shrinkToFit="1"/>
    </xf>
    <xf numFmtId="0" fontId="7" fillId="0" borderId="8" xfId="2" applyFont="1" applyBorder="1" applyAlignment="1">
      <alignment horizontal="center" vertical="center" shrinkToFit="1"/>
    </xf>
    <xf numFmtId="0" fontId="7" fillId="0" borderId="17" xfId="2" applyFont="1" applyBorder="1" applyAlignment="1">
      <alignment horizontal="center" vertical="center" shrinkToFit="1"/>
    </xf>
    <xf numFmtId="0" fontId="9" fillId="0" borderId="0" xfId="2" applyFont="1" applyAlignment="1">
      <alignment horizontal="left" vertical="center"/>
    </xf>
    <xf numFmtId="0" fontId="3" fillId="0" borderId="39" xfId="2" applyBorder="1">
      <alignment vertical="center"/>
    </xf>
    <xf numFmtId="0" fontId="7" fillId="5" borderId="59" xfId="2" applyFont="1" applyFill="1" applyBorder="1" applyAlignment="1">
      <alignment horizontal="distributed" vertical="center" indent="1"/>
    </xf>
    <xf numFmtId="0" fontId="7" fillId="5" borderId="37" xfId="2" applyFont="1" applyFill="1" applyBorder="1" applyAlignment="1">
      <alignment horizontal="distributed" vertical="center" indent="1"/>
    </xf>
    <xf numFmtId="0" fontId="7" fillId="5" borderId="30" xfId="2" applyFont="1" applyFill="1" applyBorder="1" applyAlignment="1">
      <alignment horizontal="center" vertical="center" justifyLastLine="1"/>
    </xf>
    <xf numFmtId="0" fontId="7" fillId="5" borderId="31" xfId="2" applyFont="1" applyFill="1" applyBorder="1" applyAlignment="1">
      <alignment horizontal="center" vertical="center" justifyLastLine="1"/>
    </xf>
    <xf numFmtId="0" fontId="7" fillId="3" borderId="37" xfId="2" applyFont="1" applyFill="1" applyBorder="1" applyAlignment="1">
      <alignment horizontal="center" vertical="center" justifyLastLine="1"/>
    </xf>
    <xf numFmtId="0" fontId="7" fillId="3" borderId="34" xfId="2" applyFont="1" applyFill="1" applyBorder="1" applyAlignment="1">
      <alignment horizontal="center" vertical="center" justifyLastLine="1"/>
    </xf>
    <xf numFmtId="0" fontId="7" fillId="3" borderId="41" xfId="2" applyFont="1" applyFill="1" applyBorder="1" applyAlignment="1">
      <alignment horizontal="center" vertical="center" justifyLastLine="1"/>
    </xf>
    <xf numFmtId="0" fontId="7" fillId="3" borderId="14" xfId="2" applyFont="1" applyFill="1" applyBorder="1" applyAlignment="1">
      <alignment horizontal="center" vertical="center" justifyLastLine="1"/>
    </xf>
    <xf numFmtId="0" fontId="7" fillId="3" borderId="9" xfId="2" applyFont="1" applyFill="1" applyBorder="1" applyAlignment="1">
      <alignment horizontal="center" vertical="center" wrapText="1" justifyLastLine="1"/>
    </xf>
    <xf numFmtId="0" fontId="7" fillId="3" borderId="61" xfId="2" applyFont="1" applyFill="1" applyBorder="1" applyAlignment="1">
      <alignment horizontal="center" vertical="center" wrapText="1" justifyLastLine="1"/>
    </xf>
    <xf numFmtId="0" fontId="7" fillId="5" borderId="62" xfId="2" applyFont="1" applyFill="1" applyBorder="1" applyAlignment="1">
      <alignment horizontal="center" vertical="center" justifyLastLine="1"/>
    </xf>
    <xf numFmtId="0" fontId="7" fillId="5" borderId="45" xfId="2" applyFont="1" applyFill="1" applyBorder="1" applyAlignment="1">
      <alignment horizontal="center" vertical="center" justifyLastLine="1"/>
    </xf>
    <xf numFmtId="0" fontId="7" fillId="5" borderId="52" xfId="2" applyFont="1" applyFill="1" applyBorder="1" applyAlignment="1">
      <alignment horizontal="center" vertical="center" justifyLastLine="1"/>
    </xf>
    <xf numFmtId="0" fontId="7" fillId="5" borderId="46" xfId="2" applyFont="1" applyFill="1" applyBorder="1" applyAlignment="1">
      <alignment horizontal="center" vertical="center" justifyLastLine="1"/>
    </xf>
    <xf numFmtId="0" fontId="7" fillId="3" borderId="45" xfId="2" applyFont="1" applyFill="1" applyBorder="1" applyAlignment="1">
      <alignment horizontal="center" vertical="center" justifyLastLine="1"/>
    </xf>
    <xf numFmtId="0" fontId="7" fillId="2" borderId="60" xfId="2" applyFont="1" applyFill="1" applyBorder="1" applyAlignment="1">
      <alignment vertical="center" justifyLastLine="1"/>
    </xf>
    <xf numFmtId="0" fontId="7" fillId="2" borderId="14" xfId="2" applyFont="1" applyFill="1" applyBorder="1" applyAlignment="1">
      <alignment vertical="center" justifyLastLine="1"/>
    </xf>
    <xf numFmtId="0" fontId="22" fillId="2" borderId="49" xfId="2" applyFont="1" applyFill="1" applyBorder="1" applyAlignment="1">
      <alignment horizontal="right" vertical="top"/>
    </xf>
    <xf numFmtId="0" fontId="22" fillId="2" borderId="10" xfId="2" applyFont="1" applyFill="1" applyBorder="1" applyAlignment="1">
      <alignment horizontal="right" vertical="top"/>
    </xf>
    <xf numFmtId="0" fontId="22" fillId="2" borderId="14" xfId="2" applyFont="1" applyFill="1" applyBorder="1" applyAlignment="1">
      <alignment horizontal="right" vertical="top"/>
    </xf>
    <xf numFmtId="0" fontId="22" fillId="2" borderId="64" xfId="2" applyFont="1" applyFill="1" applyBorder="1" applyAlignment="1">
      <alignment horizontal="right" vertical="top"/>
    </xf>
    <xf numFmtId="0" fontId="7" fillId="2" borderId="65" xfId="2" applyFont="1" applyFill="1" applyBorder="1" applyAlignment="1">
      <alignment vertical="center" justifyLastLine="1"/>
    </xf>
    <xf numFmtId="0" fontId="7" fillId="2" borderId="15" xfId="2" applyFont="1" applyFill="1" applyBorder="1" applyAlignment="1">
      <alignment vertical="center" justifyLastLine="1"/>
    </xf>
    <xf numFmtId="0" fontId="7" fillId="2" borderId="53" xfId="2" applyFont="1" applyFill="1" applyBorder="1" applyAlignment="1">
      <alignment vertical="center"/>
    </xf>
    <xf numFmtId="0" fontId="7" fillId="2" borderId="6" xfId="2" applyFont="1" applyFill="1" applyBorder="1" applyAlignment="1">
      <alignment vertical="center"/>
    </xf>
    <xf numFmtId="0" fontId="7" fillId="2" borderId="15" xfId="2" applyFont="1" applyFill="1" applyBorder="1" applyAlignment="1">
      <alignment vertical="center"/>
    </xf>
    <xf numFmtId="0" fontId="7" fillId="2" borderId="20" xfId="2" applyFont="1" applyFill="1" applyBorder="1" applyAlignment="1">
      <alignment vertical="center"/>
    </xf>
    <xf numFmtId="0" fontId="7" fillId="2" borderId="13" xfId="2" applyFont="1" applyFill="1" applyBorder="1" applyAlignment="1">
      <alignment vertical="center" justifyLastLine="1"/>
    </xf>
    <xf numFmtId="0" fontId="7" fillId="2" borderId="1" xfId="2" applyFont="1" applyFill="1" applyBorder="1" applyAlignment="1">
      <alignment vertical="center"/>
    </xf>
    <xf numFmtId="0" fontId="7" fillId="2" borderId="13" xfId="2" applyFont="1" applyFill="1" applyBorder="1" applyAlignment="1">
      <alignment vertical="center"/>
    </xf>
    <xf numFmtId="0" fontId="7" fillId="2" borderId="12" xfId="2" applyFont="1" applyFill="1" applyBorder="1" applyAlignment="1">
      <alignment vertical="center"/>
    </xf>
    <xf numFmtId="0" fontId="7" fillId="2" borderId="13" xfId="2" quotePrefix="1" applyFont="1" applyFill="1" applyBorder="1" applyAlignment="1">
      <alignment vertical="center" justifyLastLine="1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 shrinkToFit="1"/>
    </xf>
    <xf numFmtId="0" fontId="7" fillId="2" borderId="45" xfId="2" applyFont="1" applyFill="1" applyBorder="1" applyAlignment="1">
      <alignment vertical="center" justifyLastLine="1"/>
    </xf>
    <xf numFmtId="0" fontId="7" fillId="2" borderId="42" xfId="2" applyFont="1" applyFill="1" applyBorder="1" applyAlignment="1">
      <alignment vertical="center"/>
    </xf>
    <xf numFmtId="0" fontId="7" fillId="2" borderId="43" xfId="2" applyFont="1" applyFill="1" applyBorder="1" applyAlignment="1">
      <alignment vertical="center"/>
    </xf>
    <xf numFmtId="0" fontId="7" fillId="2" borderId="43" xfId="2" applyFont="1" applyFill="1" applyBorder="1" applyAlignment="1">
      <alignment vertical="center" shrinkToFit="1"/>
    </xf>
    <xf numFmtId="0" fontId="7" fillId="2" borderId="45" xfId="2" applyFont="1" applyFill="1" applyBorder="1" applyAlignment="1">
      <alignment vertical="center"/>
    </xf>
    <xf numFmtId="0" fontId="7" fillId="2" borderId="63" xfId="2" applyFont="1" applyFill="1" applyBorder="1" applyAlignment="1">
      <alignment vertical="center"/>
    </xf>
    <xf numFmtId="0" fontId="17" fillId="0" borderId="0" xfId="3" applyFont="1" applyBorder="1" applyAlignment="1">
      <alignment horizontal="distributed" vertical="center" justifyLastLine="1"/>
    </xf>
    <xf numFmtId="0" fontId="17" fillId="0" borderId="0" xfId="3" applyFont="1" applyBorder="1" applyAlignment="1">
      <alignment horizontal="center" vertical="center"/>
    </xf>
    <xf numFmtId="0" fontId="22" fillId="5" borderId="60" xfId="2" applyFont="1" applyFill="1" applyBorder="1" applyAlignment="1">
      <alignment horizontal="center" vertical="center" justifyLastLine="1"/>
    </xf>
    <xf numFmtId="0" fontId="22" fillId="5" borderId="14" xfId="2" applyFont="1" applyFill="1" applyBorder="1" applyAlignment="1">
      <alignment horizontal="center" vertical="center" justifyLastLine="1"/>
    </xf>
    <xf numFmtId="0" fontId="22" fillId="5" borderId="49" xfId="2" applyFont="1" applyFill="1" applyBorder="1" applyAlignment="1">
      <alignment horizontal="center" vertical="center" justifyLastLine="1"/>
    </xf>
    <xf numFmtId="0" fontId="22" fillId="5" borderId="10" xfId="2" applyFont="1" applyFill="1" applyBorder="1" applyAlignment="1">
      <alignment horizontal="center" vertical="center" justifyLastLine="1"/>
    </xf>
    <xf numFmtId="0" fontId="25" fillId="0" borderId="0" xfId="3" applyFont="1" applyFill="1" applyBorder="1"/>
    <xf numFmtId="0" fontId="25" fillId="0" borderId="0" xfId="3" applyFont="1" applyFill="1" applyBorder="1" applyAlignment="1"/>
    <xf numFmtId="0" fontId="26" fillId="0" borderId="0" xfId="3" applyFont="1" applyFill="1" applyBorder="1" applyAlignment="1"/>
    <xf numFmtId="0" fontId="16" fillId="0" borderId="0" xfId="3" applyFont="1" applyBorder="1" applyAlignment="1">
      <alignment vertical="top"/>
    </xf>
    <xf numFmtId="0" fontId="27" fillId="0" borderId="0" xfId="3" applyFont="1" applyFill="1" applyBorder="1" applyAlignment="1">
      <alignment vertical="top"/>
    </xf>
    <xf numFmtId="0" fontId="3" fillId="0" borderId="0" xfId="3" applyFont="1" applyBorder="1" applyAlignment="1">
      <alignment vertical="top"/>
    </xf>
    <xf numFmtId="0" fontId="14" fillId="0" borderId="0" xfId="3" applyFont="1" applyBorder="1" applyAlignment="1">
      <alignment vertical="top"/>
    </xf>
    <xf numFmtId="0" fontId="15" fillId="0" borderId="0" xfId="3" applyFont="1" applyBorder="1" applyAlignment="1">
      <alignment vertical="top"/>
    </xf>
    <xf numFmtId="0" fontId="3" fillId="0" borderId="0" xfId="3" applyFont="1" applyBorder="1" applyAlignment="1">
      <alignment horizontal="right" vertical="top"/>
    </xf>
    <xf numFmtId="0" fontId="3" fillId="0" borderId="67" xfId="3" applyFont="1" applyBorder="1" applyAlignment="1"/>
    <xf numFmtId="0" fontId="3" fillId="0" borderId="37" xfId="3" applyBorder="1" applyAlignment="1">
      <alignment horizontal="center" vertical="center"/>
    </xf>
    <xf numFmtId="0" fontId="3" fillId="0" borderId="31" xfId="3" applyBorder="1" applyAlignment="1">
      <alignment horizontal="center" vertical="center"/>
    </xf>
    <xf numFmtId="0" fontId="3" fillId="0" borderId="32" xfId="3" applyBorder="1" applyAlignment="1">
      <alignment horizontal="center" vertical="center"/>
    </xf>
    <xf numFmtId="0" fontId="29" fillId="4" borderId="70" xfId="3" applyFont="1" applyFill="1" applyBorder="1" applyAlignment="1">
      <alignment horizontal="center" vertical="center" shrinkToFit="1"/>
    </xf>
    <xf numFmtId="0" fontId="29" fillId="4" borderId="8" xfId="3" applyFont="1" applyFill="1" applyBorder="1" applyAlignment="1">
      <alignment horizontal="center" vertical="center" shrinkToFit="1"/>
    </xf>
    <xf numFmtId="0" fontId="29" fillId="4" borderId="73" xfId="3" applyFont="1" applyFill="1" applyBorder="1" applyAlignment="1">
      <alignment horizontal="center" vertical="center" shrinkToFit="1"/>
    </xf>
    <xf numFmtId="0" fontId="29" fillId="4" borderId="74" xfId="3" applyFont="1" applyFill="1" applyBorder="1" applyAlignment="1">
      <alignment horizontal="center" vertical="center" shrinkToFit="1"/>
    </xf>
    <xf numFmtId="0" fontId="20" fillId="0" borderId="0" xfId="3" applyFont="1" applyBorder="1" applyAlignment="1">
      <alignment vertical="center"/>
    </xf>
    <xf numFmtId="0" fontId="30" fillId="0" borderId="0" xfId="3" applyFont="1" applyBorder="1" applyAlignment="1">
      <alignment vertical="center" wrapText="1" justifyLastLine="1"/>
    </xf>
    <xf numFmtId="0" fontId="30" fillId="0" borderId="58" xfId="3" applyFont="1" applyBorder="1" applyAlignment="1">
      <alignment vertical="center" wrapText="1" justifyLastLine="1"/>
    </xf>
    <xf numFmtId="0" fontId="29" fillId="6" borderId="80" xfId="3" applyFont="1" applyFill="1" applyBorder="1" applyAlignment="1">
      <alignment horizontal="center" vertical="center" shrinkToFit="1"/>
    </xf>
    <xf numFmtId="0" fontId="29" fillId="6" borderId="81" xfId="3" applyFont="1" applyFill="1" applyBorder="1" applyAlignment="1">
      <alignment horizontal="center" vertical="center" shrinkToFit="1"/>
    </xf>
    <xf numFmtId="0" fontId="17" fillId="0" borderId="85" xfId="3" applyFont="1" applyBorder="1" applyAlignment="1">
      <alignment horizontal="center" vertical="center" wrapText="1"/>
    </xf>
    <xf numFmtId="0" fontId="3" fillId="0" borderId="0" xfId="3"/>
    <xf numFmtId="0" fontId="3" fillId="0" borderId="0" xfId="3" applyFont="1" applyFill="1" applyBorder="1" applyAlignment="1"/>
    <xf numFmtId="0" fontId="0" fillId="3" borderId="10" xfId="0" applyFill="1" applyBorder="1" applyAlignment="1">
      <alignment horizontal="center"/>
    </xf>
    <xf numFmtId="177" fontId="29" fillId="4" borderId="1" xfId="3" applyNumberFormat="1" applyFont="1" applyFill="1" applyBorder="1" applyAlignment="1">
      <alignment horizontal="center" vertical="center" shrinkToFit="1"/>
    </xf>
    <xf numFmtId="177" fontId="29" fillId="4" borderId="8" xfId="3" applyNumberFormat="1" applyFont="1" applyFill="1" applyBorder="1" applyAlignment="1">
      <alignment horizontal="center" vertical="center" shrinkToFit="1"/>
    </xf>
    <xf numFmtId="177" fontId="29" fillId="4" borderId="71" xfId="3" applyNumberFormat="1" applyFont="1" applyFill="1" applyBorder="1" applyAlignment="1">
      <alignment horizontal="center" vertical="center" shrinkToFit="1"/>
    </xf>
    <xf numFmtId="177" fontId="29" fillId="4" borderId="75" xfId="3" applyNumberFormat="1" applyFont="1" applyFill="1" applyBorder="1" applyAlignment="1">
      <alignment horizontal="center" vertical="center" shrinkToFit="1"/>
    </xf>
    <xf numFmtId="177" fontId="29" fillId="4" borderId="74" xfId="3" applyNumberFormat="1" applyFont="1" applyFill="1" applyBorder="1" applyAlignment="1">
      <alignment horizontal="center" vertical="center" shrinkToFit="1"/>
    </xf>
    <xf numFmtId="177" fontId="29" fillId="4" borderId="76" xfId="3" applyNumberFormat="1" applyFont="1" applyFill="1" applyBorder="1" applyAlignment="1">
      <alignment horizontal="center" vertical="center" shrinkToFit="1"/>
    </xf>
    <xf numFmtId="177" fontId="29" fillId="6" borderId="82" xfId="3" applyNumberFormat="1" applyFont="1" applyFill="1" applyBorder="1" applyAlignment="1">
      <alignment horizontal="center" vertical="center" shrinkToFit="1"/>
    </xf>
    <xf numFmtId="177" fontId="29" fillId="6" borderId="83" xfId="3" applyNumberFormat="1" applyFont="1" applyFill="1" applyBorder="1" applyAlignment="1">
      <alignment horizontal="center" vertical="center" shrinkToFit="1"/>
    </xf>
    <xf numFmtId="177" fontId="29" fillId="6" borderId="84" xfId="3" applyNumberFormat="1" applyFont="1" applyFill="1" applyBorder="1" applyAlignment="1">
      <alignment horizontal="center" vertical="center" shrinkToFit="1"/>
    </xf>
    <xf numFmtId="177" fontId="7" fillId="0" borderId="8" xfId="2" applyNumberFormat="1" applyFont="1" applyBorder="1" applyAlignment="1">
      <alignment horizontal="center" vertical="center"/>
    </xf>
    <xf numFmtId="177" fontId="7" fillId="0" borderId="8" xfId="2" applyNumberFormat="1" applyFont="1" applyBorder="1" applyAlignment="1">
      <alignment horizontal="center" vertical="center" shrinkToFit="1"/>
    </xf>
    <xf numFmtId="177" fontId="7" fillId="0" borderId="17" xfId="2" applyNumberFormat="1" applyFont="1" applyBorder="1" applyAlignment="1">
      <alignment horizontal="center" vertical="center"/>
    </xf>
    <xf numFmtId="177" fontId="7" fillId="0" borderId="17" xfId="2" applyNumberFormat="1" applyFont="1" applyBorder="1" applyAlignment="1">
      <alignment horizontal="center" vertical="center" shrinkToFit="1"/>
    </xf>
    <xf numFmtId="0" fontId="4" fillId="5" borderId="92" xfId="2" applyFont="1" applyFill="1" applyBorder="1" applyAlignment="1">
      <alignment horizontal="center" vertical="center"/>
    </xf>
    <xf numFmtId="0" fontId="4" fillId="0" borderId="62" xfId="2" applyFont="1" applyBorder="1" applyAlignment="1">
      <alignment horizontal="center" vertical="center"/>
    </xf>
    <xf numFmtId="0" fontId="12" fillId="0" borderId="0" xfId="3" applyFont="1" applyFill="1" applyBorder="1" applyAlignment="1">
      <alignment vertical="center"/>
    </xf>
    <xf numFmtId="0" fontId="13" fillId="0" borderId="0" xfId="3" applyFont="1" applyFill="1" applyBorder="1" applyAlignment="1">
      <alignment vertical="center"/>
    </xf>
    <xf numFmtId="0" fontId="14" fillId="0" borderId="0" xfId="3" applyFont="1" applyFill="1" applyBorder="1" applyAlignment="1">
      <alignment vertical="center"/>
    </xf>
    <xf numFmtId="0" fontId="3" fillId="0" borderId="0" xfId="3" applyFont="1" applyFill="1" applyBorder="1" applyAlignment="1" applyProtection="1">
      <alignment vertical="center"/>
    </xf>
    <xf numFmtId="0" fontId="3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vertical="center"/>
    </xf>
    <xf numFmtId="0" fontId="5" fillId="0" borderId="0" xfId="3" applyFont="1" applyFill="1" applyBorder="1" applyAlignment="1"/>
    <xf numFmtId="0" fontId="15" fillId="0" borderId="0" xfId="3" applyFont="1" applyFill="1" applyBorder="1" applyAlignment="1"/>
    <xf numFmtId="0" fontId="5" fillId="0" borderId="0" xfId="3" applyFont="1" applyFill="1" applyBorder="1" applyAlignment="1" applyProtection="1"/>
    <xf numFmtId="0" fontId="16" fillId="0" borderId="0" xfId="3" applyFont="1" applyFill="1" applyBorder="1" applyAlignment="1">
      <alignment vertical="center"/>
    </xf>
    <xf numFmtId="0" fontId="5" fillId="0" borderId="0" xfId="3" applyFont="1" applyFill="1" applyBorder="1" applyAlignment="1">
      <alignment vertical="center"/>
    </xf>
    <xf numFmtId="0" fontId="5" fillId="0" borderId="0" xfId="3" applyFont="1" applyFill="1" applyBorder="1" applyAlignment="1" applyProtection="1">
      <alignment vertical="center"/>
    </xf>
    <xf numFmtId="0" fontId="17" fillId="0" borderId="33" xfId="3" applyFont="1" applyFill="1" applyBorder="1" applyAlignment="1">
      <alignment vertical="center" wrapText="1" justifyLastLine="1"/>
    </xf>
    <xf numFmtId="0" fontId="17" fillId="0" borderId="30" xfId="3" applyFont="1" applyFill="1" applyBorder="1" applyAlignment="1">
      <alignment vertical="center" wrapText="1" justifyLastLine="1"/>
    </xf>
    <xf numFmtId="0" fontId="17" fillId="0" borderId="34" xfId="3" applyFont="1" applyFill="1" applyBorder="1" applyAlignment="1">
      <alignment vertical="center" justifyLastLine="1"/>
    </xf>
    <xf numFmtId="0" fontId="17" fillId="0" borderId="41" xfId="3" applyFont="1" applyFill="1" applyBorder="1" applyAlignment="1">
      <alignment vertical="center" justifyLastLine="1"/>
    </xf>
    <xf numFmtId="0" fontId="17" fillId="0" borderId="41" xfId="3" applyFont="1" applyFill="1" applyBorder="1" applyAlignment="1">
      <alignment vertical="center" wrapText="1" justifyLastLine="1"/>
    </xf>
    <xf numFmtId="0" fontId="17" fillId="0" borderId="47" xfId="3" applyFont="1" applyFill="1" applyBorder="1" applyAlignment="1">
      <alignment vertical="center" wrapText="1" justifyLastLine="1"/>
    </xf>
    <xf numFmtId="0" fontId="17" fillId="0" borderId="49" xfId="3" applyFont="1" applyFill="1" applyBorder="1" applyAlignment="1">
      <alignment vertical="center" wrapText="1" justifyLastLine="1"/>
    </xf>
    <xf numFmtId="0" fontId="17" fillId="0" borderId="0" xfId="3" applyFont="1" applyFill="1" applyBorder="1" applyAlignment="1">
      <alignment vertical="center" justifyLastLine="1"/>
    </xf>
    <xf numFmtId="0" fontId="17" fillId="0" borderId="50" xfId="3" applyFont="1" applyFill="1" applyBorder="1" applyAlignment="1">
      <alignment vertical="center" justifyLastLine="1"/>
    </xf>
    <xf numFmtId="0" fontId="17" fillId="0" borderId="50" xfId="3" applyFont="1" applyFill="1" applyBorder="1" applyAlignment="1">
      <alignment vertical="center" wrapText="1" justifyLastLine="1"/>
    </xf>
    <xf numFmtId="0" fontId="17" fillId="0" borderId="51" xfId="3" applyFont="1" applyFill="1" applyBorder="1" applyAlignment="1">
      <alignment vertical="center" wrapText="1" justifyLastLine="1"/>
    </xf>
    <xf numFmtId="0" fontId="17" fillId="0" borderId="52" xfId="3" applyFont="1" applyFill="1" applyBorder="1" applyAlignment="1">
      <alignment vertical="center" wrapText="1" justifyLastLine="1"/>
    </xf>
    <xf numFmtId="0" fontId="17" fillId="0" borderId="42" xfId="3" applyFont="1" applyFill="1" applyBorder="1" applyAlignment="1">
      <alignment vertical="center" justifyLastLine="1"/>
    </xf>
    <xf numFmtId="0" fontId="17" fillId="0" borderId="40" xfId="3" applyFont="1" applyFill="1" applyBorder="1" applyAlignment="1">
      <alignment vertical="center" justifyLastLine="1"/>
    </xf>
    <xf numFmtId="0" fontId="17" fillId="0" borderId="40" xfId="3" applyFont="1" applyFill="1" applyBorder="1" applyAlignment="1">
      <alignment vertical="center" wrapText="1" justifyLastLine="1"/>
    </xf>
    <xf numFmtId="0" fontId="17" fillId="0" borderId="0" xfId="3" applyFont="1" applyFill="1" applyBorder="1" applyAlignment="1">
      <alignment vertical="center" wrapText="1" justifyLastLine="1"/>
    </xf>
    <xf numFmtId="0" fontId="17" fillId="0" borderId="105" xfId="3" applyFont="1" applyFill="1" applyBorder="1" applyAlignment="1">
      <alignment vertical="center" wrapText="1" justifyLastLine="1"/>
    </xf>
    <xf numFmtId="0" fontId="17" fillId="0" borderId="2" xfId="3" applyFont="1" applyFill="1" applyBorder="1" applyAlignment="1">
      <alignment vertical="center" wrapText="1" justifyLastLine="1"/>
    </xf>
    <xf numFmtId="0" fontId="17" fillId="0" borderId="3" xfId="3" applyFont="1" applyFill="1" applyBorder="1" applyAlignment="1">
      <alignment vertical="center" wrapText="1" justifyLastLine="1"/>
    </xf>
    <xf numFmtId="0" fontId="17" fillId="0" borderId="111" xfId="3" applyFont="1" applyFill="1" applyBorder="1" applyAlignment="1">
      <alignment vertical="center" wrapText="1" justifyLastLine="1"/>
    </xf>
    <xf numFmtId="0" fontId="19" fillId="0" borderId="0" xfId="3" applyFont="1" applyFill="1" applyBorder="1" applyAlignment="1">
      <alignment horizontal="left" vertical="top"/>
    </xf>
    <xf numFmtId="0" fontId="19" fillId="0" borderId="0" xfId="3" applyFont="1" applyFill="1" applyBorder="1" applyAlignment="1">
      <alignment vertical="center" textRotation="255"/>
    </xf>
    <xf numFmtId="0" fontId="19" fillId="0" borderId="0" xfId="3" applyFont="1" applyFill="1" applyBorder="1" applyAlignment="1" applyProtection="1"/>
    <xf numFmtId="0" fontId="19" fillId="0" borderId="0" xfId="3" applyFont="1" applyFill="1" applyBorder="1" applyAlignment="1"/>
    <xf numFmtId="0" fontId="3" fillId="0" borderId="0" xfId="3" applyFont="1" applyFill="1" applyBorder="1" applyAlignment="1">
      <alignment horizontal="distributed" vertical="center" justifyLastLine="1"/>
    </xf>
    <xf numFmtId="0" fontId="33" fillId="0" borderId="0" xfId="3" applyFont="1" applyFill="1" applyBorder="1" applyAlignment="1">
      <alignment vertical="top"/>
    </xf>
    <xf numFmtId="0" fontId="31" fillId="0" borderId="0" xfId="3" applyFont="1" applyFill="1" applyBorder="1" applyAlignment="1" applyProtection="1">
      <alignment horizontal="left" vertical="center" wrapText="1"/>
    </xf>
    <xf numFmtId="0" fontId="34" fillId="0" borderId="0" xfId="3" applyFont="1" applyFill="1" applyBorder="1" applyAlignment="1">
      <alignment horizontal="distributed" vertical="center" justifyLastLine="1"/>
    </xf>
    <xf numFmtId="0" fontId="20" fillId="0" borderId="0" xfId="3" applyFont="1" applyFill="1" applyBorder="1" applyAlignment="1" applyProtection="1">
      <alignment horizontal="left" vertical="center"/>
    </xf>
    <xf numFmtId="0" fontId="3" fillId="0" borderId="0" xfId="3" applyFont="1" applyFill="1" applyBorder="1" applyAlignment="1" applyProtection="1"/>
    <xf numFmtId="0" fontId="36" fillId="0" borderId="8" xfId="0" applyFont="1" applyBorder="1"/>
    <xf numFmtId="0" fontId="8" fillId="0" borderId="0" xfId="2" applyFont="1">
      <alignment vertical="center"/>
    </xf>
    <xf numFmtId="0" fontId="36" fillId="0" borderId="8" xfId="7" applyFont="1" applyBorder="1" applyAlignment="1">
      <alignment vertical="center"/>
    </xf>
    <xf numFmtId="0" fontId="3" fillId="0" borderId="0" xfId="2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0" fontId="7" fillId="3" borderId="34" xfId="2" applyFont="1" applyFill="1" applyBorder="1" applyAlignment="1">
      <alignment horizontal="center" vertical="center" justifyLastLine="1"/>
    </xf>
    <xf numFmtId="0" fontId="7" fillId="3" borderId="9" xfId="2" applyFont="1" applyFill="1" applyBorder="1" applyAlignment="1">
      <alignment horizontal="center" vertical="center" wrapText="1" justifyLastLine="1"/>
    </xf>
    <xf numFmtId="0" fontId="22" fillId="2" borderId="10" xfId="2" applyFont="1" applyFill="1" applyBorder="1" applyAlignment="1">
      <alignment horizontal="right" vertical="top"/>
    </xf>
    <xf numFmtId="0" fontId="7" fillId="2" borderId="6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43" xfId="2" applyFont="1" applyFill="1" applyBorder="1" applyAlignment="1">
      <alignment vertical="center"/>
    </xf>
    <xf numFmtId="0" fontId="0" fillId="0" borderId="0" xfId="0"/>
    <xf numFmtId="0" fontId="3" fillId="0" borderId="0" xfId="3" applyFont="1" applyBorder="1" applyAlignment="1"/>
    <xf numFmtId="0" fontId="7" fillId="3" borderId="46" xfId="2" applyFont="1" applyFill="1" applyBorder="1" applyAlignment="1">
      <alignment horizontal="center" vertical="center" wrapText="1" justifyLastLine="1"/>
    </xf>
    <xf numFmtId="0" fontId="7" fillId="3" borderId="63" xfId="2" applyFont="1" applyFill="1" applyBorder="1" applyAlignment="1">
      <alignment horizontal="center" vertical="center" wrapText="1" justifyLastLine="1"/>
    </xf>
    <xf numFmtId="0" fontId="3" fillId="0" borderId="0" xfId="3" applyFont="1" applyFill="1" applyBorder="1" applyAlignment="1"/>
    <xf numFmtId="0" fontId="17" fillId="0" borderId="105" xfId="3" applyFont="1" applyFill="1" applyBorder="1" applyAlignment="1">
      <alignment vertical="center" wrapText="1" justifyLastLine="1"/>
    </xf>
    <xf numFmtId="0" fontId="17" fillId="0" borderId="2" xfId="3" applyFont="1" applyFill="1" applyBorder="1" applyAlignment="1">
      <alignment vertical="center" wrapText="1" justifyLastLine="1"/>
    </xf>
    <xf numFmtId="0" fontId="17" fillId="0" borderId="3" xfId="3" applyFont="1" applyFill="1" applyBorder="1" applyAlignment="1">
      <alignment vertical="center" wrapText="1" justifyLastLine="1"/>
    </xf>
    <xf numFmtId="0" fontId="17" fillId="0" borderId="111" xfId="3" applyFont="1" applyFill="1" applyBorder="1" applyAlignment="1">
      <alignment vertical="center" wrapText="1" justifyLastLine="1"/>
    </xf>
    <xf numFmtId="0" fontId="17" fillId="0" borderId="54" xfId="3" applyFont="1" applyFill="1" applyBorder="1" applyAlignment="1">
      <alignment vertical="center" wrapText="1" justifyLastLine="1"/>
    </xf>
    <xf numFmtId="0" fontId="17" fillId="0" borderId="5" xfId="3" applyFont="1" applyFill="1" applyBorder="1" applyAlignment="1">
      <alignment vertical="center" wrapText="1" justifyLastLine="1"/>
    </xf>
    <xf numFmtId="0" fontId="17" fillId="0" borderId="55" xfId="3" applyFont="1" applyFill="1" applyBorder="1" applyAlignment="1">
      <alignment vertical="center" wrapText="1" justifyLastLine="1"/>
    </xf>
    <xf numFmtId="0" fontId="17" fillId="0" borderId="57" xfId="3" applyFont="1" applyFill="1" applyBorder="1" applyAlignment="1">
      <alignment vertical="center" wrapText="1" justifyLastLine="1"/>
    </xf>
    <xf numFmtId="0" fontId="17" fillId="0" borderId="117" xfId="3" applyFont="1" applyFill="1" applyBorder="1" applyAlignment="1">
      <alignment vertical="center" wrapText="1" justifyLastLine="1"/>
    </xf>
    <xf numFmtId="0" fontId="17" fillId="0" borderId="119" xfId="3" applyFont="1" applyFill="1" applyBorder="1" applyAlignment="1">
      <alignment vertical="center" wrapText="1" justifyLastLine="1"/>
    </xf>
    <xf numFmtId="0" fontId="17" fillId="0" borderId="127" xfId="3" applyFont="1" applyFill="1" applyBorder="1" applyAlignment="1">
      <alignment vertical="center" wrapText="1" justifyLastLine="1"/>
    </xf>
    <xf numFmtId="0" fontId="17" fillId="0" borderId="128" xfId="3" applyFont="1" applyFill="1" applyBorder="1" applyAlignment="1">
      <alignment vertical="center" wrapText="1" justifyLastLine="1"/>
    </xf>
    <xf numFmtId="0" fontId="36" fillId="0" borderId="8" xfId="0" applyFont="1" applyBorder="1"/>
    <xf numFmtId="0" fontId="29" fillId="0" borderId="0" xfId="3" applyFont="1" applyFill="1" applyBorder="1" applyAlignment="1"/>
    <xf numFmtId="177" fontId="38" fillId="0" borderId="137" xfId="1" applyNumberFormat="1" applyFont="1" applyFill="1" applyBorder="1" applyAlignment="1" applyProtection="1">
      <alignment horizontal="center" vertical="center" justifyLastLine="1"/>
    </xf>
    <xf numFmtId="177" fontId="38" fillId="0" borderId="138" xfId="1" applyNumberFormat="1" applyFont="1" applyFill="1" applyBorder="1" applyAlignment="1" applyProtection="1">
      <alignment horizontal="center" vertical="center" justifyLastLine="1"/>
    </xf>
    <xf numFmtId="177" fontId="32" fillId="0" borderId="137" xfId="1" applyNumberFormat="1" applyFont="1" applyFill="1" applyBorder="1" applyAlignment="1" applyProtection="1">
      <alignment vertical="center" wrapText="1"/>
    </xf>
    <xf numFmtId="177" fontId="32" fillId="0" borderId="139" xfId="1" applyNumberFormat="1" applyFont="1" applyFill="1" applyBorder="1" applyAlignment="1" applyProtection="1">
      <alignment vertical="center" wrapText="1"/>
    </xf>
    <xf numFmtId="0" fontId="7" fillId="0" borderId="66" xfId="2" applyFont="1" applyFill="1" applyBorder="1" applyAlignment="1">
      <alignment vertical="center" justifyLastLine="1"/>
    </xf>
    <xf numFmtId="0" fontId="7" fillId="0" borderId="66" xfId="2" quotePrefix="1" applyFont="1" applyFill="1" applyBorder="1" applyAlignment="1">
      <alignment vertical="center" justifyLastLine="1"/>
    </xf>
    <xf numFmtId="0" fontId="3" fillId="0" borderId="0" xfId="1" applyFont="1">
      <alignment vertical="center"/>
    </xf>
    <xf numFmtId="0" fontId="3" fillId="0" borderId="0" xfId="1" applyFont="1" applyAlignment="1"/>
    <xf numFmtId="0" fontId="3" fillId="0" borderId="0" xfId="1" applyFont="1" applyAlignment="1">
      <alignment horizontal="center" vertical="center"/>
    </xf>
    <xf numFmtId="0" fontId="12" fillId="0" borderId="0" xfId="1" applyFont="1" applyAlignment="1"/>
    <xf numFmtId="0" fontId="5" fillId="0" borderId="0" xfId="1" applyFont="1" applyAlignment="1"/>
    <xf numFmtId="0" fontId="5" fillId="0" borderId="0" xfId="1" applyFont="1" applyAlignment="1">
      <alignment horizontal="center" vertical="center"/>
    </xf>
    <xf numFmtId="0" fontId="39" fillId="0" borderId="0" xfId="1" applyFont="1" applyAlignment="1"/>
    <xf numFmtId="0" fontId="39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" fillId="0" borderId="0" xfId="1" applyAlignment="1"/>
    <xf numFmtId="0" fontId="3" fillId="0" borderId="0" xfId="1" applyFont="1" applyAlignment="1">
      <alignment vertical="top"/>
    </xf>
    <xf numFmtId="0" fontId="3" fillId="0" borderId="0" xfId="1" applyFont="1" applyAlignment="1">
      <alignment horizontal="right" vertical="top"/>
    </xf>
    <xf numFmtId="0" fontId="29" fillId="0" borderId="0" xfId="1" applyFont="1" applyAlignment="1">
      <alignment horizontal="center"/>
    </xf>
    <xf numFmtId="0" fontId="29" fillId="0" borderId="0" xfId="13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178" fontId="32" fillId="0" borderId="9" xfId="4" applyNumberFormat="1" applyFont="1" applyFill="1" applyBorder="1" applyAlignment="1" applyProtection="1">
      <alignment horizontal="right" vertical="center" shrinkToFit="1"/>
    </xf>
    <xf numFmtId="178" fontId="32" fillId="0" borderId="8" xfId="4" applyNumberFormat="1" applyFont="1" applyFill="1" applyBorder="1" applyAlignment="1" applyProtection="1">
      <alignment horizontal="right" vertical="center" shrinkToFit="1"/>
    </xf>
    <xf numFmtId="0" fontId="29" fillId="0" borderId="0" xfId="1" applyFont="1" applyAlignment="1">
      <alignment horizontal="center" vertical="center" textRotation="255"/>
    </xf>
    <xf numFmtId="179" fontId="32" fillId="0" borderId="0" xfId="1" applyNumberFormat="1" applyFont="1">
      <alignment vertical="center"/>
    </xf>
    <xf numFmtId="0" fontId="29" fillId="0" borderId="1" xfId="13" applyFont="1" applyBorder="1" applyAlignment="1">
      <alignment horizontal="center" vertical="center" shrinkToFit="1"/>
    </xf>
    <xf numFmtId="178" fontId="32" fillId="0" borderId="141" xfId="4" applyNumberFormat="1" applyFont="1" applyFill="1" applyBorder="1" applyAlignment="1" applyProtection="1">
      <alignment horizontal="right" vertical="center" shrinkToFit="1"/>
    </xf>
    <xf numFmtId="178" fontId="32" fillId="0" borderId="142" xfId="4" applyNumberFormat="1" applyFont="1" applyFill="1" applyBorder="1" applyAlignment="1" applyProtection="1">
      <alignment horizontal="right" vertical="center" shrinkToFit="1"/>
    </xf>
    <xf numFmtId="178" fontId="32" fillId="0" borderId="2" xfId="4" applyNumberFormat="1" applyFont="1" applyFill="1" applyBorder="1" applyAlignment="1" applyProtection="1">
      <alignment horizontal="right" vertical="center" shrinkToFit="1"/>
    </xf>
    <xf numFmtId="178" fontId="32" fillId="0" borderId="1" xfId="4" applyNumberFormat="1" applyFont="1" applyFill="1" applyBorder="1" applyAlignment="1" applyProtection="1">
      <alignment horizontal="right" vertical="center" shrinkToFit="1"/>
    </xf>
    <xf numFmtId="178" fontId="32" fillId="0" borderId="92" xfId="4" applyNumberFormat="1" applyFont="1" applyFill="1" applyBorder="1" applyAlignment="1" applyProtection="1">
      <alignment horizontal="right" vertical="center" shrinkToFit="1"/>
    </xf>
    <xf numFmtId="178" fontId="32" fillId="0" borderId="3" xfId="4" applyNumberFormat="1" applyFont="1" applyFill="1" applyBorder="1" applyAlignment="1" applyProtection="1">
      <alignment horizontal="right" vertical="center" shrinkToFit="1"/>
    </xf>
    <xf numFmtId="178" fontId="32" fillId="0" borderId="66" xfId="4" applyNumberFormat="1" applyFont="1" applyFill="1" applyBorder="1" applyAlignment="1" applyProtection="1">
      <alignment horizontal="right" vertical="center" shrinkToFit="1"/>
    </xf>
    <xf numFmtId="178" fontId="32" fillId="0" borderId="13" xfId="4" applyNumberFormat="1" applyFont="1" applyFill="1" applyBorder="1" applyAlignment="1" applyProtection="1">
      <alignment horizontal="right" vertical="center" shrinkToFit="1"/>
    </xf>
    <xf numFmtId="178" fontId="32" fillId="0" borderId="12" xfId="4" applyNumberFormat="1" applyFont="1" applyFill="1" applyBorder="1" applyAlignment="1" applyProtection="1">
      <alignment horizontal="right" vertical="center" shrinkToFit="1"/>
    </xf>
    <xf numFmtId="178" fontId="32" fillId="0" borderId="143" xfId="4" applyNumberFormat="1" applyFont="1" applyFill="1" applyBorder="1" applyAlignment="1" applyProtection="1">
      <alignment horizontal="right" vertical="center" shrinkToFit="1"/>
    </xf>
    <xf numFmtId="178" fontId="32" fillId="0" borderId="140" xfId="4" applyNumberFormat="1" applyFont="1" applyFill="1" applyBorder="1" applyAlignment="1" applyProtection="1">
      <alignment horizontal="right" vertical="center" shrinkToFit="1"/>
    </xf>
    <xf numFmtId="178" fontId="32" fillId="0" borderId="144" xfId="4" applyNumberFormat="1" applyFont="1" applyFill="1" applyBorder="1" applyAlignment="1" applyProtection="1">
      <alignment horizontal="right" vertical="center" shrinkToFit="1"/>
    </xf>
    <xf numFmtId="178" fontId="32" fillId="0" borderId="16" xfId="4" applyNumberFormat="1" applyFont="1" applyFill="1" applyBorder="1" applyAlignment="1" applyProtection="1">
      <alignment horizontal="right" vertical="center" shrinkToFit="1"/>
    </xf>
    <xf numFmtId="178" fontId="32" fillId="0" borderId="18" xfId="4" applyNumberFormat="1" applyFont="1" applyFill="1" applyBorder="1" applyAlignment="1" applyProtection="1">
      <alignment horizontal="right" vertical="center" shrinkToFit="1"/>
    </xf>
    <xf numFmtId="178" fontId="32" fillId="0" borderId="39" xfId="4" applyNumberFormat="1" applyFont="1" applyFill="1" applyBorder="1" applyAlignment="1" applyProtection="1">
      <alignment horizontal="right" vertical="center" shrinkToFit="1"/>
    </xf>
    <xf numFmtId="178" fontId="32" fillId="0" borderId="11" xfId="4" applyNumberFormat="1" applyFont="1" applyFill="1" applyBorder="1" applyAlignment="1" applyProtection="1">
      <alignment horizontal="right" vertical="center" shrinkToFit="1"/>
    </xf>
    <xf numFmtId="0" fontId="19" fillId="0" borderId="0" xfId="1" applyFont="1" applyAlignment="1"/>
    <xf numFmtId="0" fontId="29" fillId="0" borderId="2" xfId="1" applyFont="1" applyBorder="1" applyAlignment="1">
      <alignment horizontal="center" vertical="center" shrinkToFit="1"/>
    </xf>
    <xf numFmtId="0" fontId="29" fillId="0" borderId="8" xfId="1" applyFont="1" applyBorder="1" applyAlignment="1">
      <alignment horizontal="center" vertical="center" shrinkToFit="1"/>
    </xf>
    <xf numFmtId="0" fontId="29" fillId="0" borderId="8" xfId="13" applyFont="1" applyBorder="1" applyAlignment="1">
      <alignment horizontal="center" vertical="center" shrinkToFit="1"/>
    </xf>
    <xf numFmtId="0" fontId="29" fillId="0" borderId="6" xfId="1" applyFont="1" applyBorder="1" applyAlignment="1">
      <alignment horizontal="center" vertical="center"/>
    </xf>
    <xf numFmtId="178" fontId="32" fillId="0" borderId="8" xfId="1" applyNumberFormat="1" applyFont="1" applyBorder="1" applyAlignment="1">
      <alignment vertical="center" shrinkToFit="1"/>
    </xf>
    <xf numFmtId="0" fontId="29" fillId="0" borderId="1" xfId="1" applyFont="1" applyBorder="1" applyAlignment="1">
      <alignment horizontal="center" vertical="center"/>
    </xf>
    <xf numFmtId="178" fontId="32" fillId="0" borderId="9" xfId="1" applyNumberFormat="1" applyFont="1" applyBorder="1" applyAlignment="1">
      <alignment vertical="center" shrinkToFit="1"/>
    </xf>
    <xf numFmtId="178" fontId="32" fillId="0" borderId="21" xfId="1" applyNumberFormat="1" applyFont="1" applyBorder="1" applyAlignment="1">
      <alignment vertical="center" shrinkToFit="1"/>
    </xf>
    <xf numFmtId="178" fontId="32" fillId="0" borderId="24" xfId="1" applyNumberFormat="1" applyFont="1" applyBorder="1" applyAlignment="1">
      <alignment vertical="center" shrinkToFit="1"/>
    </xf>
    <xf numFmtId="178" fontId="32" fillId="0" borderId="22" xfId="1" applyNumberFormat="1" applyFont="1" applyBorder="1" applyAlignment="1">
      <alignment vertical="center" shrinkToFit="1"/>
    </xf>
    <xf numFmtId="178" fontId="32" fillId="0" borderId="3" xfId="1" applyNumberFormat="1" applyFont="1" applyBorder="1" applyAlignment="1">
      <alignment vertical="center" shrinkToFit="1"/>
    </xf>
    <xf numFmtId="178" fontId="32" fillId="0" borderId="2" xfId="1" applyNumberFormat="1" applyFont="1" applyBorder="1" applyAlignment="1">
      <alignment vertical="center" shrinkToFit="1"/>
    </xf>
    <xf numFmtId="179" fontId="32" fillId="0" borderId="11" xfId="1" applyNumberFormat="1" applyFont="1" applyBorder="1" applyAlignment="1">
      <alignment vertical="center" shrinkToFit="1"/>
    </xf>
    <xf numFmtId="179" fontId="32" fillId="0" borderId="8" xfId="1" applyNumberFormat="1" applyFont="1" applyBorder="1" applyAlignment="1">
      <alignment vertical="center" shrinkToFit="1"/>
    </xf>
    <xf numFmtId="179" fontId="32" fillId="0" borderId="1" xfId="1" applyNumberFormat="1" applyFont="1" applyBorder="1" applyAlignment="1">
      <alignment vertical="center" shrinkToFit="1"/>
    </xf>
    <xf numFmtId="179" fontId="32" fillId="0" borderId="92" xfId="1" applyNumberFormat="1" applyFont="1" applyBorder="1" applyAlignment="1">
      <alignment vertical="center" shrinkToFit="1"/>
    </xf>
    <xf numFmtId="179" fontId="32" fillId="0" borderId="9" xfId="1" applyNumberFormat="1" applyFont="1" applyBorder="1" applyAlignment="1">
      <alignment vertical="center" shrinkToFit="1"/>
    </xf>
    <xf numFmtId="179" fontId="32" fillId="0" borderId="143" xfId="1" applyNumberFormat="1" applyFont="1" applyBorder="1" applyAlignment="1">
      <alignment vertical="center" shrinkToFit="1"/>
    </xf>
    <xf numFmtId="179" fontId="32" fillId="0" borderId="21" xfId="1" applyNumberFormat="1" applyFont="1" applyBorder="1" applyAlignment="1">
      <alignment vertical="center" shrinkToFit="1"/>
    </xf>
    <xf numFmtId="179" fontId="32" fillId="0" borderId="24" xfId="1" applyNumberFormat="1" applyFont="1" applyBorder="1" applyAlignment="1">
      <alignment vertical="center" shrinkToFit="1"/>
    </xf>
    <xf numFmtId="179" fontId="32" fillId="0" borderId="22" xfId="1" applyNumberFormat="1" applyFont="1" applyBorder="1" applyAlignment="1">
      <alignment vertical="center" shrinkToFit="1"/>
    </xf>
    <xf numFmtId="179" fontId="32" fillId="0" borderId="3" xfId="1" applyNumberFormat="1" applyFont="1" applyBorder="1" applyAlignment="1">
      <alignment vertical="center" shrinkToFit="1"/>
    </xf>
    <xf numFmtId="179" fontId="32" fillId="0" borderId="2" xfId="1" applyNumberFormat="1" applyFont="1" applyBorder="1" applyAlignment="1">
      <alignment vertical="center" shrinkToFit="1"/>
    </xf>
    <xf numFmtId="0" fontId="29" fillId="0" borderId="11" xfId="1" applyFont="1" applyBorder="1" applyAlignment="1">
      <alignment horizontal="center" vertical="center" shrinkToFit="1"/>
    </xf>
    <xf numFmtId="0" fontId="29" fillId="0" borderId="11" xfId="13" applyFont="1" applyBorder="1" applyAlignment="1">
      <alignment horizontal="center" vertical="center" shrinkToFit="1"/>
    </xf>
    <xf numFmtId="0" fontId="29" fillId="0" borderId="11" xfId="1" applyFont="1" applyBorder="1" applyAlignment="1">
      <alignment horizontal="center" vertical="center"/>
    </xf>
    <xf numFmtId="0" fontId="29" fillId="0" borderId="8" xfId="1" applyFont="1" applyBorder="1" applyAlignment="1">
      <alignment horizontal="center" vertical="center"/>
    </xf>
    <xf numFmtId="179" fontId="32" fillId="0" borderId="4" xfId="1" applyNumberFormat="1" applyFont="1" applyBorder="1" applyAlignment="1">
      <alignment vertical="center" shrinkToFit="1"/>
    </xf>
    <xf numFmtId="179" fontId="32" fillId="0" borderId="39" xfId="1" applyNumberFormat="1" applyFont="1" applyBorder="1" applyAlignment="1">
      <alignment vertical="center" shrinkToFit="1"/>
    </xf>
    <xf numFmtId="179" fontId="32" fillId="0" borderId="7" xfId="1" applyNumberFormat="1" applyFont="1" applyBorder="1" applyAlignment="1">
      <alignment vertical="center" shrinkToFit="1"/>
    </xf>
    <xf numFmtId="0" fontId="19" fillId="0" borderId="0" xfId="1" applyFont="1" applyAlignment="1">
      <alignment vertical="center" textRotation="255"/>
    </xf>
    <xf numFmtId="0" fontId="5" fillId="0" borderId="0" xfId="1" applyFont="1">
      <alignment vertical="center"/>
    </xf>
    <xf numFmtId="3" fontId="32" fillId="8" borderId="156" xfId="1" applyNumberFormat="1" applyFont="1" applyFill="1" applyBorder="1" applyAlignment="1" applyProtection="1">
      <alignment horizontal="right" vertical="center"/>
      <protection locked="0"/>
    </xf>
    <xf numFmtId="0" fontId="32" fillId="4" borderId="156" xfId="1" applyFont="1" applyFill="1" applyBorder="1" applyAlignment="1" applyProtection="1">
      <alignment horizontal="center" vertical="center"/>
      <protection locked="0"/>
    </xf>
    <xf numFmtId="3" fontId="32" fillId="4" borderId="157" xfId="1" applyNumberFormat="1" applyFont="1" applyFill="1" applyBorder="1" applyAlignment="1" applyProtection="1">
      <alignment horizontal="right" vertical="center"/>
      <protection locked="0"/>
    </xf>
    <xf numFmtId="0" fontId="32" fillId="4" borderId="158" xfId="1" applyFont="1" applyFill="1" applyBorder="1" applyAlignment="1" applyProtection="1">
      <alignment horizontal="center" vertical="center"/>
      <protection locked="0"/>
    </xf>
    <xf numFmtId="0" fontId="16" fillId="0" borderId="0" xfId="1" applyFont="1" applyAlignment="1">
      <alignment horizontal="left" vertical="center"/>
    </xf>
    <xf numFmtId="179" fontId="32" fillId="0" borderId="0" xfId="1" applyNumberFormat="1" applyFont="1" applyAlignment="1">
      <alignment vertical="center" shrinkToFit="1"/>
    </xf>
    <xf numFmtId="0" fontId="39" fillId="0" borderId="159" xfId="1" applyFont="1" applyBorder="1" applyAlignment="1">
      <alignment horizontal="center" vertical="center"/>
    </xf>
    <xf numFmtId="38" fontId="32" fillId="7" borderId="160" xfId="4" applyFont="1" applyFill="1" applyBorder="1" applyAlignment="1" applyProtection="1">
      <alignment horizontal="right" vertical="center" shrinkToFit="1"/>
      <protection locked="0"/>
    </xf>
    <xf numFmtId="0" fontId="39" fillId="0" borderId="0" xfId="1" applyFont="1">
      <alignment vertical="center"/>
    </xf>
    <xf numFmtId="0" fontId="42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42" fillId="0" borderId="0" xfId="1" applyFont="1" applyAlignment="1"/>
    <xf numFmtId="0" fontId="17" fillId="0" borderId="0" xfId="1" applyFont="1" applyAlignment="1">
      <alignment horizontal="center" vertical="center" wrapText="1" justifyLastLine="1"/>
    </xf>
    <xf numFmtId="0" fontId="41" fillId="0" borderId="0" xfId="1" applyFont="1" applyAlignment="1">
      <alignment horizontal="center" vertical="center" wrapText="1" justifyLastLine="1"/>
    </xf>
    <xf numFmtId="3" fontId="32" fillId="0" borderId="0" xfId="1" applyNumberFormat="1" applyFont="1" applyAlignment="1">
      <alignment vertical="center" shrinkToFit="1"/>
    </xf>
    <xf numFmtId="180" fontId="32" fillId="0" borderId="0" xfId="1" applyNumberFormat="1" applyFont="1">
      <alignment vertical="center"/>
    </xf>
    <xf numFmtId="0" fontId="29" fillId="9" borderId="165" xfId="3" applyFont="1" applyFill="1" applyBorder="1" applyAlignment="1">
      <alignment horizontal="center" vertical="center" shrinkToFit="1"/>
    </xf>
    <xf numFmtId="0" fontId="29" fillId="9" borderId="74" xfId="3" applyFont="1" applyFill="1" applyBorder="1" applyAlignment="1">
      <alignment horizontal="center" vertical="center" shrinkToFit="1"/>
    </xf>
    <xf numFmtId="0" fontId="29" fillId="9" borderId="166" xfId="3" applyFont="1" applyFill="1" applyBorder="1" applyAlignment="1">
      <alignment horizontal="center" vertical="center" shrinkToFit="1"/>
    </xf>
    <xf numFmtId="0" fontId="3" fillId="0" borderId="167" xfId="3" applyBorder="1" applyAlignment="1">
      <alignment horizontal="center" vertical="center"/>
    </xf>
    <xf numFmtId="181" fontId="32" fillId="4" borderId="86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87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88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68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69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89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90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91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8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71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13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14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15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9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16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21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22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23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24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25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56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26" xfId="3" applyNumberFormat="1" applyFont="1" applyFill="1" applyBorder="1" applyAlignment="1" applyProtection="1">
      <alignment horizontal="right" vertical="center" shrinkToFit="1"/>
      <protection locked="0"/>
    </xf>
    <xf numFmtId="181" fontId="32" fillId="4" borderId="100" xfId="3" applyNumberFormat="1" applyFont="1" applyFill="1" applyBorder="1" applyAlignment="1">
      <alignment horizontal="right" vertical="center" shrinkToFit="1"/>
    </xf>
    <xf numFmtId="181" fontId="32" fillId="4" borderId="101" xfId="3" quotePrefix="1" applyNumberFormat="1" applyFont="1" applyFill="1" applyBorder="1" applyAlignment="1">
      <alignment horizontal="right" vertical="center" shrinkToFit="1"/>
    </xf>
    <xf numFmtId="181" fontId="32" fillId="4" borderId="102" xfId="3" applyNumberFormat="1" applyFont="1" applyFill="1" applyBorder="1" applyAlignment="1">
      <alignment horizontal="right" vertical="center" shrinkToFit="1"/>
    </xf>
    <xf numFmtId="181" fontId="32" fillId="4" borderId="103" xfId="3" applyNumberFormat="1" applyFont="1" applyFill="1" applyBorder="1" applyAlignment="1">
      <alignment horizontal="right" vertical="center" shrinkToFit="1"/>
    </xf>
    <xf numFmtId="181" fontId="32" fillId="4" borderId="104" xfId="3" applyNumberFormat="1" applyFont="1" applyFill="1" applyBorder="1" applyAlignment="1">
      <alignment horizontal="right" vertical="center" shrinkToFit="1"/>
    </xf>
    <xf numFmtId="181" fontId="32" fillId="4" borderId="107" xfId="3" applyNumberFormat="1" applyFont="1" applyFill="1" applyBorder="1" applyAlignment="1">
      <alignment horizontal="right" vertical="center" shrinkToFit="1"/>
    </xf>
    <xf numFmtId="181" fontId="32" fillId="4" borderId="6" xfId="3" applyNumberFormat="1" applyFont="1" applyFill="1" applyBorder="1" applyAlignment="1">
      <alignment horizontal="right" vertical="center" shrinkToFit="1"/>
    </xf>
    <xf numFmtId="181" fontId="32" fillId="4" borderId="108" xfId="3" applyNumberFormat="1" applyFont="1" applyFill="1" applyBorder="1" applyAlignment="1">
      <alignment horizontal="right" vertical="center" shrinkToFit="1"/>
    </xf>
    <xf numFmtId="181" fontId="32" fillId="4" borderId="109" xfId="3" applyNumberFormat="1" applyFont="1" applyFill="1" applyBorder="1" applyAlignment="1">
      <alignment horizontal="right" vertical="center" shrinkToFit="1"/>
    </xf>
    <xf numFmtId="181" fontId="32" fillId="4" borderId="110" xfId="3" applyNumberFormat="1" applyFont="1" applyFill="1" applyBorder="1" applyAlignment="1">
      <alignment horizontal="right" vertical="center" shrinkToFit="1"/>
    </xf>
    <xf numFmtId="181" fontId="32" fillId="4" borderId="112" xfId="3" applyNumberFormat="1" applyFont="1" applyFill="1" applyBorder="1" applyAlignment="1">
      <alignment horizontal="right" vertical="center" shrinkToFit="1"/>
    </xf>
    <xf numFmtId="181" fontId="32" fillId="4" borderId="133" xfId="3" applyNumberFormat="1" applyFont="1" applyFill="1" applyBorder="1" applyAlignment="1">
      <alignment horizontal="right" vertical="center" shrinkToFit="1"/>
    </xf>
    <xf numFmtId="181" fontId="32" fillId="4" borderId="134" xfId="3" applyNumberFormat="1" applyFont="1" applyFill="1" applyBorder="1" applyAlignment="1">
      <alignment horizontal="right" vertical="center" shrinkToFit="1"/>
    </xf>
    <xf numFmtId="181" fontId="32" fillId="4" borderId="122" xfId="3" applyNumberFormat="1" applyFont="1" applyFill="1" applyBorder="1" applyAlignment="1">
      <alignment horizontal="right" vertical="center" shrinkToFit="1"/>
    </xf>
    <xf numFmtId="181" fontId="32" fillId="4" borderId="135" xfId="3" applyNumberFormat="1" applyFont="1" applyFill="1" applyBorder="1" applyAlignment="1">
      <alignment horizontal="right" vertical="center" shrinkToFit="1"/>
    </xf>
    <xf numFmtId="181" fontId="32" fillId="4" borderId="136" xfId="3" applyNumberFormat="1" applyFont="1" applyFill="1" applyBorder="1" applyAlignment="1">
      <alignment horizontal="right" vertical="center" shrinkToFit="1"/>
    </xf>
    <xf numFmtId="181" fontId="32" fillId="4" borderId="130" xfId="3" applyNumberFormat="1" applyFont="1" applyFill="1" applyBorder="1" applyAlignment="1">
      <alignment horizontal="right" vertical="center" shrinkToFit="1"/>
    </xf>
    <xf numFmtId="181" fontId="32" fillId="4" borderId="48" xfId="3" applyNumberFormat="1" applyFont="1" applyFill="1" applyBorder="1" applyAlignment="1">
      <alignment horizontal="right" vertical="center" shrinkToFit="1"/>
    </xf>
    <xf numFmtId="181" fontId="32" fillId="4" borderId="131" xfId="3" applyNumberFormat="1" applyFont="1" applyFill="1" applyBorder="1" applyAlignment="1">
      <alignment horizontal="right" vertical="center" shrinkToFit="1"/>
    </xf>
    <xf numFmtId="0" fontId="7" fillId="0" borderId="12" xfId="2" applyNumberFormat="1" applyFont="1" applyBorder="1" applyAlignment="1">
      <alignment vertical="center" shrinkToFit="1"/>
    </xf>
    <xf numFmtId="0" fontId="7" fillId="0" borderId="18" xfId="2" applyNumberFormat="1" applyFont="1" applyBorder="1" applyAlignment="1">
      <alignment vertical="center" shrinkToFit="1"/>
    </xf>
    <xf numFmtId="0" fontId="3" fillId="2" borderId="35" xfId="2" applyFill="1" applyBorder="1" applyAlignment="1">
      <alignment horizontal="center" vertical="center"/>
    </xf>
    <xf numFmtId="0" fontId="3" fillId="2" borderId="58" xfId="2" applyFill="1" applyBorder="1" applyAlignment="1">
      <alignment horizontal="center" vertical="center"/>
    </xf>
    <xf numFmtId="0" fontId="3" fillId="0" borderId="35" xfId="2" applyBorder="1" applyAlignment="1">
      <alignment horizontal="center" vertical="center"/>
    </xf>
    <xf numFmtId="0" fontId="3" fillId="0" borderId="58" xfId="2" applyBorder="1" applyAlignment="1">
      <alignment horizontal="center" vertical="center"/>
    </xf>
    <xf numFmtId="0" fontId="3" fillId="0" borderId="36" xfId="2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7" fillId="5" borderId="26" xfId="0" applyFont="1" applyFill="1" applyBorder="1" applyAlignment="1">
      <alignment horizontal="center" vertical="center" shrinkToFit="1"/>
    </xf>
    <xf numFmtId="0" fontId="7" fillId="5" borderId="27" xfId="0" applyFont="1" applyFill="1" applyBorder="1" applyAlignment="1">
      <alignment horizontal="center" vertical="center" shrinkToFit="1"/>
    </xf>
    <xf numFmtId="49" fontId="18" fillId="0" borderId="51" xfId="0" applyNumberFormat="1" applyFont="1" applyBorder="1" applyAlignment="1">
      <alignment horizontal="center" vertical="center" shrinkToFit="1"/>
    </xf>
    <xf numFmtId="49" fontId="18" fillId="0" borderId="40" xfId="0" applyNumberFormat="1" applyFont="1" applyBorder="1" applyAlignment="1">
      <alignment horizontal="center" vertical="center" shrinkToFit="1"/>
    </xf>
    <xf numFmtId="176" fontId="18" fillId="0" borderId="28" xfId="0" applyNumberFormat="1" applyFont="1" applyBorder="1" applyAlignment="1">
      <alignment horizontal="center" vertical="center"/>
    </xf>
    <xf numFmtId="176" fontId="18" fillId="0" borderId="29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10" fillId="5" borderId="31" xfId="2" applyFont="1" applyFill="1" applyBorder="1" applyAlignment="1">
      <alignment horizontal="center" vertical="center" wrapText="1" justifyLastLine="1"/>
    </xf>
    <xf numFmtId="0" fontId="10" fillId="5" borderId="46" xfId="2" applyFont="1" applyFill="1" applyBorder="1" applyAlignment="1">
      <alignment horizontal="center" vertical="center" justifyLastLine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10" fillId="5" borderId="34" xfId="2" applyFont="1" applyFill="1" applyBorder="1" applyAlignment="1">
      <alignment horizontal="center" vertical="center" wrapText="1" justifyLastLine="1"/>
    </xf>
    <xf numFmtId="0" fontId="10" fillId="5" borderId="42" xfId="2" applyFont="1" applyFill="1" applyBorder="1" applyAlignment="1">
      <alignment horizontal="center" vertical="center" justifyLastLine="1"/>
    </xf>
    <xf numFmtId="0" fontId="10" fillId="5" borderId="37" xfId="2" applyFont="1" applyFill="1" applyBorder="1" applyAlignment="1">
      <alignment horizontal="distributed" vertical="center" wrapText="1" justifyLastLine="1"/>
    </xf>
    <xf numFmtId="0" fontId="10" fillId="5" borderId="45" xfId="2" applyFont="1" applyFill="1" applyBorder="1" applyAlignment="1">
      <alignment horizontal="distributed" vertical="center" justifyLastLine="1"/>
    </xf>
    <xf numFmtId="0" fontId="10" fillId="5" borderId="32" xfId="2" applyFont="1" applyFill="1" applyBorder="1" applyAlignment="1">
      <alignment horizontal="center" vertical="center" wrapText="1" justifyLastLine="1"/>
    </xf>
    <xf numFmtId="0" fontId="10" fillId="5" borderId="43" xfId="2" applyFont="1" applyFill="1" applyBorder="1" applyAlignment="1">
      <alignment horizontal="center" vertical="center" justifyLastLine="1"/>
    </xf>
    <xf numFmtId="0" fontId="10" fillId="5" borderId="38" xfId="2" applyFont="1" applyFill="1" applyBorder="1" applyAlignment="1">
      <alignment horizontal="center" vertical="center" wrapText="1" justifyLastLine="1"/>
    </xf>
    <xf numFmtId="0" fontId="10" fillId="5" borderId="63" xfId="2" applyFont="1" applyFill="1" applyBorder="1" applyAlignment="1">
      <alignment horizontal="center" vertical="center" justifyLastLine="1"/>
    </xf>
    <xf numFmtId="0" fontId="29" fillId="0" borderId="8" xfId="1" applyFont="1" applyBorder="1" applyAlignment="1">
      <alignment horizontal="center" vertical="center" textRotation="255"/>
    </xf>
    <xf numFmtId="0" fontId="3" fillId="0" borderId="33" xfId="1" applyFont="1" applyBorder="1" applyAlignment="1">
      <alignment horizontal="distributed" vertical="center" indent="1"/>
    </xf>
    <xf numFmtId="0" fontId="3" fillId="0" borderId="34" xfId="1" applyFont="1" applyBorder="1" applyAlignment="1">
      <alignment horizontal="distributed" vertical="center" indent="1"/>
    </xf>
    <xf numFmtId="0" fontId="3" fillId="0" borderId="41" xfId="1" applyFont="1" applyBorder="1" applyAlignment="1">
      <alignment horizontal="distributed" vertical="center" indent="1"/>
    </xf>
    <xf numFmtId="0" fontId="3" fillId="0" borderId="51" xfId="1" applyFont="1" applyBorder="1" applyAlignment="1">
      <alignment horizontal="distributed" vertical="center" indent="1"/>
    </xf>
    <xf numFmtId="0" fontId="3" fillId="0" borderId="42" xfId="1" applyFont="1" applyBorder="1" applyAlignment="1">
      <alignment horizontal="distributed" vertical="center" indent="1"/>
    </xf>
    <xf numFmtId="0" fontId="3" fillId="0" borderId="40" xfId="1" applyFont="1" applyBorder="1" applyAlignment="1">
      <alignment horizontal="distributed" vertical="center" indent="1"/>
    </xf>
    <xf numFmtId="0" fontId="17" fillId="0" borderId="34" xfId="1" applyFont="1" applyBorder="1" applyAlignment="1">
      <alignment horizontal="distributed" vertical="center" justifyLastLine="1"/>
    </xf>
    <xf numFmtId="0" fontId="17" fillId="0" borderId="0" xfId="1" applyFont="1" applyAlignment="1">
      <alignment horizontal="distributed" vertical="center" justifyLastLine="1"/>
    </xf>
    <xf numFmtId="0" fontId="41" fillId="0" borderId="38" xfId="1" applyFont="1" applyBorder="1" applyAlignment="1">
      <alignment horizontal="center" vertical="center" wrapText="1" justifyLastLine="1"/>
    </xf>
    <xf numFmtId="0" fontId="41" fillId="0" borderId="155" xfId="1" applyFont="1" applyBorder="1" applyAlignment="1">
      <alignment horizontal="center" vertical="center" wrapText="1" justifyLastLine="1"/>
    </xf>
    <xf numFmtId="0" fontId="3" fillId="0" borderId="26" xfId="1" applyFont="1" applyBorder="1" applyAlignment="1">
      <alignment horizontal="center" vertical="center"/>
    </xf>
    <xf numFmtId="0" fontId="3" fillId="0" borderId="67" xfId="1" applyFont="1" applyBorder="1" applyAlignment="1">
      <alignment horizontal="center" vertical="center"/>
    </xf>
    <xf numFmtId="0" fontId="3" fillId="0" borderId="51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0" fontId="29" fillId="0" borderId="140" xfId="1" applyFont="1" applyBorder="1" applyAlignment="1">
      <alignment horizontal="center"/>
    </xf>
    <xf numFmtId="0" fontId="29" fillId="0" borderId="149" xfId="1" applyFont="1" applyBorder="1" applyAlignment="1">
      <alignment horizontal="center"/>
    </xf>
    <xf numFmtId="0" fontId="1" fillId="0" borderId="150" xfId="1" applyBorder="1" applyAlignment="1">
      <alignment horizontal="center"/>
    </xf>
    <xf numFmtId="0" fontId="1" fillId="0" borderId="151" xfId="1" applyBorder="1" applyAlignment="1">
      <alignment horizontal="center"/>
    </xf>
    <xf numFmtId="0" fontId="1" fillId="0" borderId="152" xfId="1" applyBorder="1" applyAlignment="1">
      <alignment horizontal="center"/>
    </xf>
    <xf numFmtId="0" fontId="1" fillId="0" borderId="153" xfId="1" applyBorder="1" applyAlignment="1">
      <alignment horizontal="center"/>
    </xf>
    <xf numFmtId="0" fontId="1" fillId="0" borderId="154" xfId="1" applyBorder="1" applyAlignment="1">
      <alignment horizontal="center"/>
    </xf>
    <xf numFmtId="0" fontId="29" fillId="0" borderId="8" xfId="13" applyFont="1" applyBorder="1" applyAlignment="1">
      <alignment horizontal="center" vertical="center" justifyLastLine="1"/>
    </xf>
    <xf numFmtId="0" fontId="29" fillId="0" borderId="8" xfId="13" applyFont="1" applyBorder="1" applyAlignment="1">
      <alignment horizontal="center" vertical="center"/>
    </xf>
    <xf numFmtId="0" fontId="29" fillId="0" borderId="8" xfId="1" applyFont="1" applyBorder="1" applyAlignment="1">
      <alignment horizontal="center" vertical="center"/>
    </xf>
    <xf numFmtId="0" fontId="29" fillId="0" borderId="9" xfId="13" applyFont="1" applyBorder="1" applyAlignment="1">
      <alignment horizontal="center" vertical="center"/>
    </xf>
    <xf numFmtId="0" fontId="29" fillId="0" borderId="10" xfId="13" applyFont="1" applyBorder="1" applyAlignment="1">
      <alignment horizontal="center" vertical="center"/>
    </xf>
    <xf numFmtId="0" fontId="29" fillId="0" borderId="11" xfId="13" applyFont="1" applyBorder="1" applyAlignment="1">
      <alignment horizontal="center" vertical="center"/>
    </xf>
    <xf numFmtId="0" fontId="29" fillId="0" borderId="10" xfId="13" applyFont="1" applyBorder="1" applyAlignment="1">
      <alignment horizontal="center" vertical="center" shrinkToFit="1"/>
    </xf>
    <xf numFmtId="0" fontId="29" fillId="0" borderId="11" xfId="13" applyFont="1" applyBorder="1" applyAlignment="1">
      <alignment horizontal="center" vertical="center" shrinkToFit="1"/>
    </xf>
    <xf numFmtId="0" fontId="29" fillId="0" borderId="1" xfId="13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9" fillId="0" borderId="4" xfId="13" applyFont="1" applyBorder="1" applyAlignment="1">
      <alignment horizontal="center" vertical="center"/>
    </xf>
    <xf numFmtId="0" fontId="29" fillId="0" borderId="3" xfId="13" applyFont="1" applyBorder="1" applyAlignment="1">
      <alignment horizontal="center" vertical="center"/>
    </xf>
    <xf numFmtId="0" fontId="29" fillId="0" borderId="11" xfId="13" applyFont="1" applyBorder="1" applyAlignment="1">
      <alignment horizontal="center" vertical="distributed" textRotation="255" justifyLastLine="1"/>
    </xf>
    <xf numFmtId="0" fontId="29" fillId="0" borderId="8" xfId="13" applyFont="1" applyBorder="1" applyAlignment="1">
      <alignment horizontal="center" vertical="distributed" textRotation="255" justifyLastLine="1"/>
    </xf>
    <xf numFmtId="0" fontId="39" fillId="0" borderId="145" xfId="1" applyFont="1" applyBorder="1" applyAlignment="1">
      <alignment horizontal="center" vertical="center"/>
    </xf>
    <xf numFmtId="0" fontId="1" fillId="0" borderId="146" xfId="1" applyBorder="1" applyAlignment="1"/>
    <xf numFmtId="38" fontId="32" fillId="7" borderId="147" xfId="4" applyFont="1" applyFill="1" applyBorder="1" applyAlignment="1" applyProtection="1">
      <alignment horizontal="right" vertical="center" shrinkToFit="1"/>
      <protection locked="0"/>
    </xf>
    <xf numFmtId="0" fontId="1" fillId="0" borderId="148" xfId="1" applyBorder="1" applyAlignment="1" applyProtection="1">
      <alignment shrinkToFit="1"/>
      <protection locked="0"/>
    </xf>
    <xf numFmtId="0" fontId="17" fillId="0" borderId="140" xfId="1" applyFont="1" applyBorder="1" applyAlignment="1">
      <alignment horizontal="center" vertical="top"/>
    </xf>
    <xf numFmtId="0" fontId="29" fillId="0" borderId="3" xfId="13" applyFont="1" applyBorder="1" applyAlignment="1">
      <alignment horizontal="center" vertical="center" justifyLastLine="1"/>
    </xf>
    <xf numFmtId="0" fontId="29" fillId="0" borderId="2" xfId="13" applyFont="1" applyBorder="1" applyAlignment="1">
      <alignment horizontal="center" vertical="center" justifyLastLine="1"/>
    </xf>
    <xf numFmtId="0" fontId="29" fillId="0" borderId="1" xfId="13" applyFont="1" applyBorder="1" applyAlignment="1">
      <alignment horizontal="center" vertical="center" justifyLastLine="1"/>
    </xf>
    <xf numFmtId="0" fontId="29" fillId="0" borderId="2" xfId="13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0" fontId="41" fillId="0" borderId="9" xfId="13" applyFont="1" applyBorder="1" applyAlignment="1">
      <alignment horizontal="center" vertical="center" wrapText="1" shrinkToFit="1"/>
    </xf>
    <xf numFmtId="0" fontId="41" fillId="0" borderId="11" xfId="13" applyFont="1" applyBorder="1" applyAlignment="1">
      <alignment horizontal="center" vertical="center" wrapText="1" shrinkToFit="1"/>
    </xf>
    <xf numFmtId="0" fontId="29" fillId="0" borderId="9" xfId="13" applyFont="1" applyBorder="1" applyAlignment="1">
      <alignment horizontal="center" vertical="center" wrapText="1" shrinkToFit="1"/>
    </xf>
    <xf numFmtId="0" fontId="29" fillId="0" borderId="11" xfId="13" applyFont="1" applyBorder="1" applyAlignment="1">
      <alignment horizontal="center" vertical="center" wrapText="1" shrinkToFit="1"/>
    </xf>
    <xf numFmtId="0" fontId="17" fillId="0" borderId="54" xfId="3" applyFont="1" applyFill="1" applyBorder="1" applyAlignment="1">
      <alignment horizontal="distributed" vertical="center" wrapText="1" justifyLastLine="1"/>
    </xf>
    <xf numFmtId="0" fontId="17" fillId="0" borderId="55" xfId="3" applyFont="1" applyFill="1" applyBorder="1" applyAlignment="1">
      <alignment horizontal="distributed" vertical="center" justifyLastLine="1"/>
    </xf>
    <xf numFmtId="0" fontId="17" fillId="0" borderId="5" xfId="3" applyFont="1" applyFill="1" applyBorder="1" applyAlignment="1">
      <alignment horizontal="distributed" vertical="center" justifyLastLine="1"/>
    </xf>
    <xf numFmtId="0" fontId="18" fillId="0" borderId="8" xfId="3" applyFont="1" applyBorder="1" applyAlignment="1">
      <alignment horizontal="left" vertical="center" wrapText="1"/>
    </xf>
    <xf numFmtId="0" fontId="18" fillId="0" borderId="12" xfId="3" applyFont="1" applyBorder="1" applyAlignment="1">
      <alignment horizontal="left" vertical="center" wrapText="1"/>
    </xf>
    <xf numFmtId="0" fontId="18" fillId="0" borderId="9" xfId="3" applyFont="1" applyBorder="1" applyAlignment="1">
      <alignment horizontal="left" vertical="center" wrapText="1"/>
    </xf>
    <xf numFmtId="0" fontId="18" fillId="0" borderId="61" xfId="3" applyFont="1" applyBorder="1" applyAlignment="1">
      <alignment horizontal="left" vertical="center" wrapText="1"/>
    </xf>
    <xf numFmtId="0" fontId="17" fillId="0" borderId="117" xfId="3" applyFont="1" applyFill="1" applyBorder="1" applyAlignment="1">
      <alignment horizontal="distributed" vertical="center" wrapText="1" justifyLastLine="1"/>
    </xf>
    <xf numFmtId="0" fontId="17" fillId="0" borderId="118" xfId="3" applyFont="1" applyFill="1" applyBorder="1" applyAlignment="1">
      <alignment horizontal="distributed" vertical="center" justifyLastLine="1"/>
    </xf>
    <xf numFmtId="0" fontId="17" fillId="0" borderId="119" xfId="3" applyFont="1" applyFill="1" applyBorder="1" applyAlignment="1">
      <alignment horizontal="distributed" vertical="center" justifyLastLine="1"/>
    </xf>
    <xf numFmtId="0" fontId="18" fillId="0" borderId="120" xfId="3" applyFont="1" applyFill="1" applyBorder="1" applyAlignment="1">
      <alignment horizontal="left" vertical="center" wrapText="1"/>
    </xf>
    <xf numFmtId="0" fontId="18" fillId="0" borderId="118" xfId="3" applyFont="1" applyFill="1" applyBorder="1" applyAlignment="1">
      <alignment horizontal="left" vertical="center" wrapText="1"/>
    </xf>
    <xf numFmtId="0" fontId="17" fillId="0" borderId="127" xfId="3" applyFont="1" applyBorder="1" applyAlignment="1">
      <alignment horizontal="distributed" vertical="center" wrapText="1" justifyLastLine="1"/>
    </xf>
    <xf numFmtId="0" fontId="17" fillId="0" borderId="118" xfId="3" applyFont="1" applyBorder="1" applyAlignment="1">
      <alignment horizontal="distributed" vertical="center" justifyLastLine="1"/>
    </xf>
    <xf numFmtId="0" fontId="17" fillId="0" borderId="119" xfId="3" applyFont="1" applyBorder="1" applyAlignment="1">
      <alignment horizontal="distributed" vertical="center" justifyLastLine="1"/>
    </xf>
    <xf numFmtId="0" fontId="18" fillId="0" borderId="120" xfId="3" applyFont="1" applyBorder="1" applyAlignment="1">
      <alignment horizontal="left" vertical="center" wrapText="1"/>
    </xf>
    <xf numFmtId="0" fontId="18" fillId="0" borderId="118" xfId="3" applyFont="1" applyBorder="1" applyAlignment="1">
      <alignment horizontal="left" vertical="center" wrapText="1"/>
    </xf>
    <xf numFmtId="0" fontId="18" fillId="0" borderId="128" xfId="3" applyFont="1" applyBorder="1" applyAlignment="1">
      <alignment horizontal="left" vertical="center" wrapText="1"/>
    </xf>
    <xf numFmtId="0" fontId="18" fillId="0" borderId="4" xfId="3" applyFont="1" applyFill="1" applyBorder="1" applyAlignment="1">
      <alignment horizontal="left" vertical="center" wrapText="1"/>
    </xf>
    <xf numFmtId="0" fontId="18" fillId="0" borderId="55" xfId="3" applyFont="1" applyFill="1" applyBorder="1" applyAlignment="1">
      <alignment horizontal="left" vertical="center" wrapText="1"/>
    </xf>
    <xf numFmtId="0" fontId="17" fillId="0" borderId="55" xfId="3" applyFont="1" applyBorder="1" applyAlignment="1">
      <alignment horizontal="distributed" vertical="center" wrapText="1" justifyLastLine="1"/>
    </xf>
    <xf numFmtId="0" fontId="17" fillId="0" borderId="55" xfId="3" applyFont="1" applyBorder="1" applyAlignment="1">
      <alignment horizontal="distributed" vertical="center" justifyLastLine="1"/>
    </xf>
    <xf numFmtId="0" fontId="17" fillId="0" borderId="5" xfId="3" applyFont="1" applyBorder="1" applyAlignment="1">
      <alignment horizontal="distributed" vertical="center" justifyLastLine="1"/>
    </xf>
    <xf numFmtId="0" fontId="18" fillId="0" borderId="4" xfId="3" applyFont="1" applyBorder="1" applyAlignment="1">
      <alignment horizontal="left" vertical="center" wrapText="1"/>
    </xf>
    <xf numFmtId="0" fontId="18" fillId="0" borderId="55" xfId="3" applyFont="1" applyBorder="1" applyAlignment="1">
      <alignment horizontal="left" vertical="center" wrapText="1"/>
    </xf>
    <xf numFmtId="0" fontId="18" fillId="0" borderId="57" xfId="3" applyFont="1" applyBorder="1" applyAlignment="1">
      <alignment horizontal="left" vertical="center" wrapText="1"/>
    </xf>
    <xf numFmtId="0" fontId="18" fillId="0" borderId="57" xfId="3" applyFont="1" applyFill="1" applyBorder="1" applyAlignment="1">
      <alignment horizontal="left" vertical="center" wrapText="1"/>
    </xf>
    <xf numFmtId="0" fontId="17" fillId="0" borderId="55" xfId="3" applyFont="1" applyFill="1" applyBorder="1" applyAlignment="1">
      <alignment horizontal="distributed" vertical="center" wrapText="1" justifyLastLine="1"/>
    </xf>
    <xf numFmtId="0" fontId="17" fillId="0" borderId="5" xfId="3" applyFont="1" applyFill="1" applyBorder="1" applyAlignment="1">
      <alignment horizontal="distributed" vertical="center" wrapText="1" justifyLastLine="1"/>
    </xf>
    <xf numFmtId="0" fontId="17" fillId="0" borderId="5" xfId="3" applyFont="1" applyBorder="1" applyAlignment="1">
      <alignment horizontal="distributed" vertical="center" wrapText="1" justifyLastLine="1"/>
    </xf>
    <xf numFmtId="0" fontId="18" fillId="0" borderId="32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left" vertical="center" wrapText="1"/>
    </xf>
    <xf numFmtId="0" fontId="31" fillId="0" borderId="58" xfId="3" applyFont="1" applyBorder="1" applyAlignment="1">
      <alignment horizontal="center" vertical="center" wrapText="1" justifyLastLine="1"/>
    </xf>
    <xf numFmtId="0" fontId="31" fillId="0" borderId="23" xfId="3" applyFont="1" applyBorder="1" applyAlignment="1">
      <alignment horizontal="center" vertical="center" wrapText="1" justifyLastLine="1"/>
    </xf>
    <xf numFmtId="0" fontId="31" fillId="0" borderId="25" xfId="3" applyFont="1" applyBorder="1" applyAlignment="1">
      <alignment horizontal="center" vertical="center" justifyLastLine="1"/>
    </xf>
    <xf numFmtId="0" fontId="31" fillId="0" borderId="58" xfId="3" applyFont="1" applyBorder="1" applyAlignment="1">
      <alignment horizontal="center" vertical="center" justifyLastLine="1"/>
    </xf>
    <xf numFmtId="0" fontId="31" fillId="0" borderId="79" xfId="3" applyFont="1" applyBorder="1" applyAlignment="1">
      <alignment horizontal="center" vertical="center" justifyLastLine="1"/>
    </xf>
    <xf numFmtId="0" fontId="17" fillId="0" borderId="47" xfId="3" applyFont="1" applyFill="1" applyBorder="1" applyAlignment="1">
      <alignment horizontal="distributed" vertical="center" wrapText="1" justifyLastLine="1"/>
    </xf>
    <xf numFmtId="0" fontId="17" fillId="0" borderId="0" xfId="3" applyFont="1" applyFill="1" applyBorder="1" applyAlignment="1">
      <alignment horizontal="distributed" vertical="center" justifyLastLine="1"/>
    </xf>
    <xf numFmtId="0" fontId="17" fillId="0" borderId="49" xfId="3" applyFont="1" applyFill="1" applyBorder="1" applyAlignment="1">
      <alignment horizontal="distributed" vertical="center" justifyLastLine="1"/>
    </xf>
    <xf numFmtId="0" fontId="18" fillId="0" borderId="48" xfId="3" applyFont="1" applyFill="1" applyBorder="1" applyAlignment="1">
      <alignment horizontal="left" vertical="center" wrapText="1"/>
    </xf>
    <xf numFmtId="0" fontId="18" fillId="0" borderId="0" xfId="3" applyFont="1" applyFill="1" applyBorder="1" applyAlignment="1">
      <alignment horizontal="left" vertical="center" wrapText="1"/>
    </xf>
    <xf numFmtId="0" fontId="17" fillId="0" borderId="34" xfId="3" applyFont="1" applyBorder="1" applyAlignment="1">
      <alignment horizontal="distributed" vertical="center" wrapText="1" justifyLastLine="1"/>
    </xf>
    <xf numFmtId="0" fontId="17" fillId="0" borderId="30" xfId="3" applyFont="1" applyBorder="1" applyAlignment="1">
      <alignment horizontal="distributed" vertical="center" wrapText="1" justifyLastLine="1"/>
    </xf>
    <xf numFmtId="49" fontId="25" fillId="0" borderId="0" xfId="3" applyNumberFormat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/>
    </xf>
    <xf numFmtId="0" fontId="17" fillId="0" borderId="33" xfId="3" applyFont="1" applyBorder="1" applyAlignment="1">
      <alignment horizontal="distributed" vertical="center" wrapText="1" justifyLastLine="1"/>
    </xf>
    <xf numFmtId="0" fontId="17" fillId="0" borderId="34" xfId="3" applyFont="1" applyBorder="1" applyAlignment="1">
      <alignment horizontal="distributed" vertical="center" justifyLastLine="1"/>
    </xf>
    <xf numFmtId="0" fontId="17" fillId="0" borderId="47" xfId="3" applyFont="1" applyBorder="1" applyAlignment="1">
      <alignment horizontal="distributed" vertical="center" justifyLastLine="1"/>
    </xf>
    <xf numFmtId="0" fontId="17" fillId="0" borderId="0" xfId="3" applyFont="1" applyBorder="1" applyAlignment="1">
      <alignment horizontal="distributed" vertical="center" justifyLastLine="1"/>
    </xf>
    <xf numFmtId="0" fontId="17" fillId="0" borderId="51" xfId="3" applyFont="1" applyBorder="1" applyAlignment="1">
      <alignment horizontal="distributed" vertical="center" justifyLastLine="1"/>
    </xf>
    <xf numFmtId="0" fontId="17" fillId="0" borderId="42" xfId="3" applyFont="1" applyBorder="1" applyAlignment="1">
      <alignment horizontal="distributed" vertical="center" justifyLastLine="1"/>
    </xf>
    <xf numFmtId="0" fontId="17" fillId="0" borderId="32" xfId="3" applyFont="1" applyBorder="1" applyAlignment="1">
      <alignment horizontal="center" vertical="center" justifyLastLine="1"/>
    </xf>
    <xf numFmtId="0" fontId="17" fillId="0" borderId="34" xfId="3" applyFont="1" applyBorder="1" applyAlignment="1">
      <alignment horizontal="center" vertical="center" justifyLastLine="1"/>
    </xf>
    <xf numFmtId="0" fontId="17" fillId="0" borderId="48" xfId="3" applyFont="1" applyBorder="1" applyAlignment="1">
      <alignment horizontal="center" vertical="center" justifyLastLine="1"/>
    </xf>
    <xf numFmtId="0" fontId="17" fillId="0" borderId="0" xfId="3" applyFont="1" applyBorder="1" applyAlignment="1">
      <alignment horizontal="center" vertical="center" justifyLastLine="1"/>
    </xf>
    <xf numFmtId="0" fontId="17" fillId="0" borderId="43" xfId="3" applyFont="1" applyBorder="1" applyAlignment="1">
      <alignment horizontal="center" vertical="center" justifyLastLine="1"/>
    </xf>
    <xf numFmtId="0" fontId="17" fillId="0" borderId="42" xfId="3" applyFont="1" applyBorder="1" applyAlignment="1">
      <alignment horizontal="center" vertical="center" justifyLastLine="1"/>
    </xf>
    <xf numFmtId="0" fontId="17" fillId="0" borderId="34" xfId="3" applyFont="1" applyBorder="1" applyAlignment="1">
      <alignment horizontal="center" vertical="center" wrapText="1"/>
    </xf>
    <xf numFmtId="0" fontId="17" fillId="0" borderId="0" xfId="3" applyFont="1" applyBorder="1" applyAlignment="1">
      <alignment horizontal="center" vertical="center" wrapText="1"/>
    </xf>
    <xf numFmtId="0" fontId="17" fillId="0" borderId="77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/>
    </xf>
    <xf numFmtId="0" fontId="17" fillId="0" borderId="78" xfId="3" applyFont="1" applyBorder="1" applyAlignment="1">
      <alignment horizontal="center" vertical="center"/>
    </xf>
    <xf numFmtId="0" fontId="17" fillId="0" borderId="32" xfId="3" applyFont="1" applyBorder="1" applyAlignment="1">
      <alignment horizontal="distributed" vertical="center" justifyLastLine="1"/>
    </xf>
    <xf numFmtId="0" fontId="17" fillId="0" borderId="41" xfId="3" applyFont="1" applyBorder="1" applyAlignment="1">
      <alignment horizontal="distributed" vertical="center" justifyLastLine="1"/>
    </xf>
    <xf numFmtId="0" fontId="17" fillId="0" borderId="48" xfId="3" applyFont="1" applyBorder="1" applyAlignment="1">
      <alignment horizontal="distributed" vertical="center" justifyLastLine="1"/>
    </xf>
    <xf numFmtId="0" fontId="17" fillId="0" borderId="50" xfId="3" applyFont="1" applyBorder="1" applyAlignment="1">
      <alignment horizontal="distributed" vertical="center" justifyLastLine="1"/>
    </xf>
    <xf numFmtId="0" fontId="17" fillId="0" borderId="43" xfId="3" applyFont="1" applyBorder="1" applyAlignment="1">
      <alignment horizontal="distributed" vertical="center" justifyLastLine="1"/>
    </xf>
    <xf numFmtId="0" fontId="17" fillId="0" borderId="40" xfId="3" applyFont="1" applyBorder="1" applyAlignment="1">
      <alignment horizontal="distributed" vertical="center" justifyLastLine="1"/>
    </xf>
    <xf numFmtId="0" fontId="17" fillId="0" borderId="1" xfId="3" applyFont="1" applyBorder="1" applyAlignment="1">
      <alignment horizontal="center" vertical="center" justifyLastLine="1"/>
    </xf>
    <xf numFmtId="0" fontId="17" fillId="0" borderId="3" xfId="3" applyFont="1" applyBorder="1" applyAlignment="1">
      <alignment horizontal="center" vertical="center" justifyLastLine="1"/>
    </xf>
    <xf numFmtId="0" fontId="17" fillId="0" borderId="19" xfId="3" applyFont="1" applyBorder="1" applyAlignment="1">
      <alignment horizontal="center" vertical="center" justifyLastLine="1"/>
    </xf>
    <xf numFmtId="0" fontId="17" fillId="0" borderId="44" xfId="3" applyFont="1" applyBorder="1" applyAlignment="1">
      <alignment horizontal="center" vertical="center" justifyLastLine="1"/>
    </xf>
    <xf numFmtId="0" fontId="17" fillId="0" borderId="72" xfId="3" applyFont="1" applyBorder="1" applyAlignment="1">
      <alignment horizontal="center" vertical="center" justifyLastLine="1"/>
    </xf>
    <xf numFmtId="0" fontId="29" fillId="0" borderId="10" xfId="13" applyFont="1" applyBorder="1" applyAlignment="1">
      <alignment horizontal="center" vertical="distributed" textRotation="255" justifyLastLine="1"/>
    </xf>
    <xf numFmtId="0" fontId="29" fillId="0" borderId="0" xfId="1" applyFont="1" applyAlignment="1">
      <alignment horizontal="center" vertical="center" textRotation="255"/>
    </xf>
    <xf numFmtId="0" fontId="17" fillId="0" borderId="35" xfId="1" applyFont="1" applyBorder="1" applyAlignment="1">
      <alignment horizontal="center" vertical="center" wrapText="1" justifyLastLine="1"/>
    </xf>
    <xf numFmtId="0" fontId="17" fillId="0" borderId="58" xfId="1" applyFont="1" applyBorder="1" applyAlignment="1">
      <alignment horizontal="center" vertical="center" wrapText="1" justifyLastLine="1"/>
    </xf>
    <xf numFmtId="0" fontId="17" fillId="0" borderId="36" xfId="1" applyFont="1" applyBorder="1" applyAlignment="1">
      <alignment horizontal="center" vertical="center" wrapText="1" justifyLastLine="1"/>
    </xf>
    <xf numFmtId="0" fontId="17" fillId="0" borderId="33" xfId="1" applyFont="1" applyBorder="1" applyAlignment="1">
      <alignment horizontal="center" vertical="center" wrapText="1"/>
    </xf>
    <xf numFmtId="0" fontId="1" fillId="0" borderId="34" xfId="1" applyBorder="1" applyAlignment="1"/>
    <xf numFmtId="0" fontId="1" fillId="0" borderId="30" xfId="1" applyBorder="1" applyAlignment="1"/>
    <xf numFmtId="0" fontId="41" fillId="0" borderId="32" xfId="1" applyFont="1" applyBorder="1" applyAlignment="1">
      <alignment horizontal="center" vertical="center" wrapText="1"/>
    </xf>
    <xf numFmtId="0" fontId="1" fillId="0" borderId="41" xfId="1" applyBorder="1" applyAlignment="1"/>
    <xf numFmtId="0" fontId="17" fillId="0" borderId="35" xfId="1" applyFont="1" applyBorder="1" applyAlignment="1">
      <alignment horizontal="distributed" vertical="center" wrapText="1" justifyLastLine="1"/>
    </xf>
    <xf numFmtId="0" fontId="17" fillId="0" borderId="58" xfId="1" applyFont="1" applyBorder="1" applyAlignment="1">
      <alignment horizontal="distributed" vertical="center" justifyLastLine="1"/>
    </xf>
    <xf numFmtId="0" fontId="17" fillId="0" borderId="161" xfId="1" applyFont="1" applyBorder="1" applyAlignment="1">
      <alignment horizontal="distributed" vertical="center" justifyLastLine="1"/>
    </xf>
    <xf numFmtId="3" fontId="32" fillId="8" borderId="162" xfId="1" applyNumberFormat="1" applyFont="1" applyFill="1" applyBorder="1" applyAlignment="1" applyProtection="1">
      <alignment vertical="center" shrinkToFit="1"/>
      <protection locked="0"/>
    </xf>
    <xf numFmtId="0" fontId="1" fillId="0" borderId="163" xfId="1" applyBorder="1" applyAlignment="1" applyProtection="1">
      <alignment shrinkToFit="1"/>
      <protection locked="0"/>
    </xf>
    <xf numFmtId="0" fontId="1" fillId="0" borderId="164" xfId="1" applyBorder="1" applyAlignment="1" applyProtection="1">
      <alignment shrinkToFit="1"/>
      <protection locked="0"/>
    </xf>
    <xf numFmtId="0" fontId="32" fillId="4" borderId="162" xfId="1" applyFont="1" applyFill="1" applyBorder="1" applyAlignment="1" applyProtection="1">
      <alignment horizontal="center" vertical="center" shrinkToFit="1"/>
      <protection locked="0"/>
    </xf>
    <xf numFmtId="0" fontId="1" fillId="0" borderId="163" xfId="1" applyBorder="1" applyAlignment="1" applyProtection="1">
      <alignment horizontal="center" shrinkToFit="1"/>
      <protection locked="0"/>
    </xf>
    <xf numFmtId="0" fontId="1" fillId="0" borderId="164" xfId="1" applyBorder="1" applyAlignment="1" applyProtection="1">
      <alignment horizontal="center" shrinkToFit="1"/>
      <protection locked="0"/>
    </xf>
    <xf numFmtId="0" fontId="17" fillId="0" borderId="3" xfId="3" applyFont="1" applyFill="1" applyBorder="1" applyAlignment="1">
      <alignment horizontal="distributed" vertical="center"/>
    </xf>
    <xf numFmtId="0" fontId="18" fillId="0" borderId="3" xfId="3" applyFont="1" applyFill="1" applyBorder="1" applyAlignment="1">
      <alignment horizontal="left" vertical="center" wrapText="1"/>
    </xf>
    <xf numFmtId="0" fontId="18" fillId="0" borderId="106" xfId="3" applyFont="1" applyFill="1" applyBorder="1" applyAlignment="1">
      <alignment horizontal="left" vertical="center" wrapText="1"/>
    </xf>
    <xf numFmtId="0" fontId="29" fillId="0" borderId="0" xfId="13" applyFont="1" applyAlignment="1">
      <alignment horizontal="center" vertical="center" justifyLastLine="1"/>
    </xf>
    <xf numFmtId="0" fontId="29" fillId="0" borderId="0" xfId="1" applyFont="1" applyAlignment="1">
      <alignment horizontal="center" vertical="center" shrinkToFit="1"/>
    </xf>
    <xf numFmtId="0" fontId="29" fillId="0" borderId="4" xfId="13" applyFont="1" applyBorder="1" applyAlignment="1">
      <alignment horizontal="center" vertical="center" justifyLastLine="1"/>
    </xf>
    <xf numFmtId="0" fontId="29" fillId="0" borderId="55" xfId="13" applyFont="1" applyBorder="1" applyAlignment="1">
      <alignment horizontal="center" vertical="center" justifyLastLine="1"/>
    </xf>
    <xf numFmtId="0" fontId="29" fillId="0" borderId="5" xfId="13" applyFont="1" applyBorder="1" applyAlignment="1">
      <alignment horizontal="center" vertical="center" justifyLastLine="1"/>
    </xf>
    <xf numFmtId="0" fontId="29" fillId="0" borderId="6" xfId="13" applyFont="1" applyBorder="1" applyAlignment="1">
      <alignment horizontal="center" vertical="center" justifyLastLine="1"/>
    </xf>
    <xf numFmtId="0" fontId="29" fillId="0" borderId="53" xfId="13" applyFont="1" applyBorder="1" applyAlignment="1">
      <alignment horizontal="center" vertical="center" justifyLastLine="1"/>
    </xf>
    <xf numFmtId="0" fontId="29" fillId="0" borderId="7" xfId="13" applyFont="1" applyBorder="1" applyAlignment="1">
      <alignment horizontal="center" vertical="center" justifyLastLine="1"/>
    </xf>
    <xf numFmtId="0" fontId="29" fillId="0" borderId="4" xfId="1" applyFont="1" applyBorder="1" applyAlignment="1">
      <alignment horizontal="center" vertical="center" shrinkToFit="1"/>
    </xf>
    <xf numFmtId="0" fontId="29" fillId="0" borderId="48" xfId="1" applyFont="1" applyBorder="1" applyAlignment="1">
      <alignment horizontal="center" vertical="center" shrinkToFit="1"/>
    </xf>
    <xf numFmtId="0" fontId="17" fillId="0" borderId="4" xfId="1" applyFont="1" applyBorder="1" applyAlignment="1">
      <alignment horizontal="center" vertical="center" wrapText="1" shrinkToFit="1"/>
    </xf>
    <xf numFmtId="0" fontId="17" fillId="0" borderId="78" xfId="1" applyFont="1" applyBorder="1" applyAlignment="1">
      <alignment horizontal="center" vertical="center" wrapText="1" shrinkToFit="1"/>
    </xf>
    <xf numFmtId="0" fontId="17" fillId="0" borderId="93" xfId="3" applyFont="1" applyFill="1" applyBorder="1" applyAlignment="1">
      <alignment horizontal="distributed" vertical="center" justifyLastLine="1"/>
    </xf>
    <xf numFmtId="0" fontId="17" fillId="0" borderId="34" xfId="3" applyFont="1" applyFill="1" applyBorder="1" applyAlignment="1">
      <alignment horizontal="distributed" vertical="center" justifyLastLine="1"/>
    </xf>
    <xf numFmtId="0" fontId="17" fillId="0" borderId="94" xfId="3" applyFont="1" applyFill="1" applyBorder="1" applyAlignment="1">
      <alignment horizontal="distributed" vertical="center" justifyLastLine="1"/>
    </xf>
    <xf numFmtId="0" fontId="17" fillId="0" borderId="55" xfId="3" applyFont="1" applyFill="1" applyBorder="1" applyAlignment="1">
      <alignment horizontal="center" vertical="center" wrapText="1" shrinkToFit="1"/>
    </xf>
    <xf numFmtId="0" fontId="17" fillId="0" borderId="0" xfId="3" applyFont="1" applyFill="1" applyBorder="1" applyAlignment="1">
      <alignment horizontal="center" vertical="center" wrapText="1" shrinkToFit="1"/>
    </xf>
    <xf numFmtId="0" fontId="17" fillId="0" borderId="4" xfId="3" applyFont="1" applyFill="1" applyBorder="1" applyAlignment="1">
      <alignment horizontal="center" vertical="center" wrapText="1" shrinkToFit="1"/>
    </xf>
    <xf numFmtId="0" fontId="17" fillId="0" borderId="97" xfId="3" applyFont="1" applyFill="1" applyBorder="1" applyAlignment="1">
      <alignment horizontal="center" vertical="center" wrapText="1" shrinkToFit="1"/>
    </xf>
    <xf numFmtId="0" fontId="29" fillId="0" borderId="9" xfId="13" applyFont="1" applyBorder="1" applyAlignment="1">
      <alignment horizontal="center" vertical="center" justifyLastLine="1"/>
    </xf>
    <xf numFmtId="0" fontId="29" fillId="0" borderId="10" xfId="13" applyFont="1" applyBorder="1" applyAlignment="1">
      <alignment horizontal="center" vertical="center" justifyLastLine="1"/>
    </xf>
    <xf numFmtId="0" fontId="29" fillId="0" borderId="0" xfId="1" applyFont="1" applyAlignment="1">
      <alignment horizontal="center"/>
    </xf>
    <xf numFmtId="0" fontId="17" fillId="0" borderId="34" xfId="3" applyFont="1" applyFill="1" applyBorder="1" applyAlignment="1">
      <alignment horizontal="distributed" vertical="center" wrapText="1"/>
    </xf>
    <xf numFmtId="0" fontId="17" fillId="0" borderId="0" xfId="3" applyFont="1" applyFill="1" applyBorder="1" applyAlignment="1">
      <alignment horizontal="distributed" vertical="center" wrapText="1"/>
    </xf>
    <xf numFmtId="0" fontId="17" fillId="0" borderId="42" xfId="3" applyFont="1" applyFill="1" applyBorder="1" applyAlignment="1">
      <alignment horizontal="distributed" vertical="center" wrapText="1"/>
    </xf>
    <xf numFmtId="0" fontId="17" fillId="0" borderId="42" xfId="3" applyFont="1" applyFill="1" applyBorder="1" applyAlignment="1">
      <alignment horizontal="distributed" vertical="center" justifyLastLine="1"/>
    </xf>
    <xf numFmtId="0" fontId="17" fillId="0" borderId="53" xfId="3" applyFont="1" applyFill="1" applyBorder="1" applyAlignment="1">
      <alignment horizontal="distributed" vertical="center" justifyLastLine="1"/>
    </xf>
    <xf numFmtId="0" fontId="17" fillId="0" borderId="0" xfId="3" applyFont="1" applyFill="1" applyBorder="1" applyAlignment="1">
      <alignment horizontal="distributed" vertical="center"/>
    </xf>
    <xf numFmtId="0" fontId="18" fillId="0" borderId="99" xfId="3" applyFont="1" applyFill="1" applyBorder="1" applyAlignment="1">
      <alignment horizontal="left" vertical="center" wrapText="1"/>
    </xf>
    <xf numFmtId="0" fontId="17" fillId="0" borderId="4" xfId="3" applyFont="1" applyFill="1" applyBorder="1" applyAlignment="1">
      <alignment horizontal="distributed" vertical="center" justifyLastLine="1"/>
    </xf>
    <xf numFmtId="0" fontId="17" fillId="0" borderId="6" xfId="3" applyFont="1" applyFill="1" applyBorder="1" applyAlignment="1">
      <alignment horizontal="distributed" vertical="center" justifyLastLine="1"/>
    </xf>
    <xf numFmtId="0" fontId="17" fillId="0" borderId="7" xfId="3" applyFont="1" applyFill="1" applyBorder="1" applyAlignment="1">
      <alignment horizontal="distributed" vertical="center" justifyLastLine="1"/>
    </xf>
    <xf numFmtId="0" fontId="17" fillId="0" borderId="95" xfId="3" applyFont="1" applyFill="1" applyBorder="1" applyAlignment="1">
      <alignment horizontal="distributed" vertical="center" justifyLastLine="1"/>
    </xf>
    <xf numFmtId="0" fontId="17" fillId="0" borderId="96" xfId="3" applyFont="1" applyFill="1" applyBorder="1" applyAlignment="1">
      <alignment horizontal="distributed" vertical="center" justifyLastLine="1"/>
    </xf>
    <xf numFmtId="0" fontId="17" fillId="0" borderId="48" xfId="3" applyFont="1" applyFill="1" applyBorder="1" applyAlignment="1">
      <alignment horizontal="center" vertical="center" wrapText="1" shrinkToFit="1"/>
    </xf>
    <xf numFmtId="0" fontId="17" fillId="0" borderId="95" xfId="3" applyFont="1" applyFill="1" applyBorder="1" applyAlignment="1">
      <alignment horizontal="center" vertical="center" wrapText="1" shrinkToFit="1"/>
    </xf>
    <xf numFmtId="0" fontId="17" fillId="0" borderId="94" xfId="3" applyFont="1" applyFill="1" applyBorder="1" applyAlignment="1">
      <alignment horizontal="center" vertical="center" wrapText="1" shrinkToFit="1"/>
    </xf>
    <xf numFmtId="0" fontId="17" fillId="0" borderId="9" xfId="1" applyFont="1" applyBorder="1" applyAlignment="1">
      <alignment horizontal="center" vertical="center" wrapText="1" shrinkToFit="1"/>
    </xf>
    <xf numFmtId="0" fontId="17" fillId="0" borderId="98" xfId="1" applyFont="1" applyBorder="1" applyAlignment="1">
      <alignment horizontal="center" vertical="center" wrapText="1" shrinkToFit="1"/>
    </xf>
    <xf numFmtId="0" fontId="17" fillId="0" borderId="118" xfId="3" applyFont="1" applyFill="1" applyBorder="1" applyAlignment="1">
      <alignment horizontal="distributed" vertical="center"/>
    </xf>
    <xf numFmtId="0" fontId="18" fillId="0" borderId="132" xfId="3" applyFont="1" applyFill="1" applyBorder="1" applyAlignment="1">
      <alignment horizontal="left" vertical="center" wrapText="1"/>
    </xf>
    <xf numFmtId="0" fontId="17" fillId="0" borderId="55" xfId="3" applyFont="1" applyFill="1" applyBorder="1" applyAlignment="1">
      <alignment horizontal="distributed" vertical="center"/>
    </xf>
    <xf numFmtId="0" fontId="18" fillId="0" borderId="129" xfId="3" applyFont="1" applyFill="1" applyBorder="1" applyAlignment="1">
      <alignment horizontal="left" vertical="center" wrapText="1"/>
    </xf>
  </cellXfs>
  <cellStyles count="14">
    <cellStyle name="Normal 4" xfId="11" xr:uid="{00000000-0005-0000-0000-000000000000}"/>
    <cellStyle name="桁区切り 2" xfId="4" xr:uid="{BD6DB79C-4398-4304-9FA6-25A6EA2FFDBE}"/>
    <cellStyle name="桁区切り 2 2" xfId="8" xr:uid="{00000000-0005-0000-0000-000003000000}"/>
    <cellStyle name="桁区切り 2 3" xfId="6" xr:uid="{00000000-0005-0000-0000-000002000000}"/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261F789D-11DF-4E9C-B2B1-ADE466ED17FA}"/>
    <cellStyle name="標準 5" xfId="5" xr:uid="{00000000-0005-0000-0000-000005000000}"/>
    <cellStyle name="標準 6" xfId="7" xr:uid="{00000000-0005-0000-0000-000006000000}"/>
    <cellStyle name="標準 6 2 2" xfId="10" xr:uid="{00000000-0005-0000-0000-000007000000}"/>
    <cellStyle name="標準 6 3" xfId="9" xr:uid="{00000000-0005-0000-0000-000008000000}"/>
    <cellStyle name="標準 7" xfId="12" xr:uid="{00000000-0005-0000-0000-000037000000}"/>
    <cellStyle name="標準_BDA1S0T05201" xfId="13" xr:uid="{89C8DBA4-0EA3-4AC7-93ED-4362F6EA3CC9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00"/>
      <color rgb="FF0000CC"/>
      <color rgb="FFFFCCCC"/>
      <color rgb="FFFFCC99"/>
      <color rgb="FFFFFF99"/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34</xdr:row>
      <xdr:rowOff>243570</xdr:rowOff>
    </xdr:from>
    <xdr:to>
      <xdr:col>17</xdr:col>
      <xdr:colOff>571500</xdr:colOff>
      <xdr:row>34</xdr:row>
      <xdr:rowOff>243570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7DB96FF0-072D-4C2C-8576-A3A5B6B4396B}"/>
            </a:ext>
          </a:extLst>
        </xdr:cNvPr>
        <xdr:cNvCxnSpPr/>
      </xdr:nvCxnSpPr>
      <xdr:spPr bwMode="auto">
        <a:xfrm flipH="1">
          <a:off x="5924550" y="10721070"/>
          <a:ext cx="571500" cy="0"/>
        </a:xfrm>
        <a:prstGeom prst="straightConnector1">
          <a:avLst/>
        </a:prstGeom>
        <a:ln w="28575">
          <a:solidFill>
            <a:srgbClr val="0041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574298</xdr:colOff>
      <xdr:row>34</xdr:row>
      <xdr:rowOff>25616</xdr:rowOff>
    </xdr:from>
    <xdr:to>
      <xdr:col>20</xdr:col>
      <xdr:colOff>182507</xdr:colOff>
      <xdr:row>37</xdr:row>
      <xdr:rowOff>211745</xdr:rowOff>
    </xdr:to>
    <xdr:sp macro="" textlink="">
      <xdr:nvSpPr>
        <xdr:cNvPr id="3" name="角丸四角形 12">
          <a:extLst>
            <a:ext uri="{FF2B5EF4-FFF2-40B4-BE49-F238E27FC236}">
              <a16:creationId xmlns:a16="http://schemas.microsoft.com/office/drawing/2014/main" id="{F70D2DF1-A99D-42EA-9F59-AEA3BE3DBAA8}"/>
            </a:ext>
          </a:extLst>
        </xdr:cNvPr>
        <xdr:cNvSpPr/>
      </xdr:nvSpPr>
      <xdr:spPr>
        <a:xfrm>
          <a:off x="6498848" y="10503116"/>
          <a:ext cx="3580134" cy="1081479"/>
        </a:xfrm>
        <a:prstGeom prst="roundRect">
          <a:avLst/>
        </a:prstGeom>
        <a:ln w="12700">
          <a:solidFill>
            <a:srgbClr val="0037FF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1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・対象品目生産のための労働に支払った賃金を記入す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る場合は、</a:t>
          </a:r>
          <a:r>
            <a:rPr kumimoji="1" lang="en-US" altLang="ja-JP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100</a:t>
          </a: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（％）としてください。</a:t>
          </a: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・対象品目生産以外の労働への支払いも含めて記入す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る場合には、労働時間の割合を目安に記入してく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ださい。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198726</xdr:colOff>
      <xdr:row>38</xdr:row>
      <xdr:rowOff>228067</xdr:rowOff>
    </xdr:from>
    <xdr:to>
      <xdr:col>18</xdr:col>
      <xdr:colOff>78606</xdr:colOff>
      <xdr:row>38</xdr:row>
      <xdr:rowOff>228067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50C1FA64-8835-4499-81C0-8339B07B6237}"/>
            </a:ext>
          </a:extLst>
        </xdr:cNvPr>
        <xdr:cNvCxnSpPr/>
      </xdr:nvCxnSpPr>
      <xdr:spPr bwMode="auto">
        <a:xfrm flipH="1">
          <a:off x="3199101" y="10610317"/>
          <a:ext cx="508530" cy="0"/>
        </a:xfrm>
        <a:prstGeom prst="straightConnector1">
          <a:avLst/>
        </a:prstGeom>
        <a:ln w="28575">
          <a:solidFill>
            <a:srgbClr val="0041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122524</xdr:colOff>
      <xdr:row>37</xdr:row>
      <xdr:rowOff>127000</xdr:rowOff>
    </xdr:from>
    <xdr:to>
      <xdr:col>31</xdr:col>
      <xdr:colOff>297656</xdr:colOff>
      <xdr:row>40</xdr:row>
      <xdr:rowOff>21167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4B93B10F-0509-423E-A0AC-17F2253EB6F0}"/>
            </a:ext>
          </a:extLst>
        </xdr:cNvPr>
        <xdr:cNvSpPr/>
      </xdr:nvSpPr>
      <xdr:spPr>
        <a:xfrm>
          <a:off x="3541999" y="10128250"/>
          <a:ext cx="6175882" cy="1141942"/>
        </a:xfrm>
        <a:prstGeom prst="roundRect">
          <a:avLst/>
        </a:prstGeom>
        <a:ln w="12700">
          <a:solidFill>
            <a:srgbClr val="0037FF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0" rIns="36000" bIns="0" rtlCol="0" anchor="ctr" anchorCtr="0"/>
        <a:lstStyle/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・対象品目生産のための労働に支払った賃金を記入する場合は、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en-US" altLang="ja-JP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100</a:t>
          </a: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（％）としてください。</a:t>
          </a: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・対象品目生産以外の労働への支払いも含めて記入する場合に</a:t>
          </a:r>
          <a:endParaRPr kumimoji="1" lang="en-US" altLang="ja-JP" sz="1000">
            <a:solidFill>
              <a:srgbClr val="0041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rgbClr val="0041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は、労働時間の割合を目安に記入してください。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&#24180;&#65297;&#26376;&#20307;&#31995;&#20197;&#38477;&#12398;&#35211;&#30452;&#12375;&#65288;&#23558;&#26469;&#26041;&#21521;&#65289;/&#26908;&#35342;&#29992;&#36039;&#26009;&#38306;&#20418;/&#29983;&#29987;&#36027;&#12503;&#12524;&#12503;&#12522;&#12531;&#12488;&#23550;&#24540;/02&#30044;&#29983;/20_&#29275;&#20083;&#29983;&#29987;&#36027;&#32113;&#35336;_&#38651;&#23376;&#35519;&#26619;&#31080;_&#38619;&#2241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9733;&#21942;&#36786;&#29677;&#20849;&#26377;&#12501;&#12457;&#12523;&#12480;&#12540;\14&#29694;&#37329;&#20986;&#32013;&#24115;&#31561;&#35519;&#26619;&#31080;&#30330;&#27880;&#38306;&#20418;\00_&#29694;&#37329;&#20986;&#32013;&#24115;&#12539;&#20316;&#26989;&#26085;&#35468;\&#12459;&#12524;&#12531;&#12480;&#12540;&#20316;&#25104;&#35036;&#2116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31&#24180;&#24230;&#12503;&#12525;&#12464;&#12521;&#12512;&#38283;&#30330;/01_&#36786;&#26989;&#32076;&#21942;&#32113;&#35336;&#35519;&#26619;/05_&#38598;&#35336;&#35542;&#29702;&#12289;&#12456;&#12521;&#12540;&#12481;&#12455;&#12483;&#12463;&#35542;&#29702;/01_&#38598;&#35336;&#35542;&#29702;_04_&#35519;&#26619;&#31080;&#8594;&#20491;&#21029;&#32080;&#26524;&#34920;/03_&#36786;&#29987;&#29289;&#29983;&#29987;&#36027;&#32113;&#35336;/00_&#36786;&#29987;&#29289;&#29983;&#29987;&#36027;&#32113;&#35336;_&#38651;&#23376;&#35519;&#26619;&#31080;_190613.1_&#12473;&#12463;&#12525;&#12540;&#12523;&#19978;&#384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 (新)"/>
      <sheetName val="説明 (新)"/>
      <sheetName val="調査事項・経営概要"/>
      <sheetName val="生産物_1~12月"/>
      <sheetName val="子牛等・購入飼料"/>
      <sheetName val="自給飼料"/>
      <sheetName val="資材（種付料～光熱動力）"/>
      <sheetName val="獣医師～その他資材"/>
      <sheetName val="税~その他"/>
      <sheetName val="建物"/>
      <sheetName val="自動車"/>
      <sheetName val="農機"/>
      <sheetName val="農具購入費"/>
      <sheetName val="牛・労働時間"/>
      <sheetName val="飼養状況_2-1"/>
      <sheetName val="飼養状況_2-2"/>
      <sheetName val="地代・搾乳牛負担割合・自給牧草"/>
      <sheetName val="リスト"/>
      <sheetName val="種類・構造・型式・牛馬コード"/>
    </sheetNames>
    <sheetDataSet>
      <sheetData sheetId="0"/>
      <sheetData sheetId="1"/>
      <sheetData sheetId="2"/>
      <sheetData sheetId="3"/>
      <sheetData sheetId="4"/>
      <sheetData sheetId="5">
        <row r="52">
          <cell r="BW52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E5" t="str">
            <v>[01]住　宅</v>
          </cell>
        </row>
        <row r="6">
          <cell r="E6" t="str">
            <v>[02]事務所</v>
          </cell>
        </row>
        <row r="7">
          <cell r="E7" t="str">
            <v>[03]納屋・倉庫</v>
          </cell>
        </row>
        <row r="8">
          <cell r="E8" t="str">
            <v>[04]作業場</v>
          </cell>
        </row>
        <row r="9">
          <cell r="E9" t="str">
            <v>[05]畜舎・ﾌﾘｰｽﾄｰﾙ</v>
          </cell>
        </row>
        <row r="10">
          <cell r="E10" t="str">
            <v>[06]畜舎・ﾌﾘｰｽﾄｰﾙ以外</v>
          </cell>
        </row>
        <row r="11">
          <cell r="E11" t="str">
            <v>[07]クーラー室</v>
          </cell>
        </row>
        <row r="12">
          <cell r="E12" t="str">
            <v>[08]車庫</v>
          </cell>
        </row>
        <row r="13">
          <cell r="E13" t="str">
            <v>[09]たい肥舎・たい肥盤</v>
          </cell>
        </row>
        <row r="14">
          <cell r="E14" t="str">
            <v>[10]乾牧草収納庫</v>
          </cell>
        </row>
        <row r="15">
          <cell r="E15" t="str">
            <v>[13]その他の建築物</v>
          </cell>
        </row>
      </sheetData>
      <sheetData sheetId="18">
        <row r="1">
          <cell r="Z1" t="str">
            <v>法定耐用年数</v>
          </cell>
        </row>
        <row r="2">
          <cell r="R2" t="str">
            <v>種類コード</v>
          </cell>
        </row>
        <row r="3">
          <cell r="S3" t="str">
            <v>牛馬</v>
          </cell>
          <cell r="W3" t="str">
            <v>肉用牛（０１）</v>
          </cell>
          <cell r="AA3" t="str">
            <v>建築物</v>
          </cell>
          <cell r="AC3" t="str">
            <v>構造</v>
          </cell>
          <cell r="AE3" t="str">
            <v>税制改正前</v>
          </cell>
          <cell r="AF3" t="str">
            <v>税制改正後</v>
          </cell>
        </row>
        <row r="4">
          <cell r="R4">
            <v>1</v>
          </cell>
          <cell r="S4" t="str">
            <v>肉用牛</v>
          </cell>
          <cell r="V4">
            <v>1</v>
          </cell>
          <cell r="W4" t="str">
            <v>乳用種</v>
          </cell>
          <cell r="Y4" t="str">
            <v>0101</v>
          </cell>
          <cell r="Z4">
            <v>1</v>
          </cell>
          <cell r="AA4" t="str">
            <v>住宅</v>
          </cell>
          <cell r="AB4">
            <v>1</v>
          </cell>
          <cell r="AC4" t="str">
            <v>木造</v>
          </cell>
          <cell r="AD4" t="str">
            <v>住宅木造</v>
          </cell>
          <cell r="AE4">
            <v>22</v>
          </cell>
          <cell r="AF4">
            <v>22</v>
          </cell>
          <cell r="AH4">
            <v>1</v>
          </cell>
          <cell r="AI4">
            <v>1</v>
          </cell>
        </row>
        <row r="5">
          <cell r="R5">
            <v>2</v>
          </cell>
          <cell r="S5" t="str">
            <v>繁殖牛</v>
          </cell>
          <cell r="V5">
            <v>2</v>
          </cell>
          <cell r="W5" t="str">
            <v>黒毛和種</v>
          </cell>
          <cell r="Y5" t="str">
            <v>0102</v>
          </cell>
          <cell r="Z5">
            <v>1</v>
          </cell>
          <cell r="AA5" t="str">
            <v>住宅</v>
          </cell>
          <cell r="AB5">
            <v>2</v>
          </cell>
          <cell r="AC5" t="str">
            <v>合成樹脂造</v>
          </cell>
          <cell r="AD5" t="str">
            <v>住宅合成樹脂造</v>
          </cell>
          <cell r="AE5">
            <v>22</v>
          </cell>
          <cell r="AF5">
            <v>22</v>
          </cell>
          <cell r="AH5">
            <v>2</v>
          </cell>
          <cell r="AI5">
            <v>0.5</v>
          </cell>
        </row>
        <row r="6">
          <cell r="R6">
            <v>3</v>
          </cell>
          <cell r="S6" t="str">
            <v>馬</v>
          </cell>
          <cell r="V6">
            <v>3</v>
          </cell>
          <cell r="W6" t="str">
            <v>褐毛和種</v>
          </cell>
          <cell r="Y6" t="str">
            <v>0103</v>
          </cell>
          <cell r="Z6">
            <v>1</v>
          </cell>
          <cell r="AA6" t="str">
            <v>住宅</v>
          </cell>
          <cell r="AB6">
            <v>3</v>
          </cell>
          <cell r="AC6" t="str">
            <v>鉄筋コンクリート</v>
          </cell>
          <cell r="AD6" t="str">
            <v>住宅鉄筋コンクリート</v>
          </cell>
          <cell r="AE6">
            <v>47</v>
          </cell>
          <cell r="AF6">
            <v>47</v>
          </cell>
          <cell r="AH6">
            <v>3</v>
          </cell>
          <cell r="AI6">
            <v>0.33400000000000002</v>
          </cell>
        </row>
        <row r="7">
          <cell r="V7">
            <v>4</v>
          </cell>
          <cell r="W7" t="str">
            <v>日本短角種</v>
          </cell>
          <cell r="Y7" t="str">
            <v>0104</v>
          </cell>
          <cell r="Z7">
            <v>1</v>
          </cell>
          <cell r="AA7" t="str">
            <v>住宅</v>
          </cell>
          <cell r="AB7">
            <v>4</v>
          </cell>
          <cell r="AC7" t="str">
            <v>コンクリートブロック</v>
          </cell>
          <cell r="AD7" t="str">
            <v>住宅コンクリートブロック</v>
          </cell>
          <cell r="AE7">
            <v>38</v>
          </cell>
          <cell r="AF7">
            <v>38</v>
          </cell>
          <cell r="AH7">
            <v>4</v>
          </cell>
          <cell r="AI7">
            <v>0.25</v>
          </cell>
        </row>
        <row r="8">
          <cell r="R8" t="str">
            <v>性別区分</v>
          </cell>
          <cell r="V8">
            <v>5</v>
          </cell>
          <cell r="W8" t="str">
            <v>無角和種</v>
          </cell>
          <cell r="Y8" t="str">
            <v>0105</v>
          </cell>
          <cell r="Z8">
            <v>1</v>
          </cell>
          <cell r="AA8" t="str">
            <v>住宅</v>
          </cell>
          <cell r="AB8">
            <v>5</v>
          </cell>
          <cell r="AC8" t="str">
            <v>鉄骨組３㎜以下</v>
          </cell>
          <cell r="AD8" t="str">
            <v>住宅鉄骨組３㎜以下</v>
          </cell>
          <cell r="AE8">
            <v>19</v>
          </cell>
          <cell r="AF8">
            <v>19</v>
          </cell>
          <cell r="AH8">
            <v>5</v>
          </cell>
          <cell r="AI8">
            <v>0.2</v>
          </cell>
        </row>
        <row r="9">
          <cell r="R9">
            <v>1</v>
          </cell>
          <cell r="S9" t="str">
            <v>♂</v>
          </cell>
          <cell r="T9" t="str">
            <v>雄</v>
          </cell>
          <cell r="V9">
            <v>6</v>
          </cell>
          <cell r="W9" t="str">
            <v>Ｆ１</v>
          </cell>
          <cell r="Y9" t="str">
            <v>0106</v>
          </cell>
          <cell r="Z9">
            <v>1</v>
          </cell>
          <cell r="AA9" t="str">
            <v>住宅</v>
          </cell>
          <cell r="AB9">
            <v>6</v>
          </cell>
          <cell r="AC9" t="str">
            <v>鉄骨組３～４㎜以下</v>
          </cell>
          <cell r="AD9" t="str">
            <v>住宅鉄骨組３～４㎜以下</v>
          </cell>
          <cell r="AE9">
            <v>27</v>
          </cell>
          <cell r="AF9">
            <v>27</v>
          </cell>
          <cell r="AH9">
            <v>6</v>
          </cell>
          <cell r="AI9">
            <v>0.16700000000000001</v>
          </cell>
        </row>
        <row r="10">
          <cell r="R10">
            <v>2</v>
          </cell>
          <cell r="S10" t="str">
            <v>♀</v>
          </cell>
          <cell r="T10" t="str">
            <v>雌</v>
          </cell>
          <cell r="V10">
            <v>7</v>
          </cell>
          <cell r="W10" t="str">
            <v>Ｆ１クロス</v>
          </cell>
          <cell r="Y10" t="str">
            <v>0107</v>
          </cell>
          <cell r="Z10">
            <v>1</v>
          </cell>
          <cell r="AA10" t="str">
            <v>住宅</v>
          </cell>
          <cell r="AB10">
            <v>7</v>
          </cell>
          <cell r="AC10" t="str">
            <v>鉄骨組４㎜以上</v>
          </cell>
          <cell r="AD10" t="str">
            <v>住宅鉄骨組４㎜以上</v>
          </cell>
          <cell r="AE10">
            <v>34</v>
          </cell>
          <cell r="AF10">
            <v>34</v>
          </cell>
          <cell r="AH10">
            <v>7</v>
          </cell>
          <cell r="AI10">
            <v>0.14299999999999999</v>
          </cell>
        </row>
        <row r="11">
          <cell r="V11">
            <v>10</v>
          </cell>
          <cell r="W11" t="str">
            <v>外国種</v>
          </cell>
          <cell r="Y11" t="str">
            <v>0108</v>
          </cell>
          <cell r="Z11">
            <v>1</v>
          </cell>
          <cell r="AA11" t="str">
            <v>住宅</v>
          </cell>
          <cell r="AB11">
            <v>8</v>
          </cell>
          <cell r="AC11" t="str">
            <v>木造モルタル</v>
          </cell>
          <cell r="AD11" t="str">
            <v>住宅木造モルタル</v>
          </cell>
          <cell r="AE11">
            <v>20</v>
          </cell>
          <cell r="AF11">
            <v>20</v>
          </cell>
          <cell r="AH11">
            <v>8</v>
          </cell>
          <cell r="AI11">
            <v>0.125</v>
          </cell>
        </row>
        <row r="12">
          <cell r="V12">
            <v>11</v>
          </cell>
          <cell r="W12" t="str">
            <v>ＥＴ</v>
          </cell>
          <cell r="Y12" t="str">
            <v>0177</v>
          </cell>
          <cell r="Z12">
            <v>1</v>
          </cell>
          <cell r="AA12" t="str">
            <v>住宅</v>
          </cell>
          <cell r="AB12">
            <v>77</v>
          </cell>
          <cell r="AC12" t="str">
            <v>少額資産</v>
          </cell>
          <cell r="AD12" t="str">
            <v>住宅少額資産</v>
          </cell>
          <cell r="AE12">
            <v>3</v>
          </cell>
          <cell r="AF12">
            <v>3</v>
          </cell>
          <cell r="AH12">
            <v>9</v>
          </cell>
          <cell r="AI12">
            <v>0.112</v>
          </cell>
        </row>
        <row r="13">
          <cell r="V13">
            <v>99</v>
          </cell>
          <cell r="W13" t="str">
            <v>その他</v>
          </cell>
          <cell r="Y13" t="str">
            <v>0201</v>
          </cell>
          <cell r="Z13">
            <v>2</v>
          </cell>
          <cell r="AA13" t="str">
            <v>事務所</v>
          </cell>
          <cell r="AB13">
            <v>1</v>
          </cell>
          <cell r="AC13" t="str">
            <v>木造</v>
          </cell>
          <cell r="AD13" t="str">
            <v>事務所木造</v>
          </cell>
          <cell r="AE13">
            <v>24</v>
          </cell>
          <cell r="AF13">
            <v>24</v>
          </cell>
          <cell r="AH13">
            <v>10</v>
          </cell>
          <cell r="AI13">
            <v>0.1</v>
          </cell>
        </row>
        <row r="14">
          <cell r="Y14" t="str">
            <v>0202</v>
          </cell>
          <cell r="Z14">
            <v>2</v>
          </cell>
          <cell r="AA14" t="str">
            <v>事務所</v>
          </cell>
          <cell r="AB14">
            <v>2</v>
          </cell>
          <cell r="AC14" t="str">
            <v>合成樹脂造</v>
          </cell>
          <cell r="AD14" t="str">
            <v>事務所合成樹脂造</v>
          </cell>
          <cell r="AE14">
            <v>24</v>
          </cell>
          <cell r="AF14">
            <v>24</v>
          </cell>
          <cell r="AH14">
            <v>11</v>
          </cell>
          <cell r="AI14">
            <v>9.0999999999999998E-2</v>
          </cell>
        </row>
        <row r="15">
          <cell r="W15" t="str">
            <v>繁殖牛（０２）</v>
          </cell>
          <cell r="Y15" t="str">
            <v>0203</v>
          </cell>
          <cell r="Z15">
            <v>2</v>
          </cell>
          <cell r="AA15" t="str">
            <v>事務所</v>
          </cell>
          <cell r="AB15">
            <v>3</v>
          </cell>
          <cell r="AC15" t="str">
            <v>鉄筋コンクリート</v>
          </cell>
          <cell r="AD15" t="str">
            <v>事務所鉄筋コンクリート</v>
          </cell>
          <cell r="AE15">
            <v>50</v>
          </cell>
          <cell r="AF15">
            <v>50</v>
          </cell>
          <cell r="AH15">
            <v>12</v>
          </cell>
          <cell r="AI15">
            <v>8.4000000000000005E-2</v>
          </cell>
        </row>
        <row r="16">
          <cell r="V16">
            <v>1</v>
          </cell>
          <cell r="W16" t="str">
            <v>ホルスタイン</v>
          </cell>
          <cell r="Y16" t="str">
            <v>0204</v>
          </cell>
          <cell r="Z16">
            <v>2</v>
          </cell>
          <cell r="AA16" t="str">
            <v>事務所</v>
          </cell>
          <cell r="AB16">
            <v>4</v>
          </cell>
          <cell r="AC16" t="str">
            <v>コンクリートブロック</v>
          </cell>
          <cell r="AD16" t="str">
            <v>事務所コンクリートブロック</v>
          </cell>
          <cell r="AE16">
            <v>41</v>
          </cell>
          <cell r="AF16">
            <v>41</v>
          </cell>
          <cell r="AH16">
            <v>13</v>
          </cell>
          <cell r="AI16">
            <v>7.6999999999999999E-2</v>
          </cell>
        </row>
        <row r="17">
          <cell r="V17">
            <v>2</v>
          </cell>
          <cell r="W17" t="str">
            <v>ジャージー</v>
          </cell>
          <cell r="Y17" t="str">
            <v>0205</v>
          </cell>
          <cell r="Z17">
            <v>2</v>
          </cell>
          <cell r="AA17" t="str">
            <v>事務所</v>
          </cell>
          <cell r="AB17">
            <v>5</v>
          </cell>
          <cell r="AC17" t="str">
            <v>鉄骨組３㎜以下</v>
          </cell>
          <cell r="AD17" t="str">
            <v>事務所鉄骨組３㎜以下</v>
          </cell>
          <cell r="AE17">
            <v>22</v>
          </cell>
          <cell r="AF17">
            <v>22</v>
          </cell>
          <cell r="AH17">
            <v>14</v>
          </cell>
          <cell r="AI17">
            <v>7.1999999999999995E-2</v>
          </cell>
        </row>
        <row r="18">
          <cell r="V18">
            <v>3</v>
          </cell>
          <cell r="W18" t="str">
            <v>その他の乳用種</v>
          </cell>
          <cell r="Y18" t="str">
            <v>0206</v>
          </cell>
          <cell r="Z18">
            <v>2</v>
          </cell>
          <cell r="AA18" t="str">
            <v>事務所</v>
          </cell>
          <cell r="AB18">
            <v>6</v>
          </cell>
          <cell r="AC18" t="str">
            <v>鉄骨組３～４㎜以下</v>
          </cell>
          <cell r="AD18" t="str">
            <v>事務所鉄骨組３～４㎜以下</v>
          </cell>
          <cell r="AE18">
            <v>30</v>
          </cell>
          <cell r="AF18">
            <v>30</v>
          </cell>
          <cell r="AH18">
            <v>15</v>
          </cell>
          <cell r="AI18">
            <v>6.7000000000000004E-2</v>
          </cell>
        </row>
        <row r="19">
          <cell r="V19">
            <v>5</v>
          </cell>
          <cell r="W19" t="str">
            <v>黒毛和種</v>
          </cell>
          <cell r="Y19" t="str">
            <v>0207</v>
          </cell>
          <cell r="Z19">
            <v>2</v>
          </cell>
          <cell r="AA19" t="str">
            <v>事務所</v>
          </cell>
          <cell r="AB19">
            <v>7</v>
          </cell>
          <cell r="AC19" t="str">
            <v>鉄骨組４㎜以上</v>
          </cell>
          <cell r="AD19" t="str">
            <v>事務所鉄骨組４㎜以上</v>
          </cell>
          <cell r="AE19">
            <v>38</v>
          </cell>
          <cell r="AF19">
            <v>38</v>
          </cell>
          <cell r="AH19">
            <v>16</v>
          </cell>
          <cell r="AI19">
            <v>6.3E-2</v>
          </cell>
        </row>
        <row r="20">
          <cell r="V20">
            <v>6</v>
          </cell>
          <cell r="W20" t="str">
            <v>褐毛和種</v>
          </cell>
          <cell r="Y20" t="str">
            <v>0208</v>
          </cell>
          <cell r="Z20">
            <v>2</v>
          </cell>
          <cell r="AA20" t="str">
            <v>事務所</v>
          </cell>
          <cell r="AB20">
            <v>8</v>
          </cell>
          <cell r="AC20" t="str">
            <v>木造モルタル</v>
          </cell>
          <cell r="AD20" t="str">
            <v>事務所木造モルタル</v>
          </cell>
          <cell r="AE20">
            <v>22</v>
          </cell>
          <cell r="AF20">
            <v>22</v>
          </cell>
          <cell r="AH20">
            <v>17</v>
          </cell>
          <cell r="AI20">
            <v>5.8999999999999997E-2</v>
          </cell>
        </row>
        <row r="21">
          <cell r="R21" t="str">
            <v>生産費該当畜区分</v>
          </cell>
          <cell r="V21">
            <v>7</v>
          </cell>
          <cell r="W21" t="str">
            <v>日本短角種</v>
          </cell>
          <cell r="Y21" t="str">
            <v>0277</v>
          </cell>
          <cell r="Z21">
            <v>2</v>
          </cell>
          <cell r="AA21" t="str">
            <v>事務所</v>
          </cell>
          <cell r="AB21">
            <v>77</v>
          </cell>
          <cell r="AC21" t="str">
            <v>少額資産</v>
          </cell>
          <cell r="AD21" t="str">
            <v>事務所少額資産</v>
          </cell>
          <cell r="AE21">
            <v>3</v>
          </cell>
          <cell r="AF21">
            <v>3</v>
          </cell>
          <cell r="AH21">
            <v>18</v>
          </cell>
          <cell r="AI21">
            <v>5.6000000000000001E-2</v>
          </cell>
        </row>
        <row r="22">
          <cell r="R22">
            <v>1</v>
          </cell>
          <cell r="S22" t="str">
            <v>調査始め生産費対象畜</v>
          </cell>
          <cell r="T22" t="str">
            <v>対象</v>
          </cell>
          <cell r="V22">
            <v>8</v>
          </cell>
          <cell r="W22" t="str">
            <v>無角和種</v>
          </cell>
          <cell r="Y22" t="str">
            <v>0301</v>
          </cell>
          <cell r="Z22">
            <v>3</v>
          </cell>
          <cell r="AA22" t="str">
            <v>倉庫</v>
          </cell>
          <cell r="AB22">
            <v>1</v>
          </cell>
          <cell r="AC22" t="str">
            <v>木造</v>
          </cell>
          <cell r="AD22" t="str">
            <v>倉庫木造</v>
          </cell>
          <cell r="AE22">
            <v>15</v>
          </cell>
          <cell r="AF22">
            <v>15</v>
          </cell>
          <cell r="AH22">
            <v>19</v>
          </cell>
          <cell r="AI22">
            <v>5.2999999999999999E-2</v>
          </cell>
        </row>
        <row r="23">
          <cell r="R23">
            <v>2</v>
          </cell>
          <cell r="S23" t="str">
            <v>仮売却済み</v>
          </cell>
          <cell r="T23" t="str">
            <v>仮売</v>
          </cell>
          <cell r="V23">
            <v>9</v>
          </cell>
          <cell r="W23" t="str">
            <v>外国種①</v>
          </cell>
          <cell r="Y23" t="str">
            <v>0302</v>
          </cell>
          <cell r="Z23">
            <v>3</v>
          </cell>
          <cell r="AA23" t="str">
            <v>倉庫</v>
          </cell>
          <cell r="AB23">
            <v>2</v>
          </cell>
          <cell r="AC23" t="str">
            <v>合成樹脂造</v>
          </cell>
          <cell r="AD23" t="str">
            <v>倉庫合成樹脂造</v>
          </cell>
          <cell r="AE23">
            <v>15</v>
          </cell>
          <cell r="AF23">
            <v>15</v>
          </cell>
          <cell r="AH23">
            <v>20</v>
          </cell>
          <cell r="AI23">
            <v>0.05</v>
          </cell>
        </row>
        <row r="24">
          <cell r="R24">
            <v>3</v>
          </cell>
          <cell r="S24" t="str">
            <v>生産・購入等で導入月齢前</v>
          </cell>
          <cell r="T24" t="str">
            <v>導前</v>
          </cell>
          <cell r="V24">
            <v>10</v>
          </cell>
          <cell r="W24" t="str">
            <v>外国種②</v>
          </cell>
          <cell r="Y24" t="str">
            <v>0303</v>
          </cell>
          <cell r="Z24">
            <v>3</v>
          </cell>
          <cell r="AA24" t="str">
            <v>倉庫</v>
          </cell>
          <cell r="AB24">
            <v>3</v>
          </cell>
          <cell r="AC24" t="str">
            <v>鉄筋コンクリート</v>
          </cell>
          <cell r="AD24" t="str">
            <v>倉庫鉄筋コンクリート</v>
          </cell>
          <cell r="AE24">
            <v>38</v>
          </cell>
          <cell r="AF24">
            <v>38</v>
          </cell>
          <cell r="AH24">
            <v>21</v>
          </cell>
          <cell r="AI24">
            <v>4.8000000000000001E-2</v>
          </cell>
        </row>
        <row r="25">
          <cell r="R25">
            <v>4</v>
          </cell>
          <cell r="S25" t="str">
            <v>牛乳生産費調査対象畜</v>
          </cell>
          <cell r="T25" t="str">
            <v>乳対</v>
          </cell>
          <cell r="V25">
            <v>99</v>
          </cell>
          <cell r="W25" t="str">
            <v>その他</v>
          </cell>
          <cell r="Y25" t="str">
            <v>0304</v>
          </cell>
          <cell r="Z25">
            <v>3</v>
          </cell>
          <cell r="AA25" t="str">
            <v>倉庫</v>
          </cell>
          <cell r="AB25">
            <v>4</v>
          </cell>
          <cell r="AC25" t="str">
            <v>コンクリートブロック</v>
          </cell>
          <cell r="AD25" t="str">
            <v>倉庫コンクリートブロック</v>
          </cell>
          <cell r="AE25">
            <v>34</v>
          </cell>
          <cell r="AF25">
            <v>34</v>
          </cell>
          <cell r="AH25">
            <v>22</v>
          </cell>
          <cell r="AI25">
            <v>4.5999999999999999E-2</v>
          </cell>
        </row>
        <row r="26">
          <cell r="Y26" t="str">
            <v>0305</v>
          </cell>
          <cell r="Z26">
            <v>3</v>
          </cell>
          <cell r="AA26" t="str">
            <v>倉庫</v>
          </cell>
          <cell r="AB26">
            <v>5</v>
          </cell>
          <cell r="AC26" t="str">
            <v>鉄骨組３㎜以下</v>
          </cell>
          <cell r="AD26" t="str">
            <v>倉庫鉄骨組３㎜以下</v>
          </cell>
          <cell r="AE26">
            <v>17</v>
          </cell>
          <cell r="AF26">
            <v>17</v>
          </cell>
          <cell r="AH26">
            <v>23</v>
          </cell>
          <cell r="AI26">
            <v>4.3999999999999997E-2</v>
          </cell>
        </row>
        <row r="27">
          <cell r="W27" t="str">
            <v>馬（０３）</v>
          </cell>
          <cell r="Y27" t="str">
            <v>0306</v>
          </cell>
          <cell r="Z27">
            <v>3</v>
          </cell>
          <cell r="AA27" t="str">
            <v>倉庫</v>
          </cell>
          <cell r="AB27">
            <v>6</v>
          </cell>
          <cell r="AC27" t="str">
            <v>鉄骨組３～４㎜以下</v>
          </cell>
          <cell r="AD27" t="str">
            <v>倉庫鉄骨組３～４㎜以下</v>
          </cell>
          <cell r="AE27">
            <v>24</v>
          </cell>
          <cell r="AF27">
            <v>24</v>
          </cell>
          <cell r="AH27">
            <v>24</v>
          </cell>
          <cell r="AI27">
            <v>4.2000000000000003E-2</v>
          </cell>
        </row>
        <row r="28">
          <cell r="V28">
            <v>1</v>
          </cell>
          <cell r="W28" t="str">
            <v>肥育用</v>
          </cell>
          <cell r="Y28" t="str">
            <v>0307</v>
          </cell>
          <cell r="Z28">
            <v>3</v>
          </cell>
          <cell r="AA28" t="str">
            <v>倉庫</v>
          </cell>
          <cell r="AB28">
            <v>7</v>
          </cell>
          <cell r="AC28" t="str">
            <v>鉄骨組４㎜以上</v>
          </cell>
          <cell r="AD28" t="str">
            <v>倉庫鉄骨組４㎜以上</v>
          </cell>
          <cell r="AE28">
            <v>31</v>
          </cell>
          <cell r="AF28">
            <v>31</v>
          </cell>
          <cell r="AH28">
            <v>25</v>
          </cell>
          <cell r="AI28">
            <v>0.04</v>
          </cell>
        </row>
        <row r="29">
          <cell r="V29">
            <v>2</v>
          </cell>
          <cell r="W29" t="str">
            <v>繁殖用</v>
          </cell>
          <cell r="Y29" t="str">
            <v>0308</v>
          </cell>
          <cell r="Z29">
            <v>3</v>
          </cell>
          <cell r="AA29" t="str">
            <v>倉庫</v>
          </cell>
          <cell r="AB29">
            <v>8</v>
          </cell>
          <cell r="AC29" t="str">
            <v>木造モルタル</v>
          </cell>
          <cell r="AD29" t="str">
            <v>倉庫木造モルタル</v>
          </cell>
          <cell r="AE29">
            <v>14</v>
          </cell>
          <cell r="AF29">
            <v>14</v>
          </cell>
          <cell r="AH29">
            <v>26</v>
          </cell>
          <cell r="AI29">
            <v>3.9E-2</v>
          </cell>
        </row>
        <row r="30">
          <cell r="V30">
            <v>3</v>
          </cell>
          <cell r="W30" t="str">
            <v>農業使役用</v>
          </cell>
          <cell r="Y30" t="str">
            <v>0377</v>
          </cell>
          <cell r="Z30">
            <v>3</v>
          </cell>
          <cell r="AA30" t="str">
            <v>倉庫</v>
          </cell>
          <cell r="AB30">
            <v>77</v>
          </cell>
          <cell r="AC30" t="str">
            <v>少額資産</v>
          </cell>
          <cell r="AD30" t="str">
            <v>倉庫少額資産</v>
          </cell>
          <cell r="AE30">
            <v>3</v>
          </cell>
          <cell r="AF30">
            <v>3</v>
          </cell>
          <cell r="AH30">
            <v>27</v>
          </cell>
          <cell r="AI30">
            <v>3.7999999999999999E-2</v>
          </cell>
        </row>
        <row r="31">
          <cell r="V31">
            <v>4</v>
          </cell>
          <cell r="W31" t="str">
            <v>小運搬使役用</v>
          </cell>
          <cell r="Y31" t="str">
            <v>0501</v>
          </cell>
          <cell r="Z31">
            <v>5</v>
          </cell>
          <cell r="AA31" t="str">
            <v>作業場</v>
          </cell>
          <cell r="AB31">
            <v>1</v>
          </cell>
          <cell r="AC31" t="str">
            <v>木造</v>
          </cell>
          <cell r="AD31" t="str">
            <v>作業場木造</v>
          </cell>
          <cell r="AE31">
            <v>15</v>
          </cell>
          <cell r="AF31">
            <v>15</v>
          </cell>
          <cell r="AH31">
            <v>28</v>
          </cell>
          <cell r="AI31">
            <v>3.5999999999999997E-2</v>
          </cell>
        </row>
        <row r="32">
          <cell r="Y32" t="str">
            <v>0502</v>
          </cell>
          <cell r="Z32">
            <v>5</v>
          </cell>
          <cell r="AA32" t="str">
            <v>作業場</v>
          </cell>
          <cell r="AB32">
            <v>2</v>
          </cell>
          <cell r="AC32" t="str">
            <v>合成樹脂造</v>
          </cell>
          <cell r="AD32" t="str">
            <v>作業場合成樹脂造</v>
          </cell>
          <cell r="AE32">
            <v>15</v>
          </cell>
          <cell r="AF32">
            <v>15</v>
          </cell>
          <cell r="AH32">
            <v>29</v>
          </cell>
          <cell r="AI32">
            <v>3.5000000000000003E-2</v>
          </cell>
        </row>
        <row r="33">
          <cell r="S33" t="str">
            <v>牛乳</v>
          </cell>
          <cell r="Y33" t="str">
            <v>0503</v>
          </cell>
          <cell r="Z33">
            <v>5</v>
          </cell>
          <cell r="AA33" t="str">
            <v>作業場</v>
          </cell>
          <cell r="AB33">
            <v>3</v>
          </cell>
          <cell r="AC33" t="str">
            <v>鉄筋コンクリート</v>
          </cell>
          <cell r="AD33" t="str">
            <v>作業場鉄筋コンクリート</v>
          </cell>
          <cell r="AE33">
            <v>38</v>
          </cell>
          <cell r="AF33">
            <v>38</v>
          </cell>
          <cell r="AH33">
            <v>30</v>
          </cell>
          <cell r="AI33">
            <v>3.4000000000000002E-2</v>
          </cell>
        </row>
        <row r="34">
          <cell r="R34">
            <v>1</v>
          </cell>
          <cell r="S34" t="str">
            <v>購入</v>
          </cell>
          <cell r="T34" t="str">
            <v>購入</v>
          </cell>
          <cell r="Y34" t="str">
            <v>0504</v>
          </cell>
          <cell r="Z34">
            <v>5</v>
          </cell>
          <cell r="AA34" t="str">
            <v>作業場</v>
          </cell>
          <cell r="AB34">
            <v>4</v>
          </cell>
          <cell r="AC34" t="str">
            <v>コンクリートブロック</v>
          </cell>
          <cell r="AD34" t="str">
            <v>作業場コンクリートブロック</v>
          </cell>
          <cell r="AE34">
            <v>34</v>
          </cell>
          <cell r="AF34">
            <v>34</v>
          </cell>
          <cell r="AH34">
            <v>31</v>
          </cell>
          <cell r="AI34">
            <v>3.3000000000000002E-2</v>
          </cell>
        </row>
        <row r="35">
          <cell r="R35">
            <v>2</v>
          </cell>
          <cell r="S35" t="str">
            <v>生産</v>
          </cell>
          <cell r="T35" t="str">
            <v>生産</v>
          </cell>
          <cell r="Y35" t="str">
            <v>0505</v>
          </cell>
          <cell r="Z35">
            <v>5</v>
          </cell>
          <cell r="AA35" t="str">
            <v>作業場</v>
          </cell>
          <cell r="AB35">
            <v>5</v>
          </cell>
          <cell r="AC35" t="str">
            <v>鉄骨組３㎜以下</v>
          </cell>
          <cell r="AD35" t="str">
            <v>作業場鉄骨組３㎜以下</v>
          </cell>
          <cell r="AE35">
            <v>17</v>
          </cell>
          <cell r="AF35">
            <v>17</v>
          </cell>
          <cell r="AH35">
            <v>32</v>
          </cell>
          <cell r="AI35">
            <v>3.2000000000000001E-2</v>
          </cell>
        </row>
        <row r="36">
          <cell r="R36">
            <v>3</v>
          </cell>
          <cell r="S36" t="str">
            <v>成畜</v>
          </cell>
          <cell r="T36" t="str">
            <v>成畜</v>
          </cell>
          <cell r="Y36" t="str">
            <v>0506</v>
          </cell>
          <cell r="Z36">
            <v>5</v>
          </cell>
          <cell r="AA36" t="str">
            <v>作業場</v>
          </cell>
          <cell r="AB36">
            <v>6</v>
          </cell>
          <cell r="AC36" t="str">
            <v>鉄骨組３～４㎜以下</v>
          </cell>
          <cell r="AD36" t="str">
            <v>作業場鉄骨組３～４㎜以下</v>
          </cell>
          <cell r="AE36">
            <v>24</v>
          </cell>
          <cell r="AF36">
            <v>24</v>
          </cell>
          <cell r="AH36">
            <v>33</v>
          </cell>
          <cell r="AI36">
            <v>3.1E-2</v>
          </cell>
        </row>
        <row r="37">
          <cell r="R37">
            <v>4</v>
          </cell>
          <cell r="S37" t="str">
            <v>資産分割による増加</v>
          </cell>
          <cell r="T37" t="str">
            <v>分割増加</v>
          </cell>
          <cell r="Y37" t="str">
            <v>0507</v>
          </cell>
          <cell r="Z37">
            <v>5</v>
          </cell>
          <cell r="AA37" t="str">
            <v>作業場</v>
          </cell>
          <cell r="AB37">
            <v>7</v>
          </cell>
          <cell r="AC37" t="str">
            <v>鉄骨組４㎜以上</v>
          </cell>
          <cell r="AD37" t="str">
            <v>作業場鉄骨組４㎜以上</v>
          </cell>
          <cell r="AE37">
            <v>31</v>
          </cell>
          <cell r="AF37">
            <v>31</v>
          </cell>
          <cell r="AH37">
            <v>34</v>
          </cell>
          <cell r="AI37">
            <v>0.03</v>
          </cell>
        </row>
        <row r="38">
          <cell r="R38">
            <v>5</v>
          </cell>
          <cell r="S38" t="str">
            <v>売却</v>
          </cell>
          <cell r="T38" t="str">
            <v>売却</v>
          </cell>
          <cell r="Y38" t="str">
            <v>0508</v>
          </cell>
          <cell r="Z38">
            <v>5</v>
          </cell>
          <cell r="AA38" t="str">
            <v>作業場</v>
          </cell>
          <cell r="AB38">
            <v>8</v>
          </cell>
          <cell r="AC38" t="str">
            <v>木造モルタル</v>
          </cell>
          <cell r="AD38" t="str">
            <v>作業場木造モルタル</v>
          </cell>
          <cell r="AE38">
            <v>14</v>
          </cell>
          <cell r="AF38">
            <v>14</v>
          </cell>
          <cell r="AH38">
            <v>35</v>
          </cell>
          <cell r="AI38">
            <v>2.9000000000000001E-2</v>
          </cell>
        </row>
        <row r="39">
          <cell r="R39">
            <v>8</v>
          </cell>
          <cell r="S39" t="str">
            <v>死亡等</v>
          </cell>
          <cell r="T39" t="str">
            <v>死亡等</v>
          </cell>
          <cell r="Y39" t="str">
            <v>0577</v>
          </cell>
          <cell r="Z39">
            <v>5</v>
          </cell>
          <cell r="AA39" t="str">
            <v>作業場</v>
          </cell>
          <cell r="AB39">
            <v>77</v>
          </cell>
          <cell r="AC39" t="str">
            <v>少額資産</v>
          </cell>
          <cell r="AD39" t="str">
            <v>作業場少額資産</v>
          </cell>
          <cell r="AE39">
            <v>3</v>
          </cell>
          <cell r="AF39">
            <v>3</v>
          </cell>
          <cell r="AH39">
            <v>36</v>
          </cell>
          <cell r="AI39">
            <v>2.8000000000000001E-2</v>
          </cell>
        </row>
        <row r="40">
          <cell r="R40">
            <v>9</v>
          </cell>
          <cell r="S40" t="str">
            <v>資産分割による減価</v>
          </cell>
          <cell r="T40" t="str">
            <v>分割減価</v>
          </cell>
          <cell r="Y40" t="str">
            <v>1001</v>
          </cell>
          <cell r="Z40">
            <v>10</v>
          </cell>
          <cell r="AA40" t="str">
            <v>貯蔵庫</v>
          </cell>
          <cell r="AB40">
            <v>1</v>
          </cell>
          <cell r="AC40" t="str">
            <v>木造</v>
          </cell>
          <cell r="AD40" t="str">
            <v>貯蔵庫木造</v>
          </cell>
          <cell r="AE40">
            <v>15</v>
          </cell>
          <cell r="AF40">
            <v>15</v>
          </cell>
          <cell r="AH40">
            <v>37</v>
          </cell>
          <cell r="AI40">
            <v>2.8000000000000001E-2</v>
          </cell>
        </row>
        <row r="41">
          <cell r="Y41" t="str">
            <v>1002</v>
          </cell>
          <cell r="Z41">
            <v>10</v>
          </cell>
          <cell r="AA41" t="str">
            <v>貯蔵庫</v>
          </cell>
          <cell r="AB41">
            <v>2</v>
          </cell>
          <cell r="AC41" t="str">
            <v>合成樹脂造</v>
          </cell>
          <cell r="AD41" t="str">
            <v>貯蔵庫合成樹脂造</v>
          </cell>
          <cell r="AE41">
            <v>15</v>
          </cell>
          <cell r="AF41">
            <v>15</v>
          </cell>
          <cell r="AH41">
            <v>38</v>
          </cell>
          <cell r="AI41">
            <v>2.7E-2</v>
          </cell>
        </row>
        <row r="42">
          <cell r="S42" t="str">
            <v>肉用牛</v>
          </cell>
          <cell r="Y42" t="str">
            <v>1003</v>
          </cell>
          <cell r="Z42">
            <v>10</v>
          </cell>
          <cell r="AA42" t="str">
            <v>貯蔵庫</v>
          </cell>
          <cell r="AB42">
            <v>3</v>
          </cell>
          <cell r="AC42" t="str">
            <v>鉄筋コンクリート</v>
          </cell>
          <cell r="AD42" t="str">
            <v>貯蔵庫鉄筋コンクリート</v>
          </cell>
          <cell r="AE42">
            <v>38</v>
          </cell>
          <cell r="AF42">
            <v>38</v>
          </cell>
          <cell r="AH42">
            <v>39</v>
          </cell>
          <cell r="AI42">
            <v>2.5999999999999999E-2</v>
          </cell>
        </row>
        <row r="43">
          <cell r="R43">
            <v>1</v>
          </cell>
          <cell r="S43" t="str">
            <v>購入</v>
          </cell>
          <cell r="T43" t="str">
            <v>購入</v>
          </cell>
          <cell r="Y43" t="str">
            <v>1004</v>
          </cell>
          <cell r="Z43">
            <v>10</v>
          </cell>
          <cell r="AA43" t="str">
            <v>貯蔵庫</v>
          </cell>
          <cell r="AB43">
            <v>4</v>
          </cell>
          <cell r="AC43" t="str">
            <v>コンクリートブロック</v>
          </cell>
          <cell r="AD43" t="str">
            <v>貯蔵庫コンクリートブロック</v>
          </cell>
          <cell r="AE43">
            <v>34</v>
          </cell>
          <cell r="AF43">
            <v>34</v>
          </cell>
          <cell r="AH43">
            <v>40</v>
          </cell>
          <cell r="AI43">
            <v>2.5000000000000001E-2</v>
          </cell>
        </row>
        <row r="44">
          <cell r="R44">
            <v>2</v>
          </cell>
          <cell r="S44" t="str">
            <v>生産</v>
          </cell>
          <cell r="T44" t="str">
            <v>生産</v>
          </cell>
          <cell r="Y44" t="str">
            <v>1005</v>
          </cell>
          <cell r="Z44">
            <v>10</v>
          </cell>
          <cell r="AA44" t="str">
            <v>貯蔵庫</v>
          </cell>
          <cell r="AB44">
            <v>5</v>
          </cell>
          <cell r="AC44" t="str">
            <v>鉄骨組３㎜以下</v>
          </cell>
          <cell r="AD44" t="str">
            <v>貯蔵庫鉄骨組３㎜以下</v>
          </cell>
          <cell r="AE44">
            <v>17</v>
          </cell>
          <cell r="AF44">
            <v>17</v>
          </cell>
          <cell r="AH44">
            <v>41</v>
          </cell>
          <cell r="AI44">
            <v>2.5000000000000001E-2</v>
          </cell>
        </row>
        <row r="45">
          <cell r="R45">
            <v>3</v>
          </cell>
          <cell r="S45" t="str">
            <v>成畜</v>
          </cell>
          <cell r="T45" t="str">
            <v>成畜</v>
          </cell>
          <cell r="Y45" t="str">
            <v>1006</v>
          </cell>
          <cell r="Z45">
            <v>10</v>
          </cell>
          <cell r="AA45" t="str">
            <v>貯蔵庫</v>
          </cell>
          <cell r="AB45">
            <v>6</v>
          </cell>
          <cell r="AC45" t="str">
            <v>鉄骨組３～４㎜以下</v>
          </cell>
          <cell r="AD45" t="str">
            <v>貯蔵庫鉄骨組３～４㎜以下</v>
          </cell>
          <cell r="AE45">
            <v>24</v>
          </cell>
          <cell r="AF45">
            <v>24</v>
          </cell>
          <cell r="AH45">
            <v>42</v>
          </cell>
          <cell r="AI45">
            <v>2.4E-2</v>
          </cell>
        </row>
        <row r="46">
          <cell r="R46">
            <v>4</v>
          </cell>
          <cell r="S46" t="str">
            <v>資産分割による増加</v>
          </cell>
          <cell r="T46" t="str">
            <v>分割増加</v>
          </cell>
          <cell r="Y46" t="str">
            <v>1007</v>
          </cell>
          <cell r="Z46">
            <v>10</v>
          </cell>
          <cell r="AA46" t="str">
            <v>貯蔵庫</v>
          </cell>
          <cell r="AB46">
            <v>7</v>
          </cell>
          <cell r="AC46" t="str">
            <v>鉄骨組４㎜以上</v>
          </cell>
          <cell r="AD46" t="str">
            <v>貯蔵庫鉄骨組４㎜以上</v>
          </cell>
          <cell r="AE46">
            <v>31</v>
          </cell>
          <cell r="AF46">
            <v>31</v>
          </cell>
          <cell r="AH46">
            <v>43</v>
          </cell>
          <cell r="AI46">
            <v>2.4E-2</v>
          </cell>
        </row>
        <row r="47">
          <cell r="R47">
            <v>5</v>
          </cell>
          <cell r="S47" t="str">
            <v>売却</v>
          </cell>
          <cell r="T47" t="str">
            <v>売却</v>
          </cell>
          <cell r="Y47" t="str">
            <v>1008</v>
          </cell>
          <cell r="Z47">
            <v>10</v>
          </cell>
          <cell r="AA47" t="str">
            <v>貯蔵庫</v>
          </cell>
          <cell r="AB47">
            <v>8</v>
          </cell>
          <cell r="AC47" t="str">
            <v>木造モルタル</v>
          </cell>
          <cell r="AD47" t="str">
            <v>貯蔵庫木造モルタル</v>
          </cell>
          <cell r="AE47">
            <v>14</v>
          </cell>
          <cell r="AF47">
            <v>14</v>
          </cell>
          <cell r="AH47">
            <v>44</v>
          </cell>
          <cell r="AI47">
            <v>2.3E-2</v>
          </cell>
        </row>
        <row r="48">
          <cell r="R48">
            <v>6</v>
          </cell>
          <cell r="S48" t="str">
            <v>仮売却</v>
          </cell>
          <cell r="T48" t="str">
            <v>仮売却</v>
          </cell>
          <cell r="Y48" t="str">
            <v>1077</v>
          </cell>
          <cell r="Z48">
            <v>10</v>
          </cell>
          <cell r="AA48" t="str">
            <v>貯蔵庫</v>
          </cell>
          <cell r="AB48">
            <v>77</v>
          </cell>
          <cell r="AC48" t="str">
            <v>少額資産</v>
          </cell>
          <cell r="AD48" t="str">
            <v>貯蔵庫少額資産</v>
          </cell>
          <cell r="AE48">
            <v>3</v>
          </cell>
          <cell r="AF48">
            <v>3</v>
          </cell>
          <cell r="AH48">
            <v>45</v>
          </cell>
          <cell r="AI48">
            <v>2.3E-2</v>
          </cell>
        </row>
        <row r="49">
          <cell r="R49">
            <v>7</v>
          </cell>
          <cell r="S49" t="str">
            <v>事故売却</v>
          </cell>
          <cell r="T49" t="str">
            <v>事故売却</v>
          </cell>
          <cell r="Y49" t="str">
            <v>1101</v>
          </cell>
          <cell r="Z49">
            <v>11</v>
          </cell>
          <cell r="AA49" t="str">
            <v>クーラー室</v>
          </cell>
          <cell r="AB49">
            <v>1</v>
          </cell>
          <cell r="AC49" t="str">
            <v>木造</v>
          </cell>
          <cell r="AD49" t="str">
            <v>クーラー室木造</v>
          </cell>
          <cell r="AE49">
            <v>15</v>
          </cell>
          <cell r="AF49">
            <v>15</v>
          </cell>
          <cell r="AH49">
            <v>46</v>
          </cell>
          <cell r="AI49">
            <v>2.1999999999999999E-2</v>
          </cell>
        </row>
        <row r="50">
          <cell r="R50">
            <v>8</v>
          </cell>
          <cell r="S50" t="str">
            <v>死亡等</v>
          </cell>
          <cell r="T50" t="str">
            <v>死亡等</v>
          </cell>
          <cell r="Y50" t="str">
            <v>1102</v>
          </cell>
          <cell r="Z50">
            <v>11</v>
          </cell>
          <cell r="AA50" t="str">
            <v>クーラー室</v>
          </cell>
          <cell r="AB50">
            <v>2</v>
          </cell>
          <cell r="AC50" t="str">
            <v>合成樹脂造</v>
          </cell>
          <cell r="AD50" t="str">
            <v>クーラー室合成樹脂造</v>
          </cell>
          <cell r="AE50">
            <v>15</v>
          </cell>
          <cell r="AF50">
            <v>15</v>
          </cell>
          <cell r="AH50">
            <v>47</v>
          </cell>
          <cell r="AI50">
            <v>2.1999999999999999E-2</v>
          </cell>
        </row>
        <row r="51">
          <cell r="R51">
            <v>9</v>
          </cell>
          <cell r="S51" t="str">
            <v>資産分割による減価</v>
          </cell>
          <cell r="T51" t="str">
            <v>分割減価</v>
          </cell>
          <cell r="Y51" t="str">
            <v>1103</v>
          </cell>
          <cell r="Z51">
            <v>11</v>
          </cell>
          <cell r="AA51" t="str">
            <v>クーラー室</v>
          </cell>
          <cell r="AB51">
            <v>3</v>
          </cell>
          <cell r="AC51" t="str">
            <v>鉄筋コンクリート</v>
          </cell>
          <cell r="AD51" t="str">
            <v>クーラー室鉄筋コンクリート</v>
          </cell>
          <cell r="AE51">
            <v>38</v>
          </cell>
          <cell r="AF51">
            <v>38</v>
          </cell>
          <cell r="AH51">
            <v>48</v>
          </cell>
          <cell r="AI51">
            <v>2.1000000000000001E-2</v>
          </cell>
        </row>
        <row r="52">
          <cell r="Y52" t="str">
            <v>1104</v>
          </cell>
          <cell r="Z52">
            <v>11</v>
          </cell>
          <cell r="AA52" t="str">
            <v>クーラー室</v>
          </cell>
          <cell r="AB52">
            <v>4</v>
          </cell>
          <cell r="AC52" t="str">
            <v>コンクリートブロック</v>
          </cell>
          <cell r="AD52" t="str">
            <v>クーラー室コンクリートブロック</v>
          </cell>
          <cell r="AE52">
            <v>34</v>
          </cell>
          <cell r="AF52">
            <v>34</v>
          </cell>
          <cell r="AH52">
            <v>49</v>
          </cell>
          <cell r="AI52">
            <v>2.1000000000000001E-2</v>
          </cell>
        </row>
        <row r="53">
          <cell r="Y53" t="str">
            <v>1105</v>
          </cell>
          <cell r="Z53">
            <v>11</v>
          </cell>
          <cell r="AA53" t="str">
            <v>クーラー室</v>
          </cell>
          <cell r="AB53">
            <v>5</v>
          </cell>
          <cell r="AC53" t="str">
            <v>鉄骨組３㎜以下</v>
          </cell>
          <cell r="AD53" t="str">
            <v>クーラー室鉄骨組３㎜以下</v>
          </cell>
          <cell r="AE53">
            <v>17</v>
          </cell>
          <cell r="AF53">
            <v>17</v>
          </cell>
          <cell r="AH53">
            <v>50</v>
          </cell>
          <cell r="AI53">
            <v>0.02</v>
          </cell>
        </row>
        <row r="54">
          <cell r="Y54" t="str">
            <v>1106</v>
          </cell>
          <cell r="Z54">
            <v>11</v>
          </cell>
          <cell r="AA54" t="str">
            <v>クーラー室</v>
          </cell>
          <cell r="AB54">
            <v>6</v>
          </cell>
          <cell r="AC54" t="str">
            <v>鉄骨組３～４㎜以下</v>
          </cell>
          <cell r="AD54" t="str">
            <v>クーラー室鉄骨組３～４㎜以下</v>
          </cell>
          <cell r="AE54">
            <v>24</v>
          </cell>
          <cell r="AF54">
            <v>24</v>
          </cell>
          <cell r="AH54">
            <v>51</v>
          </cell>
          <cell r="AI54">
            <v>0.02</v>
          </cell>
        </row>
        <row r="55">
          <cell r="Y55" t="str">
            <v>1107</v>
          </cell>
          <cell r="Z55">
            <v>11</v>
          </cell>
          <cell r="AA55" t="str">
            <v>クーラー室</v>
          </cell>
          <cell r="AB55">
            <v>7</v>
          </cell>
          <cell r="AC55" t="str">
            <v>鉄骨組４㎜以上</v>
          </cell>
          <cell r="AD55" t="str">
            <v>クーラー室鉄骨組４㎜以上</v>
          </cell>
          <cell r="AE55">
            <v>31</v>
          </cell>
          <cell r="AF55">
            <v>31</v>
          </cell>
          <cell r="AH55">
            <v>52</v>
          </cell>
          <cell r="AI55">
            <v>0.02</v>
          </cell>
        </row>
        <row r="56">
          <cell r="Y56" t="str">
            <v>1108</v>
          </cell>
          <cell r="Z56">
            <v>11</v>
          </cell>
          <cell r="AA56" t="str">
            <v>クーラー室</v>
          </cell>
          <cell r="AB56">
            <v>8</v>
          </cell>
          <cell r="AC56" t="str">
            <v>木造モルタル</v>
          </cell>
          <cell r="AD56" t="str">
            <v>クーラー室木造モルタル</v>
          </cell>
          <cell r="AE56">
            <v>14</v>
          </cell>
          <cell r="AF56">
            <v>14</v>
          </cell>
          <cell r="AH56">
            <v>53</v>
          </cell>
          <cell r="AI56">
            <v>1.9E-2</v>
          </cell>
        </row>
        <row r="57">
          <cell r="Y57" t="str">
            <v>1177</v>
          </cell>
          <cell r="Z57">
            <v>11</v>
          </cell>
          <cell r="AA57" t="str">
            <v>クーラー室</v>
          </cell>
          <cell r="AB57">
            <v>77</v>
          </cell>
          <cell r="AC57" t="str">
            <v>少額資産</v>
          </cell>
          <cell r="AD57" t="str">
            <v>クーラー室少額資産</v>
          </cell>
          <cell r="AE57">
            <v>3</v>
          </cell>
          <cell r="AF57">
            <v>3</v>
          </cell>
          <cell r="AH57">
            <v>54</v>
          </cell>
          <cell r="AI57">
            <v>1.9E-2</v>
          </cell>
        </row>
        <row r="58">
          <cell r="Y58" t="str">
            <v>1301</v>
          </cell>
          <cell r="Z58">
            <v>13</v>
          </cell>
          <cell r="AA58" t="str">
            <v>車庫</v>
          </cell>
          <cell r="AB58">
            <v>1</v>
          </cell>
          <cell r="AC58" t="str">
            <v>木造</v>
          </cell>
          <cell r="AD58" t="str">
            <v>車庫木造</v>
          </cell>
          <cell r="AE58">
            <v>17</v>
          </cell>
          <cell r="AF58">
            <v>17</v>
          </cell>
          <cell r="AH58">
            <v>55</v>
          </cell>
          <cell r="AI58">
            <v>1.9E-2</v>
          </cell>
        </row>
        <row r="59">
          <cell r="Y59" t="str">
            <v>1302</v>
          </cell>
          <cell r="Z59">
            <v>13</v>
          </cell>
          <cell r="AA59" t="str">
            <v>車庫</v>
          </cell>
          <cell r="AB59">
            <v>2</v>
          </cell>
          <cell r="AC59" t="str">
            <v>合成樹脂造</v>
          </cell>
          <cell r="AD59" t="str">
            <v>車庫合成樹脂造</v>
          </cell>
          <cell r="AE59">
            <v>17</v>
          </cell>
          <cell r="AF59">
            <v>17</v>
          </cell>
          <cell r="AH59">
            <v>56</v>
          </cell>
          <cell r="AI59">
            <v>1.7999999999999999E-2</v>
          </cell>
        </row>
        <row r="60">
          <cell r="Y60" t="str">
            <v>1303</v>
          </cell>
          <cell r="Z60">
            <v>13</v>
          </cell>
          <cell r="AA60" t="str">
            <v>車庫</v>
          </cell>
          <cell r="AB60">
            <v>3</v>
          </cell>
          <cell r="AC60" t="str">
            <v>鉄筋コンクリート</v>
          </cell>
          <cell r="AD60" t="str">
            <v>車庫鉄筋コンクリート</v>
          </cell>
          <cell r="AE60">
            <v>38</v>
          </cell>
          <cell r="AF60">
            <v>38</v>
          </cell>
          <cell r="AH60">
            <v>57</v>
          </cell>
          <cell r="AI60">
            <v>1.7999999999999999E-2</v>
          </cell>
        </row>
        <row r="61">
          <cell r="Y61" t="str">
            <v>1304</v>
          </cell>
          <cell r="Z61">
            <v>13</v>
          </cell>
          <cell r="AA61" t="str">
            <v>車庫</v>
          </cell>
          <cell r="AB61">
            <v>4</v>
          </cell>
          <cell r="AC61" t="str">
            <v>コンクリートブロック</v>
          </cell>
          <cell r="AD61" t="str">
            <v>車庫コンクリートブロック</v>
          </cell>
          <cell r="AE61">
            <v>34</v>
          </cell>
          <cell r="AF61">
            <v>34</v>
          </cell>
          <cell r="AH61">
            <v>58</v>
          </cell>
          <cell r="AI61">
            <v>1.7999999999999999E-2</v>
          </cell>
        </row>
        <row r="62">
          <cell r="Y62" t="str">
            <v>1305</v>
          </cell>
          <cell r="Z62">
            <v>13</v>
          </cell>
          <cell r="AA62" t="str">
            <v>車庫</v>
          </cell>
          <cell r="AB62">
            <v>5</v>
          </cell>
          <cell r="AC62" t="str">
            <v>鉄骨組３㎜以下</v>
          </cell>
          <cell r="AD62" t="str">
            <v>車庫鉄骨組３㎜以下</v>
          </cell>
          <cell r="AE62">
            <v>19</v>
          </cell>
          <cell r="AF62">
            <v>19</v>
          </cell>
          <cell r="AH62">
            <v>59</v>
          </cell>
          <cell r="AI62">
            <v>1.7000000000000001E-2</v>
          </cell>
        </row>
        <row r="63">
          <cell r="Y63" t="str">
            <v>1306</v>
          </cell>
          <cell r="Z63">
            <v>13</v>
          </cell>
          <cell r="AA63" t="str">
            <v>車庫</v>
          </cell>
          <cell r="AB63">
            <v>6</v>
          </cell>
          <cell r="AC63" t="str">
            <v>鉄骨組３～４㎜以下</v>
          </cell>
          <cell r="AD63" t="str">
            <v>車庫鉄骨組３～４㎜以下</v>
          </cell>
          <cell r="AE63">
            <v>25</v>
          </cell>
          <cell r="AF63">
            <v>25</v>
          </cell>
          <cell r="AH63">
            <v>60</v>
          </cell>
          <cell r="AI63">
            <v>1.7000000000000001E-2</v>
          </cell>
        </row>
        <row r="64">
          <cell r="Y64" t="str">
            <v>1307</v>
          </cell>
          <cell r="Z64">
            <v>13</v>
          </cell>
          <cell r="AA64" t="str">
            <v>車庫</v>
          </cell>
          <cell r="AB64">
            <v>7</v>
          </cell>
          <cell r="AC64" t="str">
            <v>鉄骨組４㎜以上</v>
          </cell>
          <cell r="AD64" t="str">
            <v>車庫鉄骨組４㎜以上</v>
          </cell>
          <cell r="AE64">
            <v>31</v>
          </cell>
          <cell r="AF64">
            <v>31</v>
          </cell>
          <cell r="AH64">
            <v>61</v>
          </cell>
          <cell r="AI64">
            <v>1.7000000000000001E-2</v>
          </cell>
        </row>
        <row r="65">
          <cell r="Y65" t="str">
            <v>1308</v>
          </cell>
          <cell r="Z65">
            <v>13</v>
          </cell>
          <cell r="AA65" t="str">
            <v>車庫</v>
          </cell>
          <cell r="AB65">
            <v>8</v>
          </cell>
          <cell r="AC65" t="str">
            <v>木造モルタル</v>
          </cell>
          <cell r="AD65" t="str">
            <v>車庫木造モルタル</v>
          </cell>
          <cell r="AE65">
            <v>15</v>
          </cell>
          <cell r="AF65">
            <v>15</v>
          </cell>
          <cell r="AH65">
            <v>62</v>
          </cell>
          <cell r="AI65">
            <v>1.7000000000000001E-2</v>
          </cell>
        </row>
        <row r="66">
          <cell r="Y66" t="str">
            <v>1377</v>
          </cell>
          <cell r="Z66">
            <v>13</v>
          </cell>
          <cell r="AA66" t="str">
            <v>車庫</v>
          </cell>
          <cell r="AB66">
            <v>77</v>
          </cell>
          <cell r="AC66" t="str">
            <v>少額資産</v>
          </cell>
          <cell r="AD66" t="str">
            <v>車庫少額資産</v>
          </cell>
          <cell r="AE66">
            <v>3</v>
          </cell>
          <cell r="AF66">
            <v>3</v>
          </cell>
          <cell r="AH66">
            <v>63</v>
          </cell>
          <cell r="AI66">
            <v>1.6E-2</v>
          </cell>
        </row>
        <row r="67">
          <cell r="Y67" t="str">
            <v>1401</v>
          </cell>
          <cell r="Z67">
            <v>14</v>
          </cell>
          <cell r="AA67" t="str">
            <v>たい肥舎</v>
          </cell>
          <cell r="AB67">
            <v>1</v>
          </cell>
          <cell r="AC67" t="str">
            <v>木造</v>
          </cell>
          <cell r="AD67" t="str">
            <v>たい肥舎木造</v>
          </cell>
          <cell r="AE67">
            <v>17</v>
          </cell>
          <cell r="AF67">
            <v>17</v>
          </cell>
          <cell r="AH67">
            <v>64</v>
          </cell>
          <cell r="AI67">
            <v>1.6E-2</v>
          </cell>
        </row>
        <row r="68">
          <cell r="Y68" t="str">
            <v>1402</v>
          </cell>
          <cell r="Z68">
            <v>14</v>
          </cell>
          <cell r="AA68" t="str">
            <v>たい肥舎</v>
          </cell>
          <cell r="AB68">
            <v>2</v>
          </cell>
          <cell r="AC68" t="str">
            <v>合成樹脂造</v>
          </cell>
          <cell r="AD68" t="str">
            <v>たい肥舎合成樹脂造</v>
          </cell>
          <cell r="AE68">
            <v>17</v>
          </cell>
          <cell r="AF68">
            <v>17</v>
          </cell>
          <cell r="AH68">
            <v>65</v>
          </cell>
          <cell r="AI68">
            <v>1.6E-2</v>
          </cell>
        </row>
        <row r="69">
          <cell r="Y69" t="str">
            <v>1403</v>
          </cell>
          <cell r="Z69">
            <v>14</v>
          </cell>
          <cell r="AA69" t="str">
            <v>たい肥舎</v>
          </cell>
          <cell r="AB69">
            <v>3</v>
          </cell>
          <cell r="AC69" t="str">
            <v>鉄筋コンクリート</v>
          </cell>
          <cell r="AD69" t="str">
            <v>たい肥舎鉄筋コンクリート</v>
          </cell>
          <cell r="AE69">
            <v>38</v>
          </cell>
          <cell r="AF69">
            <v>38</v>
          </cell>
          <cell r="AH69">
            <v>66</v>
          </cell>
          <cell r="AI69">
            <v>1.6E-2</v>
          </cell>
        </row>
        <row r="70">
          <cell r="Y70" t="str">
            <v>1404</v>
          </cell>
          <cell r="Z70">
            <v>14</v>
          </cell>
          <cell r="AA70" t="str">
            <v>たい肥舎</v>
          </cell>
          <cell r="AB70">
            <v>4</v>
          </cell>
          <cell r="AC70" t="str">
            <v>コンクリートブロック</v>
          </cell>
          <cell r="AD70" t="str">
            <v>たい肥舎コンクリートブロック</v>
          </cell>
          <cell r="AE70">
            <v>34</v>
          </cell>
          <cell r="AF70">
            <v>34</v>
          </cell>
          <cell r="AH70">
            <v>67</v>
          </cell>
          <cell r="AI70">
            <v>1.4999999999999999E-2</v>
          </cell>
        </row>
        <row r="71">
          <cell r="Y71" t="str">
            <v>1405</v>
          </cell>
          <cell r="Z71">
            <v>14</v>
          </cell>
          <cell r="AA71" t="str">
            <v>たい肥舎</v>
          </cell>
          <cell r="AB71">
            <v>5</v>
          </cell>
          <cell r="AC71" t="str">
            <v>鉄骨組３㎜以下</v>
          </cell>
          <cell r="AD71" t="str">
            <v>たい肥舎鉄骨組３㎜以下</v>
          </cell>
          <cell r="AE71">
            <v>19</v>
          </cell>
          <cell r="AF71">
            <v>19</v>
          </cell>
          <cell r="AH71">
            <v>68</v>
          </cell>
          <cell r="AI71">
            <v>1.4999999999999999E-2</v>
          </cell>
        </row>
        <row r="72">
          <cell r="Y72" t="str">
            <v>1406</v>
          </cell>
          <cell r="Z72">
            <v>14</v>
          </cell>
          <cell r="AA72" t="str">
            <v>たい肥舎</v>
          </cell>
          <cell r="AB72">
            <v>6</v>
          </cell>
          <cell r="AC72" t="str">
            <v>鉄骨組３～４㎜以下</v>
          </cell>
          <cell r="AD72" t="str">
            <v>たい肥舎鉄骨組３～４㎜以下</v>
          </cell>
          <cell r="AE72">
            <v>25</v>
          </cell>
          <cell r="AF72">
            <v>25</v>
          </cell>
          <cell r="AH72">
            <v>69</v>
          </cell>
          <cell r="AI72">
            <v>1.4999999999999999E-2</v>
          </cell>
        </row>
        <row r="73">
          <cell r="Y73" t="str">
            <v>1407</v>
          </cell>
          <cell r="Z73">
            <v>14</v>
          </cell>
          <cell r="AA73" t="str">
            <v>たい肥舎</v>
          </cell>
          <cell r="AB73">
            <v>7</v>
          </cell>
          <cell r="AC73" t="str">
            <v>鉄骨組４㎜以上</v>
          </cell>
          <cell r="AD73" t="str">
            <v>たい肥舎鉄骨組４㎜以上</v>
          </cell>
          <cell r="AE73">
            <v>31</v>
          </cell>
          <cell r="AF73">
            <v>31</v>
          </cell>
          <cell r="AH73">
            <v>70</v>
          </cell>
          <cell r="AI73">
            <v>1.4999999999999999E-2</v>
          </cell>
        </row>
        <row r="74">
          <cell r="Y74" t="str">
            <v>1408</v>
          </cell>
          <cell r="Z74">
            <v>14</v>
          </cell>
          <cell r="AA74" t="str">
            <v>たい肥舎</v>
          </cell>
          <cell r="AB74">
            <v>8</v>
          </cell>
          <cell r="AC74" t="str">
            <v>木造モルタル</v>
          </cell>
          <cell r="AD74" t="str">
            <v>たい肥舎木造モルタル</v>
          </cell>
          <cell r="AE74">
            <v>15</v>
          </cell>
          <cell r="AF74">
            <v>15</v>
          </cell>
          <cell r="AH74">
            <v>71</v>
          </cell>
          <cell r="AI74">
            <v>1.4999999999999999E-2</v>
          </cell>
        </row>
        <row r="75">
          <cell r="Y75" t="str">
            <v>1477</v>
          </cell>
          <cell r="Z75">
            <v>14</v>
          </cell>
          <cell r="AA75" t="str">
            <v>たい肥舎</v>
          </cell>
          <cell r="AB75">
            <v>77</v>
          </cell>
          <cell r="AC75" t="str">
            <v>少額資産</v>
          </cell>
          <cell r="AD75" t="str">
            <v>たい肥舎少額資産</v>
          </cell>
          <cell r="AE75">
            <v>3</v>
          </cell>
          <cell r="AF75">
            <v>3</v>
          </cell>
          <cell r="AH75">
            <v>72</v>
          </cell>
          <cell r="AI75">
            <v>1.4E-2</v>
          </cell>
        </row>
        <row r="76">
          <cell r="Y76" t="str">
            <v>1601</v>
          </cell>
          <cell r="Z76">
            <v>16</v>
          </cell>
          <cell r="AA76" t="str">
            <v>ライスセンター</v>
          </cell>
          <cell r="AB76">
            <v>1</v>
          </cell>
          <cell r="AC76" t="str">
            <v>木造</v>
          </cell>
          <cell r="AD76" t="str">
            <v>ライスセンター木造</v>
          </cell>
          <cell r="AE76">
            <v>15</v>
          </cell>
          <cell r="AF76">
            <v>15</v>
          </cell>
          <cell r="AH76">
            <v>73</v>
          </cell>
          <cell r="AI76">
            <v>1.4E-2</v>
          </cell>
        </row>
        <row r="77">
          <cell r="Y77" t="str">
            <v>1602</v>
          </cell>
          <cell r="Z77">
            <v>16</v>
          </cell>
          <cell r="AA77" t="str">
            <v>ライスセンター</v>
          </cell>
          <cell r="AB77">
            <v>2</v>
          </cell>
          <cell r="AC77" t="str">
            <v>合成樹脂造</v>
          </cell>
          <cell r="AD77" t="str">
            <v>ライスセンター合成樹脂造</v>
          </cell>
          <cell r="AE77">
            <v>15</v>
          </cell>
          <cell r="AF77">
            <v>15</v>
          </cell>
          <cell r="AH77">
            <v>74</v>
          </cell>
          <cell r="AI77">
            <v>1.4E-2</v>
          </cell>
        </row>
        <row r="78">
          <cell r="Y78" t="str">
            <v>1603</v>
          </cell>
          <cell r="Z78">
            <v>16</v>
          </cell>
          <cell r="AA78" t="str">
            <v>ライスセンター</v>
          </cell>
          <cell r="AB78">
            <v>3</v>
          </cell>
          <cell r="AC78" t="str">
            <v>鉄筋コンクリート</v>
          </cell>
          <cell r="AD78" t="str">
            <v>ライスセンター鉄筋コンクリート</v>
          </cell>
          <cell r="AE78">
            <v>38</v>
          </cell>
          <cell r="AF78">
            <v>38</v>
          </cell>
          <cell r="AH78">
            <v>75</v>
          </cell>
          <cell r="AI78">
            <v>1.4E-2</v>
          </cell>
        </row>
        <row r="79">
          <cell r="Y79" t="str">
            <v>1604</v>
          </cell>
          <cell r="Z79">
            <v>16</v>
          </cell>
          <cell r="AA79" t="str">
            <v>ライスセンター</v>
          </cell>
          <cell r="AB79">
            <v>4</v>
          </cell>
          <cell r="AC79" t="str">
            <v>コンクリートブロック</v>
          </cell>
          <cell r="AD79" t="str">
            <v>ライスセンターコンクリートブロック</v>
          </cell>
          <cell r="AE79">
            <v>34</v>
          </cell>
          <cell r="AF79">
            <v>34</v>
          </cell>
          <cell r="AH79">
            <v>76</v>
          </cell>
          <cell r="AI79">
            <v>1.4E-2</v>
          </cell>
        </row>
        <row r="80">
          <cell r="Y80" t="str">
            <v>1605</v>
          </cell>
          <cell r="Z80">
            <v>16</v>
          </cell>
          <cell r="AA80" t="str">
            <v>ライスセンター</v>
          </cell>
          <cell r="AB80">
            <v>5</v>
          </cell>
          <cell r="AC80" t="str">
            <v>鉄骨組３㎜以下</v>
          </cell>
          <cell r="AD80" t="str">
            <v>ライスセンター鉄骨組３㎜以下</v>
          </cell>
          <cell r="AE80">
            <v>17</v>
          </cell>
          <cell r="AF80">
            <v>17</v>
          </cell>
          <cell r="AH80">
            <v>77</v>
          </cell>
          <cell r="AI80">
            <v>1.2999999999999999E-2</v>
          </cell>
        </row>
        <row r="81">
          <cell r="Y81" t="str">
            <v>1606</v>
          </cell>
          <cell r="Z81">
            <v>16</v>
          </cell>
          <cell r="AA81" t="str">
            <v>ライスセンター</v>
          </cell>
          <cell r="AB81">
            <v>6</v>
          </cell>
          <cell r="AC81" t="str">
            <v>鉄骨組３～４㎜以下</v>
          </cell>
          <cell r="AD81" t="str">
            <v>ライスセンター鉄骨組３～４㎜以下</v>
          </cell>
          <cell r="AE81">
            <v>24</v>
          </cell>
          <cell r="AF81">
            <v>24</v>
          </cell>
          <cell r="AH81">
            <v>78</v>
          </cell>
          <cell r="AI81">
            <v>1.2999999999999999E-2</v>
          </cell>
        </row>
        <row r="82">
          <cell r="Y82" t="str">
            <v>1607</v>
          </cell>
          <cell r="Z82">
            <v>16</v>
          </cell>
          <cell r="AA82" t="str">
            <v>ライスセンター</v>
          </cell>
          <cell r="AB82">
            <v>7</v>
          </cell>
          <cell r="AC82" t="str">
            <v>鉄骨組４㎜以上</v>
          </cell>
          <cell r="AD82" t="str">
            <v>ライスセンター鉄骨組４㎜以上</v>
          </cell>
          <cell r="AE82">
            <v>31</v>
          </cell>
          <cell r="AF82">
            <v>31</v>
          </cell>
          <cell r="AH82">
            <v>79</v>
          </cell>
          <cell r="AI82">
            <v>1.2999999999999999E-2</v>
          </cell>
        </row>
        <row r="83">
          <cell r="Y83" t="str">
            <v>1608</v>
          </cell>
          <cell r="Z83">
            <v>16</v>
          </cell>
          <cell r="AA83" t="str">
            <v>ライスセンター</v>
          </cell>
          <cell r="AB83">
            <v>8</v>
          </cell>
          <cell r="AC83" t="str">
            <v>木造モルタル</v>
          </cell>
          <cell r="AD83" t="str">
            <v>ライスセンター木造モルタル</v>
          </cell>
          <cell r="AE83">
            <v>14</v>
          </cell>
          <cell r="AF83">
            <v>14</v>
          </cell>
          <cell r="AH83">
            <v>80</v>
          </cell>
          <cell r="AI83">
            <v>1.2999999999999999E-2</v>
          </cell>
        </row>
        <row r="84">
          <cell r="Y84" t="str">
            <v>1677</v>
          </cell>
          <cell r="Z84">
            <v>16</v>
          </cell>
          <cell r="AA84" t="str">
            <v>ライスセンター</v>
          </cell>
          <cell r="AB84">
            <v>77</v>
          </cell>
          <cell r="AC84" t="str">
            <v>少額資産</v>
          </cell>
          <cell r="AD84" t="str">
            <v>ライスセンター少額資産</v>
          </cell>
          <cell r="AE84">
            <v>3</v>
          </cell>
          <cell r="AF84">
            <v>3</v>
          </cell>
          <cell r="AH84">
            <v>81</v>
          </cell>
          <cell r="AI84">
            <v>1.2999999999999999E-2</v>
          </cell>
        </row>
        <row r="85">
          <cell r="Y85" t="str">
            <v>1701</v>
          </cell>
          <cell r="Z85">
            <v>17</v>
          </cell>
          <cell r="AA85" t="str">
            <v>その他の本建築物</v>
          </cell>
          <cell r="AB85">
            <v>1</v>
          </cell>
          <cell r="AC85" t="str">
            <v>木造</v>
          </cell>
          <cell r="AD85" t="str">
            <v>その他の本建築物木造</v>
          </cell>
          <cell r="AE85">
            <v>15</v>
          </cell>
          <cell r="AF85">
            <v>15</v>
          </cell>
          <cell r="AH85">
            <v>82</v>
          </cell>
          <cell r="AI85">
            <v>1.2999999999999999E-2</v>
          </cell>
        </row>
        <row r="86">
          <cell r="Y86" t="str">
            <v>1702</v>
          </cell>
          <cell r="Z86">
            <v>17</v>
          </cell>
          <cell r="AA86" t="str">
            <v>その他の本建築物</v>
          </cell>
          <cell r="AB86">
            <v>2</v>
          </cell>
          <cell r="AC86" t="str">
            <v>合成樹脂造</v>
          </cell>
          <cell r="AD86" t="str">
            <v>その他の本建築物合成樹脂造</v>
          </cell>
          <cell r="AE86">
            <v>15</v>
          </cell>
          <cell r="AF86">
            <v>15</v>
          </cell>
          <cell r="AH86">
            <v>83</v>
          </cell>
          <cell r="AI86">
            <v>1.2999999999999999E-2</v>
          </cell>
        </row>
        <row r="87">
          <cell r="Y87" t="str">
            <v>1703</v>
          </cell>
          <cell r="Z87">
            <v>17</v>
          </cell>
          <cell r="AA87" t="str">
            <v>その他の本建築物</v>
          </cell>
          <cell r="AB87">
            <v>3</v>
          </cell>
          <cell r="AC87" t="str">
            <v>鉄筋コンクリート</v>
          </cell>
          <cell r="AD87" t="str">
            <v>その他の本建築物鉄筋コンクリート</v>
          </cell>
          <cell r="AE87">
            <v>38</v>
          </cell>
          <cell r="AF87">
            <v>38</v>
          </cell>
          <cell r="AH87">
            <v>84</v>
          </cell>
          <cell r="AI87">
            <v>1.2E-2</v>
          </cell>
        </row>
        <row r="88">
          <cell r="Y88" t="str">
            <v>1704</v>
          </cell>
          <cell r="Z88">
            <v>17</v>
          </cell>
          <cell r="AA88" t="str">
            <v>その他の本建築物</v>
          </cell>
          <cell r="AB88">
            <v>4</v>
          </cell>
          <cell r="AC88" t="str">
            <v>コンクリートブロック</v>
          </cell>
          <cell r="AD88" t="str">
            <v>その他の本建築物コンクリートブロック</v>
          </cell>
          <cell r="AE88">
            <v>34</v>
          </cell>
          <cell r="AF88">
            <v>34</v>
          </cell>
          <cell r="AH88">
            <v>85</v>
          </cell>
          <cell r="AI88">
            <v>1.2E-2</v>
          </cell>
        </row>
        <row r="89">
          <cell r="Y89" t="str">
            <v>1705</v>
          </cell>
          <cell r="Z89">
            <v>17</v>
          </cell>
          <cell r="AA89" t="str">
            <v>その他の本建築物</v>
          </cell>
          <cell r="AB89">
            <v>5</v>
          </cell>
          <cell r="AC89" t="str">
            <v>鉄骨組３㎜以下</v>
          </cell>
          <cell r="AD89" t="str">
            <v>その他の本建築物鉄骨組３㎜以下</v>
          </cell>
          <cell r="AE89">
            <v>17</v>
          </cell>
          <cell r="AF89">
            <v>17</v>
          </cell>
          <cell r="AH89">
            <v>86</v>
          </cell>
          <cell r="AI89">
            <v>1.2E-2</v>
          </cell>
        </row>
        <row r="90">
          <cell r="Y90" t="str">
            <v>1706</v>
          </cell>
          <cell r="Z90">
            <v>17</v>
          </cell>
          <cell r="AA90" t="str">
            <v>その他の本建築物</v>
          </cell>
          <cell r="AB90">
            <v>6</v>
          </cell>
          <cell r="AC90" t="str">
            <v>鉄骨組３～４㎜以下</v>
          </cell>
          <cell r="AD90" t="str">
            <v>その他の本建築物鉄骨組３～４㎜以下</v>
          </cell>
          <cell r="AE90">
            <v>24</v>
          </cell>
          <cell r="AF90">
            <v>24</v>
          </cell>
          <cell r="AH90">
            <v>87</v>
          </cell>
          <cell r="AI90">
            <v>1.2E-2</v>
          </cell>
        </row>
        <row r="91">
          <cell r="Y91" t="str">
            <v>1707</v>
          </cell>
          <cell r="Z91">
            <v>17</v>
          </cell>
          <cell r="AA91" t="str">
            <v>その他の本建築物</v>
          </cell>
          <cell r="AB91">
            <v>7</v>
          </cell>
          <cell r="AC91" t="str">
            <v>鉄骨組４㎜以上</v>
          </cell>
          <cell r="AD91" t="str">
            <v>その他の本建築物鉄骨組４㎜以上</v>
          </cell>
          <cell r="AE91">
            <v>31</v>
          </cell>
          <cell r="AF91">
            <v>31</v>
          </cell>
          <cell r="AH91">
            <v>88</v>
          </cell>
          <cell r="AI91">
            <v>1.2E-2</v>
          </cell>
        </row>
        <row r="92">
          <cell r="Y92" t="str">
            <v>1708</v>
          </cell>
          <cell r="Z92">
            <v>17</v>
          </cell>
          <cell r="AA92" t="str">
            <v>その他の本建築物</v>
          </cell>
          <cell r="AB92">
            <v>8</v>
          </cell>
          <cell r="AC92" t="str">
            <v>木造モルタル</v>
          </cell>
          <cell r="AD92" t="str">
            <v>その他の本建築物木造モルタル</v>
          </cell>
          <cell r="AE92">
            <v>14</v>
          </cell>
          <cell r="AF92">
            <v>14</v>
          </cell>
          <cell r="AH92">
            <v>89</v>
          </cell>
          <cell r="AI92">
            <v>1.2E-2</v>
          </cell>
        </row>
        <row r="93">
          <cell r="Y93" t="str">
            <v>1777</v>
          </cell>
          <cell r="Z93">
            <v>17</v>
          </cell>
          <cell r="AA93" t="str">
            <v>その他の本建築物</v>
          </cell>
          <cell r="AB93">
            <v>77</v>
          </cell>
          <cell r="AC93" t="str">
            <v>少額資産</v>
          </cell>
          <cell r="AD93" t="str">
            <v>その他の本建築物少額資産</v>
          </cell>
          <cell r="AE93">
            <v>3</v>
          </cell>
          <cell r="AF93">
            <v>3</v>
          </cell>
          <cell r="AH93">
            <v>90</v>
          </cell>
          <cell r="AI93">
            <v>1.2E-2</v>
          </cell>
        </row>
        <row r="94">
          <cell r="Y94" t="str">
            <v>2101</v>
          </cell>
          <cell r="Z94">
            <v>21</v>
          </cell>
          <cell r="AA94" t="str">
            <v>簡易建物</v>
          </cell>
          <cell r="AB94">
            <v>1</v>
          </cell>
          <cell r="AC94" t="str">
            <v>木造</v>
          </cell>
          <cell r="AD94" t="str">
            <v>簡易建物木造</v>
          </cell>
          <cell r="AE94">
            <v>10</v>
          </cell>
          <cell r="AF94">
            <v>10</v>
          </cell>
          <cell r="AH94">
            <v>91</v>
          </cell>
          <cell r="AI94">
            <v>1.0999999999999999E-2</v>
          </cell>
        </row>
        <row r="95">
          <cell r="Y95" t="str">
            <v>2102</v>
          </cell>
          <cell r="Z95">
            <v>21</v>
          </cell>
          <cell r="AA95" t="str">
            <v>簡易建物</v>
          </cell>
          <cell r="AB95">
            <v>2</v>
          </cell>
          <cell r="AC95" t="str">
            <v>合成樹脂造</v>
          </cell>
          <cell r="AD95" t="str">
            <v>簡易建物合成樹脂造</v>
          </cell>
          <cell r="AE95">
            <v>10</v>
          </cell>
          <cell r="AF95">
            <v>10</v>
          </cell>
          <cell r="AH95">
            <v>92</v>
          </cell>
          <cell r="AI95">
            <v>1.0999999999999999E-2</v>
          </cell>
        </row>
        <row r="96">
          <cell r="Y96" t="str">
            <v>2177</v>
          </cell>
          <cell r="Z96">
            <v>21</v>
          </cell>
          <cell r="AA96" t="str">
            <v>簡易建物</v>
          </cell>
          <cell r="AB96">
            <v>77</v>
          </cell>
          <cell r="AC96" t="str">
            <v>少額資産</v>
          </cell>
          <cell r="AD96" t="str">
            <v>簡易建物少額資産</v>
          </cell>
          <cell r="AE96">
            <v>3</v>
          </cell>
          <cell r="AF96">
            <v>3</v>
          </cell>
          <cell r="AH96">
            <v>93</v>
          </cell>
          <cell r="AI96">
            <v>1.0999999999999999E-2</v>
          </cell>
        </row>
        <row r="97">
          <cell r="Y97" t="str">
            <v>2201</v>
          </cell>
          <cell r="Z97">
            <v>22</v>
          </cell>
          <cell r="AA97" t="str">
            <v>温室(ｶﾞﾗｽ室)・育苗施設</v>
          </cell>
          <cell r="AB97">
            <v>1</v>
          </cell>
          <cell r="AC97" t="str">
            <v>木造</v>
          </cell>
          <cell r="AD97" t="str">
            <v>温室(ｶﾞﾗｽ室)・育苗施設木造</v>
          </cell>
          <cell r="AE97">
            <v>5</v>
          </cell>
          <cell r="AF97">
            <v>5</v>
          </cell>
          <cell r="AH97">
            <v>94</v>
          </cell>
          <cell r="AI97">
            <v>1.0999999999999999E-2</v>
          </cell>
        </row>
        <row r="98">
          <cell r="Y98" t="str">
            <v>2202</v>
          </cell>
          <cell r="Z98">
            <v>22</v>
          </cell>
          <cell r="AA98" t="str">
            <v>温室(ｶﾞﾗｽ室)・育苗施設</v>
          </cell>
          <cell r="AB98">
            <v>2</v>
          </cell>
          <cell r="AC98" t="str">
            <v>合成樹脂造</v>
          </cell>
          <cell r="AD98" t="str">
            <v>温室(ｶﾞﾗｽ室)・育苗施設合成樹脂造</v>
          </cell>
          <cell r="AE98">
            <v>8</v>
          </cell>
          <cell r="AF98">
            <v>8</v>
          </cell>
          <cell r="AH98">
            <v>95</v>
          </cell>
          <cell r="AI98">
            <v>1.0999999999999999E-2</v>
          </cell>
        </row>
        <row r="99">
          <cell r="Y99" t="str">
            <v>2209</v>
          </cell>
          <cell r="Z99">
            <v>22</v>
          </cell>
          <cell r="AA99" t="str">
            <v>温室(ｶﾞﾗｽ室)・育苗施設</v>
          </cell>
          <cell r="AB99">
            <v>9</v>
          </cell>
          <cell r="AC99" t="str">
            <v>金属</v>
          </cell>
          <cell r="AD99" t="str">
            <v>温室(ｶﾞﾗｽ室)・育苗施設金属</v>
          </cell>
          <cell r="AE99">
            <v>15</v>
          </cell>
          <cell r="AF99">
            <v>14</v>
          </cell>
          <cell r="AH99">
            <v>96</v>
          </cell>
          <cell r="AI99">
            <v>1.0999999999999999E-2</v>
          </cell>
        </row>
        <row r="100">
          <cell r="Y100" t="str">
            <v>2277</v>
          </cell>
          <cell r="Z100">
            <v>22</v>
          </cell>
          <cell r="AA100" t="str">
            <v>温室(ｶﾞﾗｽ室)・育苗施設</v>
          </cell>
          <cell r="AB100">
            <v>77</v>
          </cell>
          <cell r="AC100" t="str">
            <v>少額資産</v>
          </cell>
          <cell r="AD100" t="str">
            <v>温室(ｶﾞﾗｽ室)・育苗施設少額資産</v>
          </cell>
          <cell r="AE100">
            <v>3</v>
          </cell>
          <cell r="AF100">
            <v>3</v>
          </cell>
          <cell r="AH100">
            <v>97</v>
          </cell>
          <cell r="AI100">
            <v>1.0999999999999999E-2</v>
          </cell>
        </row>
        <row r="101">
          <cell r="Y101" t="str">
            <v>2401</v>
          </cell>
          <cell r="Z101">
            <v>24</v>
          </cell>
          <cell r="AA101" t="str">
            <v>ﾌﾟﾗｽﾁｯｸﾊｳｽ・育苗施設</v>
          </cell>
          <cell r="AB101">
            <v>1</v>
          </cell>
          <cell r="AC101" t="str">
            <v>木造</v>
          </cell>
          <cell r="AD101" t="str">
            <v>ﾌﾟﾗｽﾁｯｸﾊｳｽ・育苗施設木造</v>
          </cell>
          <cell r="AE101">
            <v>5</v>
          </cell>
          <cell r="AF101">
            <v>5</v>
          </cell>
          <cell r="AH101">
            <v>98</v>
          </cell>
          <cell r="AI101">
            <v>1.0999999999999999E-2</v>
          </cell>
        </row>
        <row r="102">
          <cell r="Y102" t="str">
            <v>2402</v>
          </cell>
          <cell r="Z102">
            <v>24</v>
          </cell>
          <cell r="AA102" t="str">
            <v>ﾌﾟﾗｽﾁｯｸﾊｳｽ・育苗施設</v>
          </cell>
          <cell r="AB102">
            <v>2</v>
          </cell>
          <cell r="AC102" t="str">
            <v>合成樹脂造</v>
          </cell>
          <cell r="AD102" t="str">
            <v>ﾌﾟﾗｽﾁｯｸﾊｳｽ・育苗施設合成樹脂造</v>
          </cell>
          <cell r="AE102">
            <v>8</v>
          </cell>
          <cell r="AF102">
            <v>8</v>
          </cell>
          <cell r="AH102">
            <v>99</v>
          </cell>
          <cell r="AI102">
            <v>1.0999999999999999E-2</v>
          </cell>
        </row>
        <row r="103">
          <cell r="Y103" t="str">
            <v>2409</v>
          </cell>
          <cell r="Z103">
            <v>24</v>
          </cell>
          <cell r="AA103" t="str">
            <v>ﾌﾟﾗｽﾁｯｸﾊｳｽ・育苗施設</v>
          </cell>
          <cell r="AB103">
            <v>9</v>
          </cell>
          <cell r="AC103" t="str">
            <v>金属</v>
          </cell>
          <cell r="AD103" t="str">
            <v>ﾌﾟﾗｽﾁｯｸﾊｳｽ・育苗施設金属</v>
          </cell>
          <cell r="AE103">
            <v>15</v>
          </cell>
          <cell r="AF103">
            <v>14</v>
          </cell>
          <cell r="AH103">
            <v>100</v>
          </cell>
          <cell r="AI103">
            <v>0.01</v>
          </cell>
        </row>
        <row r="104">
          <cell r="Y104" t="str">
            <v>2477</v>
          </cell>
          <cell r="Z104">
            <v>24</v>
          </cell>
          <cell r="AA104" t="str">
            <v>ﾌﾟﾗｽﾁｯｸﾊｳｽ・育苗施設</v>
          </cell>
          <cell r="AB104">
            <v>77</v>
          </cell>
          <cell r="AC104" t="str">
            <v>少額資産</v>
          </cell>
          <cell r="AD104" t="str">
            <v>ﾌﾟﾗｽﾁｯｸﾊｳｽ・育苗施設少額資産</v>
          </cell>
          <cell r="AE104">
            <v>3</v>
          </cell>
          <cell r="AF104">
            <v>3</v>
          </cell>
        </row>
        <row r="105">
          <cell r="Y105" t="str">
            <v>2601</v>
          </cell>
          <cell r="Z105">
            <v>26</v>
          </cell>
          <cell r="AA105" t="str">
            <v>その他の建築物</v>
          </cell>
          <cell r="AB105">
            <v>1</v>
          </cell>
          <cell r="AC105" t="str">
            <v>木造</v>
          </cell>
          <cell r="AD105" t="str">
            <v>その他の建築物木造</v>
          </cell>
          <cell r="AE105">
            <v>24</v>
          </cell>
          <cell r="AF105">
            <v>24</v>
          </cell>
        </row>
        <row r="106">
          <cell r="Y106" t="str">
            <v>2602</v>
          </cell>
          <cell r="Z106">
            <v>26</v>
          </cell>
          <cell r="AA106" t="str">
            <v>その他の建築物</v>
          </cell>
          <cell r="AB106">
            <v>2</v>
          </cell>
          <cell r="AC106" t="str">
            <v>合成樹脂造</v>
          </cell>
          <cell r="AD106" t="str">
            <v>その他の建築物合成樹脂造</v>
          </cell>
          <cell r="AE106">
            <v>24</v>
          </cell>
          <cell r="AF106">
            <v>24</v>
          </cell>
        </row>
        <row r="107">
          <cell r="Y107" t="str">
            <v>2603</v>
          </cell>
          <cell r="Z107">
            <v>26</v>
          </cell>
          <cell r="AA107" t="str">
            <v>その他の建築物</v>
          </cell>
          <cell r="AB107">
            <v>3</v>
          </cell>
          <cell r="AC107" t="str">
            <v>鉄筋コンクリート</v>
          </cell>
          <cell r="AD107" t="str">
            <v>その他の建築物鉄筋コンクリート</v>
          </cell>
          <cell r="AE107">
            <v>50</v>
          </cell>
          <cell r="AF107">
            <v>50</v>
          </cell>
        </row>
        <row r="108">
          <cell r="Y108" t="str">
            <v>2604</v>
          </cell>
          <cell r="Z108">
            <v>26</v>
          </cell>
          <cell r="AA108" t="str">
            <v>その他の建築物</v>
          </cell>
          <cell r="AB108">
            <v>4</v>
          </cell>
          <cell r="AC108" t="str">
            <v>コンクリートブロック</v>
          </cell>
          <cell r="AD108" t="str">
            <v>その他の建築物コンクリートブロック</v>
          </cell>
          <cell r="AE108">
            <v>41</v>
          </cell>
          <cell r="AF108">
            <v>41</v>
          </cell>
        </row>
        <row r="109">
          <cell r="Y109" t="str">
            <v>2605</v>
          </cell>
          <cell r="Z109">
            <v>26</v>
          </cell>
          <cell r="AA109" t="str">
            <v>その他の建築物</v>
          </cell>
          <cell r="AB109">
            <v>5</v>
          </cell>
          <cell r="AC109" t="str">
            <v>鉄骨組３㎜以下</v>
          </cell>
          <cell r="AD109" t="str">
            <v>その他の建築物鉄骨組３㎜以下</v>
          </cell>
          <cell r="AE109">
            <v>22</v>
          </cell>
          <cell r="AF109">
            <v>22</v>
          </cell>
        </row>
        <row r="110">
          <cell r="Y110" t="str">
            <v>2606</v>
          </cell>
          <cell r="Z110">
            <v>26</v>
          </cell>
          <cell r="AA110" t="str">
            <v>その他の建築物</v>
          </cell>
          <cell r="AB110">
            <v>6</v>
          </cell>
          <cell r="AC110" t="str">
            <v>鉄骨組３～４㎜以下</v>
          </cell>
          <cell r="AD110" t="str">
            <v>その他の建築物鉄骨組３～４㎜以下</v>
          </cell>
          <cell r="AE110">
            <v>30</v>
          </cell>
          <cell r="AF110">
            <v>30</v>
          </cell>
        </row>
        <row r="111">
          <cell r="Y111" t="str">
            <v>2607</v>
          </cell>
          <cell r="Z111">
            <v>26</v>
          </cell>
          <cell r="AA111" t="str">
            <v>その他の建築物</v>
          </cell>
          <cell r="AB111">
            <v>7</v>
          </cell>
          <cell r="AC111" t="str">
            <v>鉄骨組４㎜以上</v>
          </cell>
          <cell r="AD111" t="str">
            <v>その他の建築物鉄骨組４㎜以上</v>
          </cell>
          <cell r="AE111">
            <v>38</v>
          </cell>
          <cell r="AF111">
            <v>38</v>
          </cell>
        </row>
        <row r="112">
          <cell r="Y112" t="str">
            <v>2608</v>
          </cell>
          <cell r="Z112">
            <v>26</v>
          </cell>
          <cell r="AA112" t="str">
            <v>その他の建築物</v>
          </cell>
          <cell r="AB112">
            <v>8</v>
          </cell>
          <cell r="AC112" t="str">
            <v>木造モルタル</v>
          </cell>
          <cell r="AD112" t="str">
            <v>その他の建築物木造モルタル</v>
          </cell>
          <cell r="AE112">
            <v>22</v>
          </cell>
          <cell r="AF112">
            <v>22</v>
          </cell>
        </row>
        <row r="113">
          <cell r="Y113" t="str">
            <v>2677</v>
          </cell>
          <cell r="Z113">
            <v>26</v>
          </cell>
          <cell r="AA113" t="str">
            <v>その他の建築物</v>
          </cell>
          <cell r="AB113">
            <v>77</v>
          </cell>
          <cell r="AC113" t="str">
            <v>少額資産</v>
          </cell>
          <cell r="AD113" t="str">
            <v>その他の建築物少額資産</v>
          </cell>
          <cell r="AE113">
            <v>3</v>
          </cell>
          <cell r="AF113">
            <v>3</v>
          </cell>
        </row>
        <row r="114">
          <cell r="Y114" t="str">
            <v>2901</v>
          </cell>
          <cell r="Z114">
            <v>29</v>
          </cell>
          <cell r="AA114" t="str">
            <v>農外専用住宅</v>
          </cell>
          <cell r="AB114">
            <v>1</v>
          </cell>
          <cell r="AC114" t="str">
            <v>木造</v>
          </cell>
          <cell r="AD114" t="str">
            <v>農外専用住宅木造</v>
          </cell>
          <cell r="AE114">
            <v>22</v>
          </cell>
          <cell r="AF114">
            <v>22</v>
          </cell>
        </row>
        <row r="115">
          <cell r="Y115" t="str">
            <v>2902</v>
          </cell>
          <cell r="Z115">
            <v>29</v>
          </cell>
          <cell r="AA115" t="str">
            <v>農外専用住宅</v>
          </cell>
          <cell r="AB115">
            <v>2</v>
          </cell>
          <cell r="AC115" t="str">
            <v>合成樹脂造</v>
          </cell>
          <cell r="AD115" t="str">
            <v>農外専用住宅合成樹脂造</v>
          </cell>
          <cell r="AE115">
            <v>22</v>
          </cell>
          <cell r="AF115">
            <v>22</v>
          </cell>
        </row>
        <row r="116">
          <cell r="Y116" t="str">
            <v>2903</v>
          </cell>
          <cell r="Z116">
            <v>29</v>
          </cell>
          <cell r="AA116" t="str">
            <v>農外専用住宅</v>
          </cell>
          <cell r="AB116">
            <v>3</v>
          </cell>
          <cell r="AC116" t="str">
            <v>鉄筋コンクリート</v>
          </cell>
          <cell r="AD116" t="str">
            <v>農外専用住宅鉄筋コンクリート</v>
          </cell>
          <cell r="AE116">
            <v>47</v>
          </cell>
          <cell r="AF116">
            <v>47</v>
          </cell>
        </row>
        <row r="117">
          <cell r="Y117" t="str">
            <v>2904</v>
          </cell>
          <cell r="Z117">
            <v>29</v>
          </cell>
          <cell r="AA117" t="str">
            <v>農外専用住宅</v>
          </cell>
          <cell r="AB117">
            <v>4</v>
          </cell>
          <cell r="AC117" t="str">
            <v>コンクリートブロック</v>
          </cell>
          <cell r="AD117" t="str">
            <v>農外専用住宅コンクリートブロック</v>
          </cell>
          <cell r="AE117">
            <v>38</v>
          </cell>
          <cell r="AF117">
            <v>38</v>
          </cell>
        </row>
        <row r="118">
          <cell r="Y118" t="str">
            <v>2905</v>
          </cell>
          <cell r="Z118">
            <v>29</v>
          </cell>
          <cell r="AA118" t="str">
            <v>農外専用住宅</v>
          </cell>
          <cell r="AB118">
            <v>5</v>
          </cell>
          <cell r="AC118" t="str">
            <v>鉄骨組３㎜以下</v>
          </cell>
          <cell r="AD118" t="str">
            <v>農外専用住宅鉄骨組３㎜以下</v>
          </cell>
          <cell r="AE118">
            <v>19</v>
          </cell>
          <cell r="AF118">
            <v>19</v>
          </cell>
        </row>
        <row r="119">
          <cell r="Y119" t="str">
            <v>2906</v>
          </cell>
          <cell r="Z119">
            <v>29</v>
          </cell>
          <cell r="AA119" t="str">
            <v>農外専用住宅</v>
          </cell>
          <cell r="AB119">
            <v>6</v>
          </cell>
          <cell r="AC119" t="str">
            <v>鉄骨組３～４㎜以下</v>
          </cell>
          <cell r="AD119" t="str">
            <v>農外専用住宅鉄骨組３～４㎜以下</v>
          </cell>
          <cell r="AE119">
            <v>27</v>
          </cell>
          <cell r="AF119">
            <v>27</v>
          </cell>
        </row>
        <row r="120">
          <cell r="Y120" t="str">
            <v>2907</v>
          </cell>
          <cell r="Z120">
            <v>29</v>
          </cell>
          <cell r="AA120" t="str">
            <v>農外専用住宅</v>
          </cell>
          <cell r="AB120">
            <v>7</v>
          </cell>
          <cell r="AC120" t="str">
            <v>鉄骨組４㎜以上</v>
          </cell>
          <cell r="AD120" t="str">
            <v>農外専用住宅鉄骨組４㎜以上</v>
          </cell>
          <cell r="AE120">
            <v>34</v>
          </cell>
          <cell r="AF120">
            <v>34</v>
          </cell>
        </row>
        <row r="121">
          <cell r="Y121" t="str">
            <v>2908</v>
          </cell>
          <cell r="Z121">
            <v>29</v>
          </cell>
          <cell r="AA121" t="str">
            <v>農外専用住宅</v>
          </cell>
          <cell r="AB121">
            <v>8</v>
          </cell>
          <cell r="AC121" t="str">
            <v>木造モルタル</v>
          </cell>
          <cell r="AD121" t="str">
            <v>農外専用住宅木造モルタル</v>
          </cell>
          <cell r="AE121">
            <v>20</v>
          </cell>
          <cell r="AF121">
            <v>20</v>
          </cell>
        </row>
        <row r="122">
          <cell r="Y122" t="str">
            <v>2977</v>
          </cell>
          <cell r="Z122">
            <v>29</v>
          </cell>
          <cell r="AA122" t="str">
            <v>農外専用住宅</v>
          </cell>
          <cell r="AB122">
            <v>77</v>
          </cell>
          <cell r="AC122" t="str">
            <v>少額資産</v>
          </cell>
          <cell r="AD122" t="str">
            <v>農外専用住宅少額資産</v>
          </cell>
          <cell r="AE122">
            <v>3</v>
          </cell>
          <cell r="AF122">
            <v>3</v>
          </cell>
        </row>
        <row r="124">
          <cell r="AA124" t="str">
            <v>構築物</v>
          </cell>
          <cell r="AC124" t="str">
            <v>構造</v>
          </cell>
          <cell r="AE124" t="str">
            <v>税制改正前</v>
          </cell>
          <cell r="AF124" t="str">
            <v>税制改正後</v>
          </cell>
        </row>
        <row r="125">
          <cell r="Y125" t="str">
            <v>4105</v>
          </cell>
          <cell r="Z125">
            <v>41</v>
          </cell>
          <cell r="AA125" t="str">
            <v>稲架</v>
          </cell>
          <cell r="AB125">
            <v>5</v>
          </cell>
          <cell r="AC125" t="str">
            <v>金属</v>
          </cell>
          <cell r="AD125" t="str">
            <v>稲架金属</v>
          </cell>
          <cell r="AE125">
            <v>15</v>
          </cell>
          <cell r="AF125">
            <v>14</v>
          </cell>
        </row>
        <row r="126">
          <cell r="Y126" t="str">
            <v>4106</v>
          </cell>
          <cell r="Z126">
            <v>41</v>
          </cell>
          <cell r="AA126" t="str">
            <v>稲架</v>
          </cell>
          <cell r="AB126">
            <v>6</v>
          </cell>
          <cell r="AC126" t="str">
            <v>木造</v>
          </cell>
          <cell r="AD126" t="str">
            <v>稲架木造</v>
          </cell>
          <cell r="AE126">
            <v>5</v>
          </cell>
          <cell r="AF126">
            <v>5</v>
          </cell>
        </row>
        <row r="127">
          <cell r="Y127" t="str">
            <v>4177</v>
          </cell>
          <cell r="Z127">
            <v>41</v>
          </cell>
          <cell r="AA127" t="str">
            <v>稲架</v>
          </cell>
          <cell r="AB127">
            <v>77</v>
          </cell>
          <cell r="AC127" t="str">
            <v>少額資産</v>
          </cell>
          <cell r="AD127" t="str">
            <v>稲架少額資産</v>
          </cell>
          <cell r="AE127">
            <v>3</v>
          </cell>
          <cell r="AF127">
            <v>3</v>
          </cell>
        </row>
        <row r="128">
          <cell r="Y128" t="str">
            <v>4199</v>
          </cell>
          <cell r="Z128">
            <v>41</v>
          </cell>
          <cell r="AA128" t="str">
            <v>稲架</v>
          </cell>
          <cell r="AB128">
            <v>99</v>
          </cell>
          <cell r="AC128" t="str">
            <v>その他</v>
          </cell>
          <cell r="AD128" t="str">
            <v>稲架その他</v>
          </cell>
          <cell r="AE128">
            <v>30</v>
          </cell>
          <cell r="AF128">
            <v>30</v>
          </cell>
        </row>
        <row r="129">
          <cell r="Y129" t="str">
            <v>4201</v>
          </cell>
          <cell r="Z129">
            <v>42</v>
          </cell>
          <cell r="AA129" t="str">
            <v>けい畔</v>
          </cell>
          <cell r="AB129">
            <v>1</v>
          </cell>
          <cell r="AC129" t="str">
            <v>コンクリート</v>
          </cell>
          <cell r="AD129" t="str">
            <v>けい畔コンクリート</v>
          </cell>
          <cell r="AE129">
            <v>20</v>
          </cell>
          <cell r="AF129">
            <v>17</v>
          </cell>
        </row>
        <row r="130">
          <cell r="Y130" t="str">
            <v>4202</v>
          </cell>
          <cell r="Z130">
            <v>42</v>
          </cell>
          <cell r="AA130" t="str">
            <v>けい畔</v>
          </cell>
          <cell r="AB130">
            <v>2</v>
          </cell>
          <cell r="AC130" t="str">
            <v>れんが</v>
          </cell>
          <cell r="AD130" t="str">
            <v>けい畔れんが</v>
          </cell>
          <cell r="AE130">
            <v>20</v>
          </cell>
          <cell r="AF130">
            <v>17</v>
          </cell>
        </row>
        <row r="131">
          <cell r="Y131" t="str">
            <v>4203</v>
          </cell>
          <cell r="Z131">
            <v>42</v>
          </cell>
          <cell r="AA131" t="str">
            <v>けい畔</v>
          </cell>
          <cell r="AB131">
            <v>3</v>
          </cell>
          <cell r="AC131" t="str">
            <v>石</v>
          </cell>
          <cell r="AD131" t="str">
            <v>けい畔石</v>
          </cell>
          <cell r="AE131">
            <v>20</v>
          </cell>
          <cell r="AF131">
            <v>17</v>
          </cell>
        </row>
        <row r="132">
          <cell r="Y132" t="str">
            <v>4204</v>
          </cell>
          <cell r="Z132">
            <v>42</v>
          </cell>
          <cell r="AA132" t="str">
            <v>けい畔</v>
          </cell>
          <cell r="AB132">
            <v>4</v>
          </cell>
          <cell r="AC132" t="str">
            <v>ブロック</v>
          </cell>
          <cell r="AD132" t="str">
            <v>けい畔ブロック</v>
          </cell>
          <cell r="AE132">
            <v>20</v>
          </cell>
          <cell r="AF132">
            <v>17</v>
          </cell>
        </row>
        <row r="133">
          <cell r="Y133" t="str">
            <v>4277</v>
          </cell>
          <cell r="Z133">
            <v>42</v>
          </cell>
          <cell r="AA133" t="str">
            <v>けい畔</v>
          </cell>
          <cell r="AB133">
            <v>77</v>
          </cell>
          <cell r="AC133" t="str">
            <v>少額資産</v>
          </cell>
          <cell r="AD133" t="str">
            <v>けい畔少額資産</v>
          </cell>
          <cell r="AE133">
            <v>3</v>
          </cell>
          <cell r="AF133">
            <v>3</v>
          </cell>
        </row>
        <row r="134">
          <cell r="Y134" t="str">
            <v>4299</v>
          </cell>
          <cell r="Z134">
            <v>42</v>
          </cell>
          <cell r="AA134" t="str">
            <v>けい畔</v>
          </cell>
          <cell r="AB134">
            <v>99</v>
          </cell>
          <cell r="AC134" t="str">
            <v>その他</v>
          </cell>
          <cell r="AD134" t="str">
            <v>けい畔その他</v>
          </cell>
          <cell r="AE134">
            <v>30</v>
          </cell>
          <cell r="AF134">
            <v>30</v>
          </cell>
        </row>
        <row r="135">
          <cell r="Y135" t="str">
            <v>4307</v>
          </cell>
          <cell r="Z135">
            <v>43</v>
          </cell>
          <cell r="AA135" t="str">
            <v>暗きょ</v>
          </cell>
          <cell r="AB135">
            <v>7</v>
          </cell>
          <cell r="AC135" t="str">
            <v>土管</v>
          </cell>
          <cell r="AD135" t="str">
            <v>暗きょ土管</v>
          </cell>
          <cell r="AE135">
            <v>10</v>
          </cell>
          <cell r="AF135">
            <v>10</v>
          </cell>
        </row>
        <row r="136">
          <cell r="Y136" t="str">
            <v>4309</v>
          </cell>
          <cell r="Z136">
            <v>43</v>
          </cell>
          <cell r="AA136" t="str">
            <v>暗きょ</v>
          </cell>
          <cell r="AB136">
            <v>9</v>
          </cell>
          <cell r="AC136" t="str">
            <v>塩化ビニール</v>
          </cell>
          <cell r="AD136" t="str">
            <v>暗きょ塩化ビニール</v>
          </cell>
          <cell r="AE136">
            <v>8</v>
          </cell>
          <cell r="AF136">
            <v>8</v>
          </cell>
        </row>
        <row r="137">
          <cell r="Y137" t="str">
            <v>4377</v>
          </cell>
          <cell r="Z137">
            <v>43</v>
          </cell>
          <cell r="AA137" t="str">
            <v>暗きょ</v>
          </cell>
          <cell r="AB137">
            <v>77</v>
          </cell>
          <cell r="AC137" t="str">
            <v>少額資産</v>
          </cell>
          <cell r="AD137" t="str">
            <v>暗きょ少額資産</v>
          </cell>
          <cell r="AE137">
            <v>3</v>
          </cell>
          <cell r="AF137">
            <v>3</v>
          </cell>
        </row>
        <row r="138">
          <cell r="Y138" t="str">
            <v>4399</v>
          </cell>
          <cell r="Z138">
            <v>43</v>
          </cell>
          <cell r="AA138" t="str">
            <v>暗きょ</v>
          </cell>
          <cell r="AB138">
            <v>99</v>
          </cell>
          <cell r="AC138" t="str">
            <v>その他</v>
          </cell>
          <cell r="AD138" t="str">
            <v>暗きょその他</v>
          </cell>
          <cell r="AE138">
            <v>30</v>
          </cell>
          <cell r="AF138">
            <v>30</v>
          </cell>
        </row>
        <row r="139">
          <cell r="Y139" t="str">
            <v>4477</v>
          </cell>
          <cell r="Z139">
            <v>44</v>
          </cell>
          <cell r="AA139" t="str">
            <v>客土</v>
          </cell>
          <cell r="AB139">
            <v>77</v>
          </cell>
          <cell r="AC139" t="str">
            <v>少額資産</v>
          </cell>
          <cell r="AD139" t="str">
            <v>客土少額資産</v>
          </cell>
          <cell r="AE139">
            <v>3</v>
          </cell>
          <cell r="AF139">
            <v>3</v>
          </cell>
        </row>
        <row r="140">
          <cell r="Y140" t="str">
            <v>4488</v>
          </cell>
          <cell r="Z140">
            <v>44</v>
          </cell>
          <cell r="AA140" t="str">
            <v>客土</v>
          </cell>
          <cell r="AB140">
            <v>88</v>
          </cell>
          <cell r="AC140" t="str">
            <v>10万円未満</v>
          </cell>
          <cell r="AD140" t="str">
            <v>客土10万円未満</v>
          </cell>
          <cell r="AE140">
            <v>1</v>
          </cell>
          <cell r="AF140">
            <v>1</v>
          </cell>
        </row>
        <row r="141">
          <cell r="Y141" t="str">
            <v>4499</v>
          </cell>
          <cell r="Z141">
            <v>44</v>
          </cell>
          <cell r="AA141" t="str">
            <v>客土</v>
          </cell>
          <cell r="AB141">
            <v>99</v>
          </cell>
          <cell r="AC141" t="str">
            <v>その他</v>
          </cell>
          <cell r="AD141" t="str">
            <v>客土その他</v>
          </cell>
          <cell r="AE141">
            <v>8</v>
          </cell>
          <cell r="AF141">
            <v>8</v>
          </cell>
        </row>
        <row r="142">
          <cell r="Y142" t="str">
            <v>4577</v>
          </cell>
          <cell r="Z142">
            <v>45</v>
          </cell>
          <cell r="AA142" t="str">
            <v>作業道</v>
          </cell>
          <cell r="AB142">
            <v>77</v>
          </cell>
          <cell r="AC142" t="str">
            <v>少額資産</v>
          </cell>
          <cell r="AD142" t="str">
            <v>作業道少額資産</v>
          </cell>
          <cell r="AE142">
            <v>3</v>
          </cell>
          <cell r="AF142">
            <v>3</v>
          </cell>
        </row>
        <row r="143">
          <cell r="Y143" t="str">
            <v>4599</v>
          </cell>
          <cell r="Z143">
            <v>45</v>
          </cell>
          <cell r="AA143" t="str">
            <v>作業道</v>
          </cell>
          <cell r="AB143">
            <v>99</v>
          </cell>
          <cell r="AC143" t="str">
            <v>その他</v>
          </cell>
          <cell r="AD143" t="str">
            <v>作業道その他</v>
          </cell>
          <cell r="AE143">
            <v>8</v>
          </cell>
          <cell r="AF143">
            <v>8</v>
          </cell>
        </row>
        <row r="144">
          <cell r="Y144" t="str">
            <v>4601</v>
          </cell>
          <cell r="Z144">
            <v>46</v>
          </cell>
          <cell r="AA144" t="str">
            <v>ひ門</v>
          </cell>
          <cell r="AB144">
            <v>1</v>
          </cell>
          <cell r="AC144" t="str">
            <v>コンクリート</v>
          </cell>
          <cell r="AD144" t="str">
            <v>ひ門コンクリート</v>
          </cell>
          <cell r="AE144">
            <v>20</v>
          </cell>
          <cell r="AF144">
            <v>17</v>
          </cell>
        </row>
        <row r="145">
          <cell r="Y145" t="str">
            <v>4602</v>
          </cell>
          <cell r="Z145">
            <v>46</v>
          </cell>
          <cell r="AA145" t="str">
            <v>ひ門</v>
          </cell>
          <cell r="AB145">
            <v>2</v>
          </cell>
          <cell r="AC145" t="str">
            <v>れんが</v>
          </cell>
          <cell r="AD145" t="str">
            <v>ひ門れんが</v>
          </cell>
          <cell r="AE145">
            <v>20</v>
          </cell>
          <cell r="AF145">
            <v>17</v>
          </cell>
        </row>
        <row r="146">
          <cell r="Y146" t="str">
            <v>4603</v>
          </cell>
          <cell r="Z146">
            <v>46</v>
          </cell>
          <cell r="AA146" t="str">
            <v>ひ門</v>
          </cell>
          <cell r="AB146">
            <v>3</v>
          </cell>
          <cell r="AC146" t="str">
            <v>石</v>
          </cell>
          <cell r="AD146" t="str">
            <v>ひ門石</v>
          </cell>
          <cell r="AE146">
            <v>20</v>
          </cell>
          <cell r="AF146">
            <v>17</v>
          </cell>
        </row>
        <row r="147">
          <cell r="Y147" t="str">
            <v>4604</v>
          </cell>
          <cell r="Z147">
            <v>46</v>
          </cell>
          <cell r="AA147" t="str">
            <v>ひ門</v>
          </cell>
          <cell r="AB147">
            <v>4</v>
          </cell>
          <cell r="AC147" t="str">
            <v>ブロック</v>
          </cell>
          <cell r="AD147" t="str">
            <v>ひ門ブロック</v>
          </cell>
          <cell r="AE147">
            <v>20</v>
          </cell>
          <cell r="AF147">
            <v>17</v>
          </cell>
        </row>
        <row r="148">
          <cell r="Y148" t="str">
            <v>4677</v>
          </cell>
          <cell r="Z148">
            <v>46</v>
          </cell>
          <cell r="AA148" t="str">
            <v>ひ門</v>
          </cell>
          <cell r="AB148">
            <v>77</v>
          </cell>
          <cell r="AC148" t="str">
            <v>少額資産</v>
          </cell>
          <cell r="AD148" t="str">
            <v>ひ門少額資産</v>
          </cell>
          <cell r="AE148">
            <v>3</v>
          </cell>
          <cell r="AF148">
            <v>3</v>
          </cell>
        </row>
        <row r="149">
          <cell r="Y149" t="str">
            <v>4699</v>
          </cell>
          <cell r="Z149">
            <v>46</v>
          </cell>
          <cell r="AA149" t="str">
            <v>ひ門</v>
          </cell>
          <cell r="AB149">
            <v>99</v>
          </cell>
          <cell r="AC149" t="str">
            <v>その他</v>
          </cell>
          <cell r="AD149" t="str">
            <v>ひ門その他</v>
          </cell>
          <cell r="AE149">
            <v>30</v>
          </cell>
          <cell r="AF149">
            <v>30</v>
          </cell>
        </row>
        <row r="150">
          <cell r="Y150" t="str">
            <v>4701</v>
          </cell>
          <cell r="Z150">
            <v>47</v>
          </cell>
          <cell r="AA150" t="str">
            <v>用水路</v>
          </cell>
          <cell r="AB150">
            <v>1</v>
          </cell>
          <cell r="AC150" t="str">
            <v>コンクリート</v>
          </cell>
          <cell r="AD150" t="str">
            <v>用水路コンクリート</v>
          </cell>
          <cell r="AE150">
            <v>20</v>
          </cell>
          <cell r="AF150">
            <v>17</v>
          </cell>
        </row>
        <row r="151">
          <cell r="Y151" t="str">
            <v>4702</v>
          </cell>
          <cell r="Z151">
            <v>47</v>
          </cell>
          <cell r="AA151" t="str">
            <v>用水路</v>
          </cell>
          <cell r="AB151">
            <v>2</v>
          </cell>
          <cell r="AC151" t="str">
            <v>れんが</v>
          </cell>
          <cell r="AD151" t="str">
            <v>用水路れんが</v>
          </cell>
          <cell r="AE151">
            <v>20</v>
          </cell>
          <cell r="AF151">
            <v>17</v>
          </cell>
        </row>
        <row r="152">
          <cell r="Y152" t="str">
            <v>4703</v>
          </cell>
          <cell r="Z152">
            <v>47</v>
          </cell>
          <cell r="AA152" t="str">
            <v>用水路</v>
          </cell>
          <cell r="AB152">
            <v>3</v>
          </cell>
          <cell r="AC152" t="str">
            <v>石</v>
          </cell>
          <cell r="AD152" t="str">
            <v>用水路石</v>
          </cell>
          <cell r="AE152">
            <v>20</v>
          </cell>
          <cell r="AF152">
            <v>17</v>
          </cell>
        </row>
        <row r="153">
          <cell r="Y153" t="str">
            <v>4704</v>
          </cell>
          <cell r="Z153">
            <v>47</v>
          </cell>
          <cell r="AA153" t="str">
            <v>用水路</v>
          </cell>
          <cell r="AB153">
            <v>4</v>
          </cell>
          <cell r="AC153" t="str">
            <v>ブロック</v>
          </cell>
          <cell r="AD153" t="str">
            <v>用水路ブロック</v>
          </cell>
          <cell r="AE153">
            <v>20</v>
          </cell>
          <cell r="AF153">
            <v>17</v>
          </cell>
        </row>
        <row r="154">
          <cell r="Y154" t="str">
            <v>4777</v>
          </cell>
          <cell r="Z154">
            <v>47</v>
          </cell>
          <cell r="AA154" t="str">
            <v>用水路</v>
          </cell>
          <cell r="AB154">
            <v>77</v>
          </cell>
          <cell r="AC154" t="str">
            <v>少額資産</v>
          </cell>
          <cell r="AD154" t="str">
            <v>用水路少額資産</v>
          </cell>
          <cell r="AE154">
            <v>3</v>
          </cell>
          <cell r="AF154">
            <v>3</v>
          </cell>
        </row>
        <row r="155">
          <cell r="Y155" t="str">
            <v>4799</v>
          </cell>
          <cell r="Z155">
            <v>47</v>
          </cell>
          <cell r="AA155" t="str">
            <v>用水路</v>
          </cell>
          <cell r="AB155">
            <v>99</v>
          </cell>
          <cell r="AC155" t="str">
            <v>その他</v>
          </cell>
          <cell r="AD155" t="str">
            <v>用水路その他</v>
          </cell>
          <cell r="AE155">
            <v>30</v>
          </cell>
          <cell r="AF155">
            <v>30</v>
          </cell>
        </row>
        <row r="156">
          <cell r="Y156" t="str">
            <v>4801</v>
          </cell>
          <cell r="Z156">
            <v>48</v>
          </cell>
          <cell r="AA156" t="str">
            <v>配管</v>
          </cell>
          <cell r="AB156">
            <v>1</v>
          </cell>
          <cell r="AC156" t="str">
            <v>コンクリート</v>
          </cell>
          <cell r="AD156" t="str">
            <v>配管コンクリート</v>
          </cell>
          <cell r="AE156">
            <v>20</v>
          </cell>
          <cell r="AF156">
            <v>17</v>
          </cell>
        </row>
        <row r="157">
          <cell r="Y157" t="str">
            <v>4802</v>
          </cell>
          <cell r="Z157">
            <v>48</v>
          </cell>
          <cell r="AA157" t="str">
            <v>配管</v>
          </cell>
          <cell r="AB157">
            <v>2</v>
          </cell>
          <cell r="AC157" t="str">
            <v>れんが</v>
          </cell>
          <cell r="AD157" t="str">
            <v>配管れんが</v>
          </cell>
          <cell r="AE157">
            <v>20</v>
          </cell>
          <cell r="AF157">
            <v>17</v>
          </cell>
        </row>
        <row r="158">
          <cell r="Y158" t="str">
            <v>4803</v>
          </cell>
          <cell r="Z158">
            <v>48</v>
          </cell>
          <cell r="AA158" t="str">
            <v>配管</v>
          </cell>
          <cell r="AB158">
            <v>3</v>
          </cell>
          <cell r="AC158" t="str">
            <v>石</v>
          </cell>
          <cell r="AD158" t="str">
            <v>配管石</v>
          </cell>
          <cell r="AE158">
            <v>20</v>
          </cell>
          <cell r="AF158">
            <v>17</v>
          </cell>
        </row>
        <row r="159">
          <cell r="Y159" t="str">
            <v>4804</v>
          </cell>
          <cell r="Z159">
            <v>48</v>
          </cell>
          <cell r="AA159" t="str">
            <v>配管</v>
          </cell>
          <cell r="AB159">
            <v>4</v>
          </cell>
          <cell r="AC159" t="str">
            <v>ブロック</v>
          </cell>
          <cell r="AD159" t="str">
            <v>配管ブロック</v>
          </cell>
          <cell r="AE159">
            <v>20</v>
          </cell>
          <cell r="AF159">
            <v>17</v>
          </cell>
        </row>
        <row r="160">
          <cell r="Y160" t="str">
            <v>4805</v>
          </cell>
          <cell r="Z160">
            <v>48</v>
          </cell>
          <cell r="AA160" t="str">
            <v>配管</v>
          </cell>
          <cell r="AB160">
            <v>5</v>
          </cell>
          <cell r="AC160" t="str">
            <v>金属</v>
          </cell>
          <cell r="AD160" t="str">
            <v>配管金属</v>
          </cell>
          <cell r="AE160">
            <v>15</v>
          </cell>
          <cell r="AF160">
            <v>14</v>
          </cell>
        </row>
        <row r="161">
          <cell r="Y161" t="str">
            <v>4807</v>
          </cell>
          <cell r="Z161">
            <v>48</v>
          </cell>
          <cell r="AA161" t="str">
            <v>配管</v>
          </cell>
          <cell r="AB161">
            <v>7</v>
          </cell>
          <cell r="AC161" t="str">
            <v>土管</v>
          </cell>
          <cell r="AD161" t="str">
            <v>配管土管</v>
          </cell>
          <cell r="AE161">
            <v>10</v>
          </cell>
          <cell r="AF161">
            <v>10</v>
          </cell>
        </row>
        <row r="162">
          <cell r="Y162" t="str">
            <v>4809</v>
          </cell>
          <cell r="Z162">
            <v>48</v>
          </cell>
          <cell r="AA162" t="str">
            <v>配管</v>
          </cell>
          <cell r="AB162">
            <v>9</v>
          </cell>
          <cell r="AC162" t="str">
            <v>塩化ビニール</v>
          </cell>
          <cell r="AD162" t="str">
            <v>配管塩化ビニール</v>
          </cell>
          <cell r="AE162">
            <v>8</v>
          </cell>
          <cell r="AF162">
            <v>8</v>
          </cell>
        </row>
        <row r="163">
          <cell r="Y163" t="str">
            <v>4877</v>
          </cell>
          <cell r="Z163">
            <v>48</v>
          </cell>
          <cell r="AA163" t="str">
            <v>配管</v>
          </cell>
          <cell r="AB163">
            <v>77</v>
          </cell>
          <cell r="AC163" t="str">
            <v>少額資産</v>
          </cell>
          <cell r="AD163" t="str">
            <v>配管少額資産</v>
          </cell>
          <cell r="AE163">
            <v>3</v>
          </cell>
          <cell r="AF163">
            <v>3</v>
          </cell>
        </row>
        <row r="164">
          <cell r="Y164" t="str">
            <v>4899</v>
          </cell>
          <cell r="Z164">
            <v>48</v>
          </cell>
          <cell r="AA164" t="str">
            <v>配管</v>
          </cell>
          <cell r="AB164">
            <v>99</v>
          </cell>
          <cell r="AC164" t="str">
            <v>その他</v>
          </cell>
          <cell r="AD164" t="str">
            <v>配管その他</v>
          </cell>
          <cell r="AE164">
            <v>30</v>
          </cell>
          <cell r="AF164">
            <v>30</v>
          </cell>
        </row>
        <row r="165">
          <cell r="Y165" t="str">
            <v>4901</v>
          </cell>
          <cell r="Z165">
            <v>49</v>
          </cell>
          <cell r="AA165" t="str">
            <v>農用井戸</v>
          </cell>
          <cell r="AB165">
            <v>1</v>
          </cell>
          <cell r="AC165" t="str">
            <v>コンクリート</v>
          </cell>
          <cell r="AD165" t="str">
            <v>農用井戸コンクリート</v>
          </cell>
          <cell r="AE165">
            <v>20</v>
          </cell>
          <cell r="AF165">
            <v>17</v>
          </cell>
        </row>
        <row r="166">
          <cell r="Y166" t="str">
            <v>4902</v>
          </cell>
          <cell r="Z166">
            <v>49</v>
          </cell>
          <cell r="AA166" t="str">
            <v>農用井戸</v>
          </cell>
          <cell r="AB166">
            <v>2</v>
          </cell>
          <cell r="AC166" t="str">
            <v>れんが</v>
          </cell>
          <cell r="AD166" t="str">
            <v>農用井戸れんが</v>
          </cell>
          <cell r="AE166">
            <v>20</v>
          </cell>
          <cell r="AF166">
            <v>17</v>
          </cell>
        </row>
        <row r="167">
          <cell r="Y167" t="str">
            <v>4903</v>
          </cell>
          <cell r="Z167">
            <v>49</v>
          </cell>
          <cell r="AA167" t="str">
            <v>農用井戸</v>
          </cell>
          <cell r="AB167">
            <v>3</v>
          </cell>
          <cell r="AC167" t="str">
            <v>石</v>
          </cell>
          <cell r="AD167" t="str">
            <v>農用井戸石</v>
          </cell>
          <cell r="AE167">
            <v>20</v>
          </cell>
          <cell r="AF167">
            <v>17</v>
          </cell>
        </row>
        <row r="168">
          <cell r="Y168" t="str">
            <v>4904</v>
          </cell>
          <cell r="Z168">
            <v>49</v>
          </cell>
          <cell r="AA168" t="str">
            <v>農用井戸</v>
          </cell>
          <cell r="AB168">
            <v>4</v>
          </cell>
          <cell r="AC168" t="str">
            <v>ブロック</v>
          </cell>
          <cell r="AD168" t="str">
            <v>農用井戸ブロック</v>
          </cell>
          <cell r="AE168">
            <v>20</v>
          </cell>
          <cell r="AF168">
            <v>17</v>
          </cell>
        </row>
        <row r="169">
          <cell r="Y169" t="str">
            <v>4905</v>
          </cell>
          <cell r="Z169">
            <v>49</v>
          </cell>
          <cell r="AA169" t="str">
            <v>農用井戸</v>
          </cell>
          <cell r="AB169">
            <v>5</v>
          </cell>
          <cell r="AC169" t="str">
            <v>金属</v>
          </cell>
          <cell r="AD169" t="str">
            <v>農用井戸金属</v>
          </cell>
          <cell r="AE169">
            <v>15</v>
          </cell>
          <cell r="AF169">
            <v>14</v>
          </cell>
        </row>
        <row r="170">
          <cell r="Y170" t="str">
            <v>4907</v>
          </cell>
          <cell r="Z170">
            <v>49</v>
          </cell>
          <cell r="AA170" t="str">
            <v>農用井戸</v>
          </cell>
          <cell r="AB170">
            <v>7</v>
          </cell>
          <cell r="AC170" t="str">
            <v>土管</v>
          </cell>
          <cell r="AD170" t="str">
            <v>農用井戸土管</v>
          </cell>
          <cell r="AE170">
            <v>10</v>
          </cell>
          <cell r="AF170">
            <v>10</v>
          </cell>
        </row>
        <row r="171">
          <cell r="Y171" t="str">
            <v>4977</v>
          </cell>
          <cell r="Z171">
            <v>49</v>
          </cell>
          <cell r="AA171" t="str">
            <v>農用井戸</v>
          </cell>
          <cell r="AB171">
            <v>77</v>
          </cell>
          <cell r="AC171" t="str">
            <v>少額資産</v>
          </cell>
          <cell r="AD171" t="str">
            <v>農用井戸少額資産</v>
          </cell>
          <cell r="AE171">
            <v>3</v>
          </cell>
          <cell r="AF171">
            <v>3</v>
          </cell>
        </row>
        <row r="172">
          <cell r="Y172" t="str">
            <v>4999</v>
          </cell>
          <cell r="Z172">
            <v>49</v>
          </cell>
          <cell r="AA172" t="str">
            <v>農用井戸</v>
          </cell>
          <cell r="AB172">
            <v>99</v>
          </cell>
          <cell r="AC172" t="str">
            <v>その他</v>
          </cell>
          <cell r="AD172" t="str">
            <v>農用井戸その他</v>
          </cell>
          <cell r="AE172">
            <v>30</v>
          </cell>
          <cell r="AF172">
            <v>30</v>
          </cell>
        </row>
        <row r="173">
          <cell r="Y173" t="str">
            <v>5001</v>
          </cell>
          <cell r="Z173">
            <v>50</v>
          </cell>
          <cell r="AA173" t="str">
            <v>貯水槽</v>
          </cell>
          <cell r="AB173">
            <v>1</v>
          </cell>
          <cell r="AC173" t="str">
            <v>コンクリート</v>
          </cell>
          <cell r="AD173" t="str">
            <v>貯水槽コンクリート</v>
          </cell>
          <cell r="AE173">
            <v>20</v>
          </cell>
          <cell r="AF173">
            <v>17</v>
          </cell>
        </row>
        <row r="174">
          <cell r="Y174" t="str">
            <v>5002</v>
          </cell>
          <cell r="Z174">
            <v>50</v>
          </cell>
          <cell r="AA174" t="str">
            <v>貯水槽</v>
          </cell>
          <cell r="AB174">
            <v>2</v>
          </cell>
          <cell r="AC174" t="str">
            <v>れんが</v>
          </cell>
          <cell r="AD174" t="str">
            <v>貯水槽れんが</v>
          </cell>
          <cell r="AE174">
            <v>20</v>
          </cell>
          <cell r="AF174">
            <v>17</v>
          </cell>
        </row>
        <row r="175">
          <cell r="Y175" t="str">
            <v>5003</v>
          </cell>
          <cell r="Z175">
            <v>50</v>
          </cell>
          <cell r="AA175" t="str">
            <v>貯水槽</v>
          </cell>
          <cell r="AB175">
            <v>3</v>
          </cell>
          <cell r="AC175" t="str">
            <v>石</v>
          </cell>
          <cell r="AD175" t="str">
            <v>貯水槽石</v>
          </cell>
          <cell r="AE175">
            <v>20</v>
          </cell>
          <cell r="AF175">
            <v>17</v>
          </cell>
        </row>
        <row r="176">
          <cell r="Y176" t="str">
            <v>5004</v>
          </cell>
          <cell r="Z176">
            <v>50</v>
          </cell>
          <cell r="AA176" t="str">
            <v>貯水槽</v>
          </cell>
          <cell r="AB176">
            <v>4</v>
          </cell>
          <cell r="AC176" t="str">
            <v>ブロック</v>
          </cell>
          <cell r="AD176" t="str">
            <v>貯水槽ブロック</v>
          </cell>
          <cell r="AE176">
            <v>20</v>
          </cell>
          <cell r="AF176">
            <v>17</v>
          </cell>
        </row>
        <row r="177">
          <cell r="Y177" t="str">
            <v>5077</v>
          </cell>
          <cell r="Z177">
            <v>50</v>
          </cell>
          <cell r="AA177" t="str">
            <v>貯水槽</v>
          </cell>
          <cell r="AB177">
            <v>77</v>
          </cell>
          <cell r="AC177" t="str">
            <v>少額資産</v>
          </cell>
          <cell r="AD177" t="str">
            <v>貯水槽少額資産</v>
          </cell>
          <cell r="AE177">
            <v>3</v>
          </cell>
          <cell r="AF177">
            <v>3</v>
          </cell>
        </row>
        <row r="178">
          <cell r="Y178" t="str">
            <v>5099</v>
          </cell>
          <cell r="Z178">
            <v>50</v>
          </cell>
          <cell r="AA178" t="str">
            <v>貯水槽</v>
          </cell>
          <cell r="AB178">
            <v>99</v>
          </cell>
          <cell r="AC178" t="str">
            <v>その他</v>
          </cell>
          <cell r="AD178" t="str">
            <v>貯水槽その他</v>
          </cell>
          <cell r="AE178">
            <v>30</v>
          </cell>
          <cell r="AF178">
            <v>30</v>
          </cell>
        </row>
        <row r="179">
          <cell r="Y179" t="str">
            <v>5101</v>
          </cell>
          <cell r="Z179">
            <v>51</v>
          </cell>
          <cell r="AA179" t="str">
            <v>肥料だめ</v>
          </cell>
          <cell r="AB179">
            <v>1</v>
          </cell>
          <cell r="AC179" t="str">
            <v>コンクリート</v>
          </cell>
          <cell r="AD179" t="str">
            <v>肥料だめコンクリート</v>
          </cell>
          <cell r="AE179">
            <v>20</v>
          </cell>
          <cell r="AF179">
            <v>17</v>
          </cell>
        </row>
        <row r="180">
          <cell r="Y180" t="str">
            <v>5102</v>
          </cell>
          <cell r="Z180">
            <v>51</v>
          </cell>
          <cell r="AA180" t="str">
            <v>肥料だめ</v>
          </cell>
          <cell r="AB180">
            <v>2</v>
          </cell>
          <cell r="AC180" t="str">
            <v>れんが</v>
          </cell>
          <cell r="AD180" t="str">
            <v>肥料だめれんが</v>
          </cell>
          <cell r="AE180">
            <v>20</v>
          </cell>
          <cell r="AF180">
            <v>17</v>
          </cell>
        </row>
        <row r="181">
          <cell r="Y181" t="str">
            <v>5103</v>
          </cell>
          <cell r="Z181">
            <v>51</v>
          </cell>
          <cell r="AA181" t="str">
            <v>肥料だめ</v>
          </cell>
          <cell r="AB181">
            <v>3</v>
          </cell>
          <cell r="AC181" t="str">
            <v>石</v>
          </cell>
          <cell r="AD181" t="str">
            <v>肥料だめ石</v>
          </cell>
          <cell r="AE181">
            <v>20</v>
          </cell>
          <cell r="AF181">
            <v>17</v>
          </cell>
        </row>
        <row r="182">
          <cell r="Y182" t="str">
            <v>5104</v>
          </cell>
          <cell r="Z182">
            <v>51</v>
          </cell>
          <cell r="AA182" t="str">
            <v>肥料だめ</v>
          </cell>
          <cell r="AB182">
            <v>4</v>
          </cell>
          <cell r="AC182" t="str">
            <v>ブロック</v>
          </cell>
          <cell r="AD182" t="str">
            <v>肥料だめブロック</v>
          </cell>
          <cell r="AE182">
            <v>20</v>
          </cell>
          <cell r="AF182">
            <v>17</v>
          </cell>
        </row>
        <row r="183">
          <cell r="Y183" t="str">
            <v>5177</v>
          </cell>
          <cell r="Z183">
            <v>51</v>
          </cell>
          <cell r="AA183" t="str">
            <v>肥料だめ</v>
          </cell>
          <cell r="AB183">
            <v>77</v>
          </cell>
          <cell r="AC183" t="str">
            <v>少額資産</v>
          </cell>
          <cell r="AD183" t="str">
            <v>肥料だめ少額資産</v>
          </cell>
          <cell r="AE183">
            <v>3</v>
          </cell>
          <cell r="AF183">
            <v>3</v>
          </cell>
        </row>
        <row r="184">
          <cell r="Y184" t="str">
            <v>5199</v>
          </cell>
          <cell r="Z184">
            <v>51</v>
          </cell>
          <cell r="AA184" t="str">
            <v>肥料だめ</v>
          </cell>
          <cell r="AB184">
            <v>99</v>
          </cell>
          <cell r="AC184" t="str">
            <v>その他</v>
          </cell>
          <cell r="AD184" t="str">
            <v>肥料だめその他</v>
          </cell>
          <cell r="AE184">
            <v>30</v>
          </cell>
          <cell r="AF184">
            <v>30</v>
          </cell>
        </row>
        <row r="185">
          <cell r="Y185" t="str">
            <v>5301</v>
          </cell>
          <cell r="Z185">
            <v>53</v>
          </cell>
          <cell r="AA185" t="str">
            <v>薬剤用調合槽</v>
          </cell>
          <cell r="AB185">
            <v>1</v>
          </cell>
          <cell r="AC185" t="str">
            <v>コンクリート</v>
          </cell>
          <cell r="AD185" t="str">
            <v>薬剤用調合槽コンクリート</v>
          </cell>
          <cell r="AE185">
            <v>20</v>
          </cell>
          <cell r="AF185">
            <v>17</v>
          </cell>
        </row>
        <row r="186">
          <cell r="Y186" t="str">
            <v>5302</v>
          </cell>
          <cell r="Z186">
            <v>53</v>
          </cell>
          <cell r="AA186" t="str">
            <v>薬剤用調合槽</v>
          </cell>
          <cell r="AB186">
            <v>2</v>
          </cell>
          <cell r="AC186" t="str">
            <v>れんが</v>
          </cell>
          <cell r="AD186" t="str">
            <v>薬剤用調合槽れんが</v>
          </cell>
          <cell r="AE186">
            <v>20</v>
          </cell>
          <cell r="AF186">
            <v>17</v>
          </cell>
        </row>
        <row r="187">
          <cell r="Y187" t="str">
            <v>5303</v>
          </cell>
          <cell r="Z187">
            <v>53</v>
          </cell>
          <cell r="AA187" t="str">
            <v>薬剤用調合槽</v>
          </cell>
          <cell r="AB187">
            <v>3</v>
          </cell>
          <cell r="AC187" t="str">
            <v>石</v>
          </cell>
          <cell r="AD187" t="str">
            <v>薬剤用調合槽石</v>
          </cell>
          <cell r="AE187">
            <v>20</v>
          </cell>
          <cell r="AF187">
            <v>17</v>
          </cell>
        </row>
        <row r="188">
          <cell r="Y188" t="str">
            <v>5304</v>
          </cell>
          <cell r="Z188">
            <v>53</v>
          </cell>
          <cell r="AA188" t="str">
            <v>薬剤用調合槽</v>
          </cell>
          <cell r="AB188">
            <v>4</v>
          </cell>
          <cell r="AC188" t="str">
            <v>ブロック</v>
          </cell>
          <cell r="AD188" t="str">
            <v>薬剤用調合槽ブロック</v>
          </cell>
          <cell r="AE188">
            <v>20</v>
          </cell>
          <cell r="AF188">
            <v>17</v>
          </cell>
        </row>
        <row r="189">
          <cell r="Y189" t="str">
            <v>5377</v>
          </cell>
          <cell r="Z189">
            <v>53</v>
          </cell>
          <cell r="AA189" t="str">
            <v>薬剤用調合槽</v>
          </cell>
          <cell r="AB189">
            <v>77</v>
          </cell>
          <cell r="AC189" t="str">
            <v>少額資産</v>
          </cell>
          <cell r="AD189" t="str">
            <v>薬剤用調合槽少額資産</v>
          </cell>
          <cell r="AE189">
            <v>3</v>
          </cell>
          <cell r="AF189">
            <v>3</v>
          </cell>
        </row>
        <row r="190">
          <cell r="Y190" t="str">
            <v>5399</v>
          </cell>
          <cell r="Z190">
            <v>53</v>
          </cell>
          <cell r="AA190" t="str">
            <v>薬剤用調合槽</v>
          </cell>
          <cell r="AB190">
            <v>99</v>
          </cell>
          <cell r="AC190" t="str">
            <v>その他</v>
          </cell>
          <cell r="AD190" t="str">
            <v>薬剤用調合槽その他</v>
          </cell>
          <cell r="AE190">
            <v>30</v>
          </cell>
          <cell r="AF190">
            <v>30</v>
          </cell>
        </row>
        <row r="191">
          <cell r="Y191" t="str">
            <v>5501</v>
          </cell>
          <cell r="Z191">
            <v>55</v>
          </cell>
          <cell r="AA191" t="str">
            <v>斜降索道設備</v>
          </cell>
          <cell r="AB191">
            <v>1</v>
          </cell>
          <cell r="AC191" t="str">
            <v>コンクリート</v>
          </cell>
          <cell r="AD191" t="str">
            <v>斜降索道設備コンクリート</v>
          </cell>
          <cell r="AE191">
            <v>17</v>
          </cell>
          <cell r="AF191">
            <v>17</v>
          </cell>
        </row>
        <row r="192">
          <cell r="Y192" t="str">
            <v>5502</v>
          </cell>
          <cell r="Z192">
            <v>55</v>
          </cell>
          <cell r="AA192" t="str">
            <v>斜降索道設備</v>
          </cell>
          <cell r="AB192">
            <v>2</v>
          </cell>
          <cell r="AC192" t="str">
            <v>れんが</v>
          </cell>
          <cell r="AD192" t="str">
            <v>斜降索道設備れんが</v>
          </cell>
          <cell r="AE192">
            <v>17</v>
          </cell>
          <cell r="AF192">
            <v>17</v>
          </cell>
        </row>
        <row r="193">
          <cell r="Y193" t="str">
            <v>5503</v>
          </cell>
          <cell r="Z193">
            <v>55</v>
          </cell>
          <cell r="AA193" t="str">
            <v>斜降索道設備</v>
          </cell>
          <cell r="AB193">
            <v>3</v>
          </cell>
          <cell r="AC193" t="str">
            <v>石</v>
          </cell>
          <cell r="AD193" t="str">
            <v>斜降索道設備石</v>
          </cell>
          <cell r="AE193">
            <v>17</v>
          </cell>
          <cell r="AF193">
            <v>17</v>
          </cell>
        </row>
        <row r="194">
          <cell r="Y194" t="str">
            <v>5504</v>
          </cell>
          <cell r="Z194">
            <v>55</v>
          </cell>
          <cell r="AA194" t="str">
            <v>斜降索道設備</v>
          </cell>
          <cell r="AB194">
            <v>4</v>
          </cell>
          <cell r="AC194" t="str">
            <v>ブロック</v>
          </cell>
          <cell r="AD194" t="str">
            <v>斜降索道設備ブロック</v>
          </cell>
          <cell r="AE194">
            <v>17</v>
          </cell>
          <cell r="AF194">
            <v>17</v>
          </cell>
        </row>
        <row r="195">
          <cell r="Y195" t="str">
            <v>5505</v>
          </cell>
          <cell r="Z195">
            <v>55</v>
          </cell>
          <cell r="AA195" t="str">
            <v>斜降索道設備</v>
          </cell>
          <cell r="AB195">
            <v>5</v>
          </cell>
          <cell r="AC195" t="str">
            <v>金属</v>
          </cell>
          <cell r="AD195" t="str">
            <v>斜降索道設備金属</v>
          </cell>
          <cell r="AE195">
            <v>13</v>
          </cell>
          <cell r="AF195">
            <v>14</v>
          </cell>
        </row>
        <row r="196">
          <cell r="Y196" t="str">
            <v>5506</v>
          </cell>
          <cell r="Z196">
            <v>55</v>
          </cell>
          <cell r="AA196" t="str">
            <v>斜降索道設備</v>
          </cell>
          <cell r="AB196">
            <v>6</v>
          </cell>
          <cell r="AC196" t="str">
            <v>木造</v>
          </cell>
          <cell r="AD196" t="str">
            <v>斜降索道設備木造</v>
          </cell>
          <cell r="AE196">
            <v>5</v>
          </cell>
          <cell r="AF196">
            <v>5</v>
          </cell>
        </row>
        <row r="197">
          <cell r="Y197" t="str">
            <v>5577</v>
          </cell>
          <cell r="Z197">
            <v>55</v>
          </cell>
          <cell r="AA197" t="str">
            <v>斜降索道設備</v>
          </cell>
          <cell r="AB197">
            <v>77</v>
          </cell>
          <cell r="AC197" t="str">
            <v>少額資産</v>
          </cell>
          <cell r="AD197" t="str">
            <v>斜降索道設備少額資産</v>
          </cell>
          <cell r="AE197">
            <v>3</v>
          </cell>
          <cell r="AF197">
            <v>3</v>
          </cell>
        </row>
        <row r="198">
          <cell r="Y198" t="str">
            <v>5599</v>
          </cell>
          <cell r="Z198">
            <v>55</v>
          </cell>
          <cell r="AA198" t="str">
            <v>斜降索道設備</v>
          </cell>
          <cell r="AB198">
            <v>99</v>
          </cell>
          <cell r="AC198" t="str">
            <v>その他</v>
          </cell>
          <cell r="AD198" t="str">
            <v>斜降索道設備その他</v>
          </cell>
          <cell r="AE198">
            <v>30</v>
          </cell>
          <cell r="AF198">
            <v>30</v>
          </cell>
        </row>
        <row r="199">
          <cell r="Y199" t="str">
            <v>5605</v>
          </cell>
          <cell r="Z199">
            <v>56</v>
          </cell>
          <cell r="AA199" t="str">
            <v>モノレール</v>
          </cell>
          <cell r="AB199">
            <v>5</v>
          </cell>
          <cell r="AC199" t="str">
            <v>金属</v>
          </cell>
          <cell r="AD199" t="str">
            <v>モノレール金属</v>
          </cell>
          <cell r="AE199">
            <v>15</v>
          </cell>
          <cell r="AF199">
            <v>14</v>
          </cell>
        </row>
        <row r="200">
          <cell r="Y200" t="str">
            <v>5677</v>
          </cell>
          <cell r="Z200">
            <v>56</v>
          </cell>
          <cell r="AA200" t="str">
            <v>モノレール</v>
          </cell>
          <cell r="AB200">
            <v>77</v>
          </cell>
          <cell r="AC200" t="str">
            <v>少額資産</v>
          </cell>
          <cell r="AD200" t="str">
            <v>モノレール少額資産</v>
          </cell>
          <cell r="AE200">
            <v>3</v>
          </cell>
          <cell r="AF200">
            <v>3</v>
          </cell>
        </row>
        <row r="201">
          <cell r="Y201" t="str">
            <v>5699</v>
          </cell>
          <cell r="Z201">
            <v>56</v>
          </cell>
          <cell r="AA201" t="str">
            <v>モノレール</v>
          </cell>
          <cell r="AB201">
            <v>99</v>
          </cell>
          <cell r="AC201" t="str">
            <v>その他</v>
          </cell>
          <cell r="AD201" t="str">
            <v>モノレールその他</v>
          </cell>
          <cell r="AE201">
            <v>30</v>
          </cell>
          <cell r="AF201">
            <v>30</v>
          </cell>
        </row>
        <row r="202">
          <cell r="Y202" t="str">
            <v>5905</v>
          </cell>
          <cell r="Z202">
            <v>59</v>
          </cell>
          <cell r="AA202" t="str">
            <v>給水配管・パイプ</v>
          </cell>
          <cell r="AB202">
            <v>5</v>
          </cell>
          <cell r="AC202" t="str">
            <v>金属</v>
          </cell>
          <cell r="AD202" t="str">
            <v>給水配管・パイプ金属</v>
          </cell>
          <cell r="AE202">
            <v>15</v>
          </cell>
          <cell r="AF202">
            <v>14</v>
          </cell>
        </row>
        <row r="203">
          <cell r="Y203" t="str">
            <v>5909</v>
          </cell>
          <cell r="Z203">
            <v>59</v>
          </cell>
          <cell r="AA203" t="str">
            <v>給水配管・パイプ</v>
          </cell>
          <cell r="AB203">
            <v>9</v>
          </cell>
          <cell r="AC203" t="str">
            <v>塩化ビニール</v>
          </cell>
          <cell r="AD203" t="str">
            <v>給水配管・パイプ塩化ビニール</v>
          </cell>
          <cell r="AE203">
            <v>8</v>
          </cell>
          <cell r="AF203">
            <v>8</v>
          </cell>
        </row>
        <row r="204">
          <cell r="Y204" t="str">
            <v>5977</v>
          </cell>
          <cell r="Z204">
            <v>59</v>
          </cell>
          <cell r="AA204" t="str">
            <v>給水配管・パイプ</v>
          </cell>
          <cell r="AB204">
            <v>77</v>
          </cell>
          <cell r="AC204" t="str">
            <v>少額資産</v>
          </cell>
          <cell r="AD204" t="str">
            <v>給水配管・パイプ少額資産</v>
          </cell>
          <cell r="AE204">
            <v>3</v>
          </cell>
          <cell r="AF204">
            <v>3</v>
          </cell>
        </row>
        <row r="205">
          <cell r="Y205" t="str">
            <v>5999</v>
          </cell>
          <cell r="Z205">
            <v>59</v>
          </cell>
          <cell r="AA205" t="str">
            <v>給水配管・パイプ</v>
          </cell>
          <cell r="AB205">
            <v>99</v>
          </cell>
          <cell r="AC205" t="str">
            <v>その他</v>
          </cell>
          <cell r="AD205" t="str">
            <v>給水配管・パイプその他</v>
          </cell>
          <cell r="AE205">
            <v>30</v>
          </cell>
          <cell r="AF205">
            <v>30</v>
          </cell>
        </row>
        <row r="206">
          <cell r="Y206" t="str">
            <v>6201</v>
          </cell>
          <cell r="Z206">
            <v>62</v>
          </cell>
          <cell r="AA206" t="str">
            <v>たい肥盤</v>
          </cell>
          <cell r="AB206">
            <v>1</v>
          </cell>
          <cell r="AC206" t="str">
            <v>コンクリート</v>
          </cell>
          <cell r="AD206" t="str">
            <v>たい肥盤コンクリート</v>
          </cell>
          <cell r="AE206">
            <v>20</v>
          </cell>
          <cell r="AF206">
            <v>17</v>
          </cell>
        </row>
        <row r="207">
          <cell r="Y207" t="str">
            <v>6202</v>
          </cell>
          <cell r="Z207">
            <v>62</v>
          </cell>
          <cell r="AA207" t="str">
            <v>たい肥盤</v>
          </cell>
          <cell r="AB207">
            <v>2</v>
          </cell>
          <cell r="AC207" t="str">
            <v>れんが</v>
          </cell>
          <cell r="AD207" t="str">
            <v>たい肥盤れんが</v>
          </cell>
          <cell r="AE207">
            <v>20</v>
          </cell>
          <cell r="AF207">
            <v>17</v>
          </cell>
        </row>
        <row r="208">
          <cell r="Y208" t="str">
            <v>6203</v>
          </cell>
          <cell r="Z208">
            <v>62</v>
          </cell>
          <cell r="AA208" t="str">
            <v>たい肥盤</v>
          </cell>
          <cell r="AB208">
            <v>3</v>
          </cell>
          <cell r="AC208" t="str">
            <v>石</v>
          </cell>
          <cell r="AD208" t="str">
            <v>たい肥盤石</v>
          </cell>
          <cell r="AE208">
            <v>20</v>
          </cell>
          <cell r="AF208">
            <v>17</v>
          </cell>
        </row>
        <row r="209">
          <cell r="Y209" t="str">
            <v>6204</v>
          </cell>
          <cell r="Z209">
            <v>62</v>
          </cell>
          <cell r="AA209" t="str">
            <v>たい肥盤</v>
          </cell>
          <cell r="AB209">
            <v>4</v>
          </cell>
          <cell r="AC209" t="str">
            <v>ブロック</v>
          </cell>
          <cell r="AD209" t="str">
            <v>たい肥盤ブロック</v>
          </cell>
          <cell r="AE209">
            <v>20</v>
          </cell>
          <cell r="AF209">
            <v>17</v>
          </cell>
        </row>
        <row r="210">
          <cell r="Y210" t="str">
            <v>6277</v>
          </cell>
          <cell r="Z210">
            <v>62</v>
          </cell>
          <cell r="AA210" t="str">
            <v>たい肥盤</v>
          </cell>
          <cell r="AB210">
            <v>77</v>
          </cell>
          <cell r="AC210" t="str">
            <v>少額資産</v>
          </cell>
          <cell r="AD210" t="str">
            <v>たい肥盤少額資産</v>
          </cell>
          <cell r="AE210">
            <v>3</v>
          </cell>
          <cell r="AF210">
            <v>3</v>
          </cell>
        </row>
        <row r="211">
          <cell r="Y211" t="str">
            <v>6299</v>
          </cell>
          <cell r="Z211">
            <v>62</v>
          </cell>
          <cell r="AA211" t="str">
            <v>たい肥盤</v>
          </cell>
          <cell r="AB211">
            <v>99</v>
          </cell>
          <cell r="AC211" t="str">
            <v>その他</v>
          </cell>
          <cell r="AD211" t="str">
            <v>たい肥盤その他</v>
          </cell>
          <cell r="AE211">
            <v>30</v>
          </cell>
          <cell r="AF211">
            <v>30</v>
          </cell>
        </row>
        <row r="212">
          <cell r="Y212" t="str">
            <v>9901</v>
          </cell>
          <cell r="Z212">
            <v>99</v>
          </cell>
          <cell r="AA212" t="str">
            <v>その他の構築物</v>
          </cell>
          <cell r="AB212">
            <v>1</v>
          </cell>
          <cell r="AC212" t="str">
            <v>コンクリート</v>
          </cell>
          <cell r="AD212" t="str">
            <v>その他の構築物コンクリート</v>
          </cell>
          <cell r="AE212">
            <v>20</v>
          </cell>
          <cell r="AF212">
            <v>17</v>
          </cell>
        </row>
        <row r="213">
          <cell r="Y213" t="str">
            <v>9902</v>
          </cell>
          <cell r="Z213">
            <v>99</v>
          </cell>
          <cell r="AA213" t="str">
            <v>その他の構築物</v>
          </cell>
          <cell r="AB213">
            <v>2</v>
          </cell>
          <cell r="AC213" t="str">
            <v>れんが</v>
          </cell>
          <cell r="AD213" t="str">
            <v>その他の構築物れんが</v>
          </cell>
          <cell r="AE213">
            <v>20</v>
          </cell>
          <cell r="AF213">
            <v>17</v>
          </cell>
        </row>
        <row r="214">
          <cell r="Y214" t="str">
            <v>9903</v>
          </cell>
          <cell r="Z214">
            <v>99</v>
          </cell>
          <cell r="AA214" t="str">
            <v>その他の構築物</v>
          </cell>
          <cell r="AB214">
            <v>3</v>
          </cell>
          <cell r="AC214" t="str">
            <v>石</v>
          </cell>
          <cell r="AD214" t="str">
            <v>その他の構築物石</v>
          </cell>
          <cell r="AE214">
            <v>20</v>
          </cell>
          <cell r="AF214">
            <v>17</v>
          </cell>
        </row>
        <row r="215">
          <cell r="Y215" t="str">
            <v>9904</v>
          </cell>
          <cell r="Z215">
            <v>99</v>
          </cell>
          <cell r="AA215" t="str">
            <v>その他の構築物</v>
          </cell>
          <cell r="AB215">
            <v>4</v>
          </cell>
          <cell r="AC215" t="str">
            <v>ブロック</v>
          </cell>
          <cell r="AD215" t="str">
            <v>その他の構築物ブロック</v>
          </cell>
          <cell r="AE215">
            <v>20</v>
          </cell>
          <cell r="AF215">
            <v>17</v>
          </cell>
        </row>
        <row r="216">
          <cell r="Y216" t="str">
            <v>9905</v>
          </cell>
          <cell r="Z216">
            <v>99</v>
          </cell>
          <cell r="AA216" t="str">
            <v>その他の構築物</v>
          </cell>
          <cell r="AB216">
            <v>5</v>
          </cell>
          <cell r="AC216" t="str">
            <v>金属</v>
          </cell>
          <cell r="AD216" t="str">
            <v>その他の構築物金属</v>
          </cell>
          <cell r="AE216">
            <v>15</v>
          </cell>
          <cell r="AF216">
            <v>14</v>
          </cell>
        </row>
        <row r="217">
          <cell r="Y217" t="str">
            <v>9906</v>
          </cell>
          <cell r="Z217">
            <v>99</v>
          </cell>
          <cell r="AA217" t="str">
            <v>その他の構築物</v>
          </cell>
          <cell r="AB217">
            <v>6</v>
          </cell>
          <cell r="AC217" t="str">
            <v>木造</v>
          </cell>
          <cell r="AD217" t="str">
            <v>その他の構築物木造</v>
          </cell>
          <cell r="AE217">
            <v>5</v>
          </cell>
          <cell r="AF217">
            <v>5</v>
          </cell>
        </row>
        <row r="218">
          <cell r="Y218" t="str">
            <v>9907</v>
          </cell>
          <cell r="Z218">
            <v>99</v>
          </cell>
          <cell r="AA218" t="str">
            <v>その他の構築物</v>
          </cell>
          <cell r="AB218">
            <v>7</v>
          </cell>
          <cell r="AC218" t="str">
            <v>土管</v>
          </cell>
          <cell r="AD218" t="str">
            <v>その他の構築物土管</v>
          </cell>
          <cell r="AE218">
            <v>10</v>
          </cell>
          <cell r="AF218">
            <v>10</v>
          </cell>
        </row>
        <row r="219">
          <cell r="Y219" t="str">
            <v>9908</v>
          </cell>
          <cell r="Z219">
            <v>99</v>
          </cell>
          <cell r="AA219" t="str">
            <v>その他の構築物</v>
          </cell>
          <cell r="AB219">
            <v>8</v>
          </cell>
          <cell r="AC219" t="str">
            <v>合成樹脂</v>
          </cell>
          <cell r="AD219" t="str">
            <v>その他の構築物合成樹脂</v>
          </cell>
          <cell r="AE219">
            <v>8</v>
          </cell>
          <cell r="AF219">
            <v>8</v>
          </cell>
        </row>
        <row r="220">
          <cell r="Y220" t="str">
            <v>9909</v>
          </cell>
          <cell r="Z220">
            <v>99</v>
          </cell>
          <cell r="AA220" t="str">
            <v>その他の構築物</v>
          </cell>
          <cell r="AB220">
            <v>9</v>
          </cell>
          <cell r="AC220" t="str">
            <v>塩化ビニール</v>
          </cell>
          <cell r="AD220" t="str">
            <v>その他の構築物塩化ビニール</v>
          </cell>
          <cell r="AE220">
            <v>8</v>
          </cell>
          <cell r="AF220">
            <v>8</v>
          </cell>
        </row>
        <row r="221">
          <cell r="Y221" t="str">
            <v>9977</v>
          </cell>
          <cell r="Z221">
            <v>99</v>
          </cell>
          <cell r="AA221" t="str">
            <v>その他の構築物</v>
          </cell>
          <cell r="AB221">
            <v>77</v>
          </cell>
          <cell r="AC221" t="str">
            <v>少額資産</v>
          </cell>
          <cell r="AD221" t="str">
            <v>その他の構築物少額資産</v>
          </cell>
          <cell r="AE221">
            <v>3</v>
          </cell>
          <cell r="AF221">
            <v>3</v>
          </cell>
        </row>
        <row r="222">
          <cell r="Y222" t="str">
            <v>9999</v>
          </cell>
          <cell r="Z222">
            <v>99</v>
          </cell>
          <cell r="AA222" t="str">
            <v>その他の構築物</v>
          </cell>
          <cell r="AB222">
            <v>99</v>
          </cell>
          <cell r="AC222" t="str">
            <v>その他</v>
          </cell>
          <cell r="AD222" t="str">
            <v>その他の構築物その他</v>
          </cell>
          <cell r="AE222">
            <v>8</v>
          </cell>
          <cell r="AF222">
            <v>8</v>
          </cell>
        </row>
        <row r="224">
          <cell r="AA224" t="str">
            <v>農機具</v>
          </cell>
          <cell r="AC224" t="str">
            <v>型式</v>
          </cell>
          <cell r="AE224" t="str">
            <v>税制改正前</v>
          </cell>
          <cell r="AF224" t="str">
            <v>税制改正後</v>
          </cell>
        </row>
        <row r="225">
          <cell r="Y225" t="str">
            <v>00177</v>
          </cell>
          <cell r="Z225">
            <v>1</v>
          </cell>
          <cell r="AA225" t="str">
            <v>電動機</v>
          </cell>
          <cell r="AB225">
            <v>77</v>
          </cell>
          <cell r="AC225" t="str">
            <v>少額資産</v>
          </cell>
          <cell r="AD225" t="str">
            <v>電動機少額資産</v>
          </cell>
          <cell r="AE225">
            <v>3</v>
          </cell>
          <cell r="AF225">
            <v>3</v>
          </cell>
        </row>
        <row r="226">
          <cell r="Y226" t="str">
            <v>00199</v>
          </cell>
          <cell r="Z226">
            <v>1</v>
          </cell>
          <cell r="AA226" t="str">
            <v>電動機</v>
          </cell>
          <cell r="AB226">
            <v>99</v>
          </cell>
          <cell r="AC226" t="str">
            <v>その他</v>
          </cell>
          <cell r="AD226" t="str">
            <v>電動機その他</v>
          </cell>
          <cell r="AE226">
            <v>10</v>
          </cell>
          <cell r="AF226">
            <v>7</v>
          </cell>
        </row>
        <row r="227">
          <cell r="Y227" t="str">
            <v>00277</v>
          </cell>
          <cell r="Z227">
            <v>2</v>
          </cell>
          <cell r="AA227" t="str">
            <v>発動機・発電機</v>
          </cell>
          <cell r="AB227">
            <v>77</v>
          </cell>
          <cell r="AC227" t="str">
            <v>少額資産</v>
          </cell>
          <cell r="AD227" t="str">
            <v>発動機・発電機少額資産</v>
          </cell>
          <cell r="AE227">
            <v>3</v>
          </cell>
          <cell r="AF227">
            <v>3</v>
          </cell>
        </row>
        <row r="228">
          <cell r="Y228" t="str">
            <v>00299</v>
          </cell>
          <cell r="Z228">
            <v>2</v>
          </cell>
          <cell r="AA228" t="str">
            <v>発動機・発電機</v>
          </cell>
          <cell r="AB228">
            <v>99</v>
          </cell>
          <cell r="AC228" t="str">
            <v>その他</v>
          </cell>
          <cell r="AD228" t="str">
            <v>発動機・発電機その他</v>
          </cell>
          <cell r="AE228">
            <v>8</v>
          </cell>
          <cell r="AF228">
            <v>7</v>
          </cell>
        </row>
        <row r="229">
          <cell r="Y229" t="str">
            <v>00577</v>
          </cell>
          <cell r="Z229">
            <v>5</v>
          </cell>
          <cell r="AA229" t="str">
            <v>歩行用トラクター</v>
          </cell>
          <cell r="AB229">
            <v>77</v>
          </cell>
          <cell r="AC229" t="str">
            <v>少額資産</v>
          </cell>
          <cell r="AD229" t="str">
            <v>歩行用トラクター少額資産</v>
          </cell>
          <cell r="AE229">
            <v>3</v>
          </cell>
          <cell r="AF229">
            <v>3</v>
          </cell>
        </row>
        <row r="230">
          <cell r="Y230" t="str">
            <v>00599</v>
          </cell>
          <cell r="Z230">
            <v>5</v>
          </cell>
          <cell r="AA230" t="str">
            <v>歩行用トラクター</v>
          </cell>
          <cell r="AB230">
            <v>99</v>
          </cell>
          <cell r="AC230" t="str">
            <v>その他</v>
          </cell>
          <cell r="AD230" t="str">
            <v>歩行用トラクターその他</v>
          </cell>
          <cell r="AE230">
            <v>5</v>
          </cell>
          <cell r="AF230">
            <v>7</v>
          </cell>
        </row>
        <row r="231">
          <cell r="Y231" t="str">
            <v>00677</v>
          </cell>
          <cell r="Z231">
            <v>6</v>
          </cell>
          <cell r="AA231" t="str">
            <v>乗用トラクター</v>
          </cell>
          <cell r="AB231">
            <v>77</v>
          </cell>
          <cell r="AC231" t="str">
            <v>少額資産</v>
          </cell>
          <cell r="AD231" t="str">
            <v>乗用トラクター少額資産</v>
          </cell>
          <cell r="AE231">
            <v>3</v>
          </cell>
          <cell r="AF231">
            <v>3</v>
          </cell>
        </row>
        <row r="232">
          <cell r="Y232" t="str">
            <v>00699</v>
          </cell>
          <cell r="Z232">
            <v>6</v>
          </cell>
          <cell r="AA232" t="str">
            <v>乗用トラクター</v>
          </cell>
          <cell r="AB232">
            <v>99</v>
          </cell>
          <cell r="AC232" t="str">
            <v>その他</v>
          </cell>
          <cell r="AD232" t="str">
            <v>乗用トラクターその他</v>
          </cell>
          <cell r="AE232">
            <v>8</v>
          </cell>
          <cell r="AF232">
            <v>7</v>
          </cell>
        </row>
        <row r="233">
          <cell r="Y233" t="str">
            <v>00777</v>
          </cell>
          <cell r="Z233">
            <v>7</v>
          </cell>
          <cell r="AA233" t="str">
            <v>耕土改良・耕うん・砕土・整地用機具</v>
          </cell>
          <cell r="AB233">
            <v>77</v>
          </cell>
          <cell r="AC233" t="str">
            <v>少額資産</v>
          </cell>
          <cell r="AD233" t="str">
            <v>耕土改良・耕うん・砕土・整地用機具少額資産</v>
          </cell>
          <cell r="AE233">
            <v>3</v>
          </cell>
          <cell r="AF233">
            <v>3</v>
          </cell>
        </row>
        <row r="234">
          <cell r="Y234" t="str">
            <v>00799</v>
          </cell>
          <cell r="Z234">
            <v>7</v>
          </cell>
          <cell r="AA234" t="str">
            <v>耕土改良・耕うん・砕土・整地用機具</v>
          </cell>
          <cell r="AB234">
            <v>99</v>
          </cell>
          <cell r="AC234" t="str">
            <v>その他</v>
          </cell>
          <cell r="AD234" t="str">
            <v>耕土改良・耕うん・砕土・整地用機具その他</v>
          </cell>
          <cell r="AE234">
            <v>5</v>
          </cell>
          <cell r="AF234">
            <v>7</v>
          </cell>
        </row>
        <row r="235">
          <cell r="Y235" t="str">
            <v>01177</v>
          </cell>
          <cell r="Z235">
            <v>11</v>
          </cell>
          <cell r="AA235" t="str">
            <v>畝立・マルチ用機具</v>
          </cell>
          <cell r="AB235">
            <v>77</v>
          </cell>
          <cell r="AC235" t="str">
            <v>少額資産</v>
          </cell>
          <cell r="AD235" t="str">
            <v>畝立・マルチ用機具少額資産</v>
          </cell>
          <cell r="AE235">
            <v>3</v>
          </cell>
          <cell r="AF235">
            <v>3</v>
          </cell>
        </row>
        <row r="236">
          <cell r="Y236" t="str">
            <v>01199</v>
          </cell>
          <cell r="Z236">
            <v>11</v>
          </cell>
          <cell r="AA236" t="str">
            <v>畝立・マルチ用機具</v>
          </cell>
          <cell r="AB236">
            <v>99</v>
          </cell>
          <cell r="AC236" t="str">
            <v>その他</v>
          </cell>
          <cell r="AD236" t="str">
            <v>畝立・マルチ用機具その他</v>
          </cell>
          <cell r="AE236">
            <v>5</v>
          </cell>
          <cell r="AF236">
            <v>7</v>
          </cell>
        </row>
        <row r="237">
          <cell r="Y237" t="str">
            <v>01277</v>
          </cell>
          <cell r="Z237">
            <v>12</v>
          </cell>
          <cell r="AA237" t="str">
            <v>施肥・は種用機具</v>
          </cell>
          <cell r="AB237">
            <v>77</v>
          </cell>
          <cell r="AC237" t="str">
            <v>少額資産</v>
          </cell>
          <cell r="AD237" t="str">
            <v>施肥・は種用機具少額資産</v>
          </cell>
          <cell r="AE237">
            <v>3</v>
          </cell>
          <cell r="AF237">
            <v>3</v>
          </cell>
        </row>
        <row r="238">
          <cell r="Y238" t="str">
            <v>01299</v>
          </cell>
          <cell r="Z238">
            <v>12</v>
          </cell>
          <cell r="AA238" t="str">
            <v>施肥・は種用機具</v>
          </cell>
          <cell r="AB238">
            <v>99</v>
          </cell>
          <cell r="AC238" t="str">
            <v>その他</v>
          </cell>
          <cell r="AD238" t="str">
            <v>施肥・は種用機具その他</v>
          </cell>
          <cell r="AE238">
            <v>5</v>
          </cell>
          <cell r="AF238">
            <v>7</v>
          </cell>
        </row>
        <row r="239">
          <cell r="Y239" t="str">
            <v>01777</v>
          </cell>
          <cell r="Z239">
            <v>17</v>
          </cell>
          <cell r="AA239" t="str">
            <v>移植・育苗用機具</v>
          </cell>
          <cell r="AB239">
            <v>77</v>
          </cell>
          <cell r="AC239" t="str">
            <v>少額資産</v>
          </cell>
          <cell r="AD239" t="str">
            <v>移植・育苗用機具少額資産</v>
          </cell>
          <cell r="AE239">
            <v>3</v>
          </cell>
          <cell r="AF239">
            <v>3</v>
          </cell>
        </row>
        <row r="240">
          <cell r="Y240" t="str">
            <v>01799</v>
          </cell>
          <cell r="Z240">
            <v>17</v>
          </cell>
          <cell r="AA240" t="str">
            <v>移植・育苗用機具</v>
          </cell>
          <cell r="AB240">
            <v>99</v>
          </cell>
          <cell r="AC240" t="str">
            <v>その他</v>
          </cell>
          <cell r="AD240" t="str">
            <v>移植・育苗用機具その他</v>
          </cell>
          <cell r="AE240">
            <v>5</v>
          </cell>
          <cell r="AF240">
            <v>7</v>
          </cell>
        </row>
        <row r="241">
          <cell r="Y241" t="str">
            <v>02177</v>
          </cell>
          <cell r="Z241">
            <v>21</v>
          </cell>
          <cell r="AA241" t="str">
            <v>管理用機具</v>
          </cell>
          <cell r="AB241">
            <v>77</v>
          </cell>
          <cell r="AC241" t="str">
            <v>少額資産</v>
          </cell>
          <cell r="AD241" t="str">
            <v>管理用機具少額資産</v>
          </cell>
          <cell r="AE241">
            <v>3</v>
          </cell>
          <cell r="AF241">
            <v>3</v>
          </cell>
        </row>
        <row r="242">
          <cell r="Y242" t="str">
            <v>02199</v>
          </cell>
          <cell r="Z242">
            <v>21</v>
          </cell>
          <cell r="AA242" t="str">
            <v>管理用機具</v>
          </cell>
          <cell r="AB242">
            <v>99</v>
          </cell>
          <cell r="AC242" t="str">
            <v>その他</v>
          </cell>
          <cell r="AD242" t="str">
            <v>管理用機具その他</v>
          </cell>
          <cell r="AE242">
            <v>5</v>
          </cell>
          <cell r="AF242">
            <v>7</v>
          </cell>
        </row>
        <row r="243">
          <cell r="Y243" t="str">
            <v>02677</v>
          </cell>
          <cell r="Z243">
            <v>26</v>
          </cell>
          <cell r="AA243" t="str">
            <v>防除用機具</v>
          </cell>
          <cell r="AB243">
            <v>77</v>
          </cell>
          <cell r="AC243" t="str">
            <v>少額資産</v>
          </cell>
          <cell r="AD243" t="str">
            <v>防除用機具少額資産</v>
          </cell>
          <cell r="AE243">
            <v>3</v>
          </cell>
          <cell r="AF243">
            <v>3</v>
          </cell>
        </row>
        <row r="244">
          <cell r="Y244" t="str">
            <v>02699</v>
          </cell>
          <cell r="Z244">
            <v>26</v>
          </cell>
          <cell r="AA244" t="str">
            <v>防除用機具</v>
          </cell>
          <cell r="AB244">
            <v>99</v>
          </cell>
          <cell r="AC244" t="str">
            <v>その他</v>
          </cell>
          <cell r="AD244" t="str">
            <v>防除用機具その他</v>
          </cell>
          <cell r="AE244">
            <v>5</v>
          </cell>
          <cell r="AF244">
            <v>7</v>
          </cell>
        </row>
        <row r="245">
          <cell r="Y245" t="str">
            <v>03277</v>
          </cell>
          <cell r="Z245">
            <v>32</v>
          </cell>
          <cell r="AA245" t="str">
            <v>収穫・乾燥・調整用機具</v>
          </cell>
          <cell r="AB245">
            <v>77</v>
          </cell>
          <cell r="AC245" t="str">
            <v>少額資産</v>
          </cell>
          <cell r="AD245" t="str">
            <v>収穫・乾燥・調整用機具少額資産</v>
          </cell>
          <cell r="AE245">
            <v>3</v>
          </cell>
          <cell r="AF245">
            <v>3</v>
          </cell>
        </row>
        <row r="246">
          <cell r="Y246" t="str">
            <v>03299</v>
          </cell>
          <cell r="Z246">
            <v>32</v>
          </cell>
          <cell r="AA246" t="str">
            <v>収穫・乾燥・調整用機具</v>
          </cell>
          <cell r="AB246">
            <v>99</v>
          </cell>
          <cell r="AC246" t="str">
            <v>その他</v>
          </cell>
          <cell r="AD246" t="str">
            <v>収穫・乾燥・調整用機具その他</v>
          </cell>
          <cell r="AE246">
            <v>5</v>
          </cell>
          <cell r="AF246">
            <v>7</v>
          </cell>
        </row>
        <row r="247">
          <cell r="Y247" t="str">
            <v>03477</v>
          </cell>
          <cell r="Z247">
            <v>34</v>
          </cell>
          <cell r="AA247" t="str">
            <v>普通型コンバイン</v>
          </cell>
          <cell r="AB247">
            <v>77</v>
          </cell>
          <cell r="AC247" t="str">
            <v>少額資産</v>
          </cell>
          <cell r="AD247" t="str">
            <v>普通型コンバイン少額資産</v>
          </cell>
          <cell r="AE247">
            <v>3</v>
          </cell>
          <cell r="AF247">
            <v>3</v>
          </cell>
        </row>
        <row r="248">
          <cell r="Y248" t="str">
            <v>03499</v>
          </cell>
          <cell r="Z248">
            <v>34</v>
          </cell>
          <cell r="AA248" t="str">
            <v>普通型コンバイン</v>
          </cell>
          <cell r="AB248">
            <v>99</v>
          </cell>
          <cell r="AC248" t="str">
            <v>その他</v>
          </cell>
          <cell r="AD248" t="str">
            <v>普通型コンバインその他</v>
          </cell>
          <cell r="AE248">
            <v>8</v>
          </cell>
          <cell r="AF248">
            <v>7</v>
          </cell>
        </row>
        <row r="249">
          <cell r="Y249" t="str">
            <v>04277</v>
          </cell>
          <cell r="Z249">
            <v>42</v>
          </cell>
          <cell r="AA249" t="str">
            <v>自動脱穀機</v>
          </cell>
          <cell r="AB249">
            <v>77</v>
          </cell>
          <cell r="AC249" t="str">
            <v>少額資産</v>
          </cell>
          <cell r="AD249" t="str">
            <v>自動脱穀機少額資産</v>
          </cell>
          <cell r="AE249">
            <v>3</v>
          </cell>
          <cell r="AF249">
            <v>3</v>
          </cell>
        </row>
        <row r="250">
          <cell r="Y250" t="str">
            <v>04299</v>
          </cell>
          <cell r="Z250">
            <v>42</v>
          </cell>
          <cell r="AA250" t="str">
            <v>自動脱穀機</v>
          </cell>
          <cell r="AB250">
            <v>99</v>
          </cell>
          <cell r="AC250" t="str">
            <v>その他</v>
          </cell>
          <cell r="AD250" t="str">
            <v>自動脱穀機その他</v>
          </cell>
          <cell r="AE250">
            <v>8</v>
          </cell>
          <cell r="AF250">
            <v>7</v>
          </cell>
        </row>
        <row r="251">
          <cell r="Y251" t="str">
            <v>04477</v>
          </cell>
          <cell r="Z251">
            <v>44</v>
          </cell>
          <cell r="AA251" t="str">
            <v>選別機</v>
          </cell>
          <cell r="AB251">
            <v>77</v>
          </cell>
          <cell r="AC251" t="str">
            <v>少額資産</v>
          </cell>
          <cell r="AD251" t="str">
            <v>選別機少額資産</v>
          </cell>
          <cell r="AE251">
            <v>3</v>
          </cell>
          <cell r="AF251">
            <v>3</v>
          </cell>
        </row>
        <row r="252">
          <cell r="Y252" t="str">
            <v>04499</v>
          </cell>
          <cell r="Z252">
            <v>44</v>
          </cell>
          <cell r="AA252" t="str">
            <v>選別機</v>
          </cell>
          <cell r="AB252">
            <v>99</v>
          </cell>
          <cell r="AC252" t="str">
            <v>その他</v>
          </cell>
          <cell r="AD252" t="str">
            <v>選別機その他</v>
          </cell>
          <cell r="AE252">
            <v>8</v>
          </cell>
          <cell r="AF252">
            <v>7</v>
          </cell>
        </row>
        <row r="253">
          <cell r="Y253" t="str">
            <v>04577</v>
          </cell>
          <cell r="Z253">
            <v>45</v>
          </cell>
          <cell r="AA253" t="str">
            <v>皮剥機</v>
          </cell>
          <cell r="AB253">
            <v>77</v>
          </cell>
          <cell r="AC253" t="str">
            <v>少額資産</v>
          </cell>
          <cell r="AD253" t="str">
            <v>皮剥機少額資産</v>
          </cell>
          <cell r="AE253">
            <v>3</v>
          </cell>
          <cell r="AF253">
            <v>3</v>
          </cell>
        </row>
        <row r="254">
          <cell r="Y254" t="str">
            <v>04599</v>
          </cell>
          <cell r="Z254">
            <v>45</v>
          </cell>
          <cell r="AA254" t="str">
            <v>皮剥機</v>
          </cell>
          <cell r="AB254">
            <v>99</v>
          </cell>
          <cell r="AC254" t="str">
            <v>その他</v>
          </cell>
          <cell r="AD254" t="str">
            <v>皮剥機その他</v>
          </cell>
          <cell r="AE254">
            <v>8</v>
          </cell>
          <cell r="AF254">
            <v>7</v>
          </cell>
        </row>
        <row r="255">
          <cell r="Y255" t="str">
            <v>04877</v>
          </cell>
          <cell r="Z255">
            <v>48</v>
          </cell>
          <cell r="AA255" t="str">
            <v>乾燥機</v>
          </cell>
          <cell r="AB255">
            <v>77</v>
          </cell>
          <cell r="AC255" t="str">
            <v>少額資産</v>
          </cell>
          <cell r="AD255" t="str">
            <v>乾燥機少額資産</v>
          </cell>
          <cell r="AE255">
            <v>3</v>
          </cell>
          <cell r="AF255">
            <v>3</v>
          </cell>
        </row>
        <row r="256">
          <cell r="Y256" t="str">
            <v>04899</v>
          </cell>
          <cell r="Z256">
            <v>48</v>
          </cell>
          <cell r="AA256" t="str">
            <v>乾燥機</v>
          </cell>
          <cell r="AB256">
            <v>99</v>
          </cell>
          <cell r="AC256" t="str">
            <v>その他</v>
          </cell>
          <cell r="AD256" t="str">
            <v>乾燥機その他</v>
          </cell>
          <cell r="AE256">
            <v>8</v>
          </cell>
          <cell r="AF256">
            <v>7</v>
          </cell>
        </row>
        <row r="257">
          <cell r="Y257" t="str">
            <v>04977</v>
          </cell>
          <cell r="Z257">
            <v>49</v>
          </cell>
          <cell r="AA257" t="str">
            <v>もみすり機</v>
          </cell>
          <cell r="AB257">
            <v>77</v>
          </cell>
          <cell r="AC257" t="str">
            <v>少額資産</v>
          </cell>
          <cell r="AD257" t="str">
            <v>もみすり機少額資産</v>
          </cell>
          <cell r="AE257">
            <v>3</v>
          </cell>
          <cell r="AF257">
            <v>3</v>
          </cell>
        </row>
        <row r="258">
          <cell r="Y258" t="str">
            <v>04999</v>
          </cell>
          <cell r="Z258">
            <v>49</v>
          </cell>
          <cell r="AA258" t="str">
            <v>もみすり機</v>
          </cell>
          <cell r="AB258">
            <v>99</v>
          </cell>
          <cell r="AC258" t="str">
            <v>その他</v>
          </cell>
          <cell r="AD258" t="str">
            <v>もみすり機その他</v>
          </cell>
          <cell r="AE258">
            <v>8</v>
          </cell>
          <cell r="AF258">
            <v>7</v>
          </cell>
        </row>
        <row r="259">
          <cell r="Y259" t="str">
            <v>08177</v>
          </cell>
          <cell r="Z259">
            <v>81</v>
          </cell>
          <cell r="AA259" t="str">
            <v>運搬用機具</v>
          </cell>
          <cell r="AB259">
            <v>77</v>
          </cell>
          <cell r="AC259" t="str">
            <v>少額資産</v>
          </cell>
          <cell r="AD259" t="str">
            <v>運搬用機具少額資産</v>
          </cell>
          <cell r="AE259">
            <v>3</v>
          </cell>
          <cell r="AF259">
            <v>3</v>
          </cell>
        </row>
        <row r="260">
          <cell r="Y260" t="str">
            <v>08199</v>
          </cell>
          <cell r="Z260">
            <v>81</v>
          </cell>
          <cell r="AA260" t="str">
            <v>運搬用機具</v>
          </cell>
          <cell r="AB260">
            <v>99</v>
          </cell>
          <cell r="AC260" t="str">
            <v>その他</v>
          </cell>
          <cell r="AD260" t="str">
            <v>運搬用機具その他</v>
          </cell>
          <cell r="AE260">
            <v>4</v>
          </cell>
          <cell r="AF260">
            <v>4</v>
          </cell>
        </row>
        <row r="261">
          <cell r="Y261" t="str">
            <v>08477</v>
          </cell>
          <cell r="Z261">
            <v>84</v>
          </cell>
          <cell r="AA261" t="str">
            <v>冷蔵庫</v>
          </cell>
          <cell r="AB261">
            <v>77</v>
          </cell>
          <cell r="AC261" t="str">
            <v>少額資産</v>
          </cell>
          <cell r="AD261" t="str">
            <v>冷蔵庫少額資産</v>
          </cell>
          <cell r="AE261">
            <v>3</v>
          </cell>
          <cell r="AF261">
            <v>3</v>
          </cell>
        </row>
        <row r="262">
          <cell r="Y262" t="str">
            <v>08499</v>
          </cell>
          <cell r="Z262">
            <v>84</v>
          </cell>
          <cell r="AA262" t="str">
            <v>冷蔵庫</v>
          </cell>
          <cell r="AB262">
            <v>99</v>
          </cell>
          <cell r="AC262" t="str">
            <v>その他</v>
          </cell>
          <cell r="AD262" t="str">
            <v>冷蔵庫その他</v>
          </cell>
          <cell r="AE262">
            <v>6</v>
          </cell>
          <cell r="AF262">
            <v>6</v>
          </cell>
        </row>
        <row r="263">
          <cell r="Y263" t="str">
            <v>08577</v>
          </cell>
          <cell r="Z263">
            <v>85</v>
          </cell>
          <cell r="AA263" t="str">
            <v>暖房機</v>
          </cell>
          <cell r="AB263">
            <v>77</v>
          </cell>
          <cell r="AC263" t="str">
            <v>少額資産</v>
          </cell>
          <cell r="AD263" t="str">
            <v>暖房機少額資産</v>
          </cell>
          <cell r="AE263">
            <v>3</v>
          </cell>
          <cell r="AF263">
            <v>3</v>
          </cell>
        </row>
        <row r="264">
          <cell r="Y264" t="str">
            <v>08599</v>
          </cell>
          <cell r="Z264">
            <v>85</v>
          </cell>
          <cell r="AA264" t="str">
            <v>暖房機</v>
          </cell>
          <cell r="AB264">
            <v>99</v>
          </cell>
          <cell r="AC264" t="str">
            <v>その他</v>
          </cell>
          <cell r="AD264" t="str">
            <v>暖房機その他</v>
          </cell>
          <cell r="AE264">
            <v>5</v>
          </cell>
          <cell r="AF264">
            <v>7</v>
          </cell>
        </row>
        <row r="265">
          <cell r="Y265" t="str">
            <v>09901</v>
          </cell>
          <cell r="Z265">
            <v>99</v>
          </cell>
          <cell r="AA265" t="str">
            <v>その他の農機具</v>
          </cell>
          <cell r="AB265">
            <v>1</v>
          </cell>
          <cell r="AC265" t="str">
            <v>その他・耐用年数３年</v>
          </cell>
          <cell r="AD265" t="str">
            <v>その他の農機具その他・耐用年数３年</v>
          </cell>
          <cell r="AE265">
            <v>3</v>
          </cell>
          <cell r="AF265">
            <v>3</v>
          </cell>
        </row>
        <row r="266">
          <cell r="Y266" t="str">
            <v>09902</v>
          </cell>
          <cell r="Z266">
            <v>99</v>
          </cell>
          <cell r="AA266" t="str">
            <v>その他の農機具</v>
          </cell>
          <cell r="AB266">
            <v>2</v>
          </cell>
          <cell r="AC266" t="str">
            <v>その他・耐用年数４年</v>
          </cell>
          <cell r="AD266" t="str">
            <v>その他の農機具その他・耐用年数４年</v>
          </cell>
          <cell r="AE266">
            <v>4</v>
          </cell>
          <cell r="AF266">
            <v>4</v>
          </cell>
        </row>
        <row r="267">
          <cell r="Y267" t="str">
            <v>09903</v>
          </cell>
          <cell r="Z267">
            <v>99</v>
          </cell>
          <cell r="AA267" t="str">
            <v>その他の農機具</v>
          </cell>
          <cell r="AB267">
            <v>3</v>
          </cell>
          <cell r="AC267" t="str">
            <v>その他・耐用年数５年</v>
          </cell>
          <cell r="AD267" t="str">
            <v>その他の農機具その他・耐用年数５年</v>
          </cell>
          <cell r="AE267">
            <v>5</v>
          </cell>
          <cell r="AF267">
            <v>5</v>
          </cell>
        </row>
        <row r="268">
          <cell r="Y268" t="str">
            <v>09904</v>
          </cell>
          <cell r="Z268">
            <v>99</v>
          </cell>
          <cell r="AA268" t="str">
            <v>その他の農機具</v>
          </cell>
          <cell r="AB268">
            <v>4</v>
          </cell>
          <cell r="AC268" t="str">
            <v>その他・耐用年数６年</v>
          </cell>
          <cell r="AD268" t="str">
            <v>その他の農機具その他・耐用年数６年</v>
          </cell>
          <cell r="AE268">
            <v>6</v>
          </cell>
          <cell r="AF268">
            <v>6</v>
          </cell>
        </row>
        <row r="269">
          <cell r="Y269" t="str">
            <v>09905</v>
          </cell>
          <cell r="Z269">
            <v>99</v>
          </cell>
          <cell r="AA269" t="str">
            <v>その他の農機具</v>
          </cell>
          <cell r="AB269">
            <v>5</v>
          </cell>
          <cell r="AC269" t="str">
            <v>その他・耐用年数７年</v>
          </cell>
          <cell r="AD269" t="str">
            <v>その他の農機具その他・耐用年数７年</v>
          </cell>
          <cell r="AE269">
            <v>7</v>
          </cell>
          <cell r="AF269">
            <v>7</v>
          </cell>
        </row>
        <row r="270">
          <cell r="Y270" t="str">
            <v>09977</v>
          </cell>
          <cell r="Z270">
            <v>99</v>
          </cell>
          <cell r="AA270" t="str">
            <v>その他の農機具</v>
          </cell>
          <cell r="AB270">
            <v>77</v>
          </cell>
          <cell r="AC270" t="str">
            <v>少額資産</v>
          </cell>
          <cell r="AD270" t="str">
            <v>その他の農機具少額資産</v>
          </cell>
          <cell r="AE270">
            <v>3</v>
          </cell>
          <cell r="AF270">
            <v>3</v>
          </cell>
        </row>
        <row r="271">
          <cell r="Y271" t="str">
            <v>10177</v>
          </cell>
          <cell r="Z271">
            <v>101</v>
          </cell>
          <cell r="AA271" t="str">
            <v>パソコン(ｻｰﾊﾞｰ用除く)</v>
          </cell>
          <cell r="AB271">
            <v>77</v>
          </cell>
          <cell r="AC271" t="str">
            <v>少額資産</v>
          </cell>
          <cell r="AD271" t="str">
            <v>パソコン(ｻｰﾊﾞｰ用除く)少額資産</v>
          </cell>
          <cell r="AE271">
            <v>3</v>
          </cell>
          <cell r="AF271">
            <v>3</v>
          </cell>
        </row>
        <row r="272">
          <cell r="Y272" t="str">
            <v>10199</v>
          </cell>
          <cell r="Z272">
            <v>101</v>
          </cell>
          <cell r="AA272" t="str">
            <v>パソコン(ｻｰﾊﾞｰ用除く)</v>
          </cell>
          <cell r="AB272">
            <v>99</v>
          </cell>
          <cell r="AC272" t="str">
            <v>その他</v>
          </cell>
          <cell r="AD272" t="str">
            <v>パソコン(ｻｰﾊﾞｰ用除く)その他</v>
          </cell>
          <cell r="AE272">
            <v>4</v>
          </cell>
          <cell r="AF272">
            <v>4</v>
          </cell>
        </row>
        <row r="273">
          <cell r="Y273" t="str">
            <v>10377</v>
          </cell>
          <cell r="Z273">
            <v>103</v>
          </cell>
          <cell r="AA273" t="str">
            <v>ソフトウェア</v>
          </cell>
          <cell r="AB273">
            <v>77</v>
          </cell>
          <cell r="AC273" t="str">
            <v>少額資産</v>
          </cell>
          <cell r="AD273" t="str">
            <v>ソフトウェア少額資産</v>
          </cell>
          <cell r="AE273">
            <v>3</v>
          </cell>
          <cell r="AF273">
            <v>3</v>
          </cell>
        </row>
        <row r="274">
          <cell r="Y274" t="str">
            <v>10399</v>
          </cell>
          <cell r="Z274">
            <v>103</v>
          </cell>
          <cell r="AA274" t="str">
            <v>ソフトウェア</v>
          </cell>
          <cell r="AB274">
            <v>99</v>
          </cell>
          <cell r="AC274" t="str">
            <v>その他</v>
          </cell>
          <cell r="AD274" t="str">
            <v>ソフトウェアその他</v>
          </cell>
          <cell r="AE274">
            <v>3</v>
          </cell>
          <cell r="AF274">
            <v>3</v>
          </cell>
        </row>
        <row r="275">
          <cell r="Y275" t="str">
            <v>11001</v>
          </cell>
          <cell r="Z275">
            <v>110</v>
          </cell>
          <cell r="AA275" t="str">
            <v>企画管理機器</v>
          </cell>
          <cell r="AB275">
            <v>1</v>
          </cell>
          <cell r="AC275" t="str">
            <v>その他・耐用年数３年</v>
          </cell>
          <cell r="AD275" t="str">
            <v>企画管理機器その他・耐用年数３年</v>
          </cell>
          <cell r="AE275">
            <v>3</v>
          </cell>
          <cell r="AF275">
            <v>3</v>
          </cell>
        </row>
        <row r="276">
          <cell r="Y276" t="str">
            <v>11002</v>
          </cell>
          <cell r="Z276">
            <v>110</v>
          </cell>
          <cell r="AA276" t="str">
            <v>企画管理機器</v>
          </cell>
          <cell r="AB276">
            <v>2</v>
          </cell>
          <cell r="AC276" t="str">
            <v>その他・耐用年数４年</v>
          </cell>
          <cell r="AD276" t="str">
            <v>企画管理機器その他・耐用年数４年</v>
          </cell>
          <cell r="AE276">
            <v>4</v>
          </cell>
          <cell r="AF276">
            <v>4</v>
          </cell>
        </row>
        <row r="277">
          <cell r="Y277" t="str">
            <v>11003</v>
          </cell>
          <cell r="Z277">
            <v>110</v>
          </cell>
          <cell r="AA277" t="str">
            <v>企画管理機器</v>
          </cell>
          <cell r="AB277">
            <v>3</v>
          </cell>
          <cell r="AC277" t="str">
            <v>その他・耐用年数５年</v>
          </cell>
          <cell r="AD277" t="str">
            <v>企画管理機器その他・耐用年数５年</v>
          </cell>
          <cell r="AE277">
            <v>5</v>
          </cell>
          <cell r="AF277">
            <v>5</v>
          </cell>
        </row>
        <row r="278">
          <cell r="Y278" t="str">
            <v>11004</v>
          </cell>
          <cell r="Z278">
            <v>110</v>
          </cell>
          <cell r="AA278" t="str">
            <v>企画管理機器</v>
          </cell>
          <cell r="AB278">
            <v>4</v>
          </cell>
          <cell r="AC278" t="str">
            <v>その他・耐用年数６年</v>
          </cell>
          <cell r="AD278" t="str">
            <v>企画管理機器その他・耐用年数６年</v>
          </cell>
          <cell r="AE278">
            <v>6</v>
          </cell>
          <cell r="AF278">
            <v>6</v>
          </cell>
        </row>
        <row r="279">
          <cell r="Y279" t="str">
            <v>11005</v>
          </cell>
          <cell r="Z279">
            <v>110</v>
          </cell>
          <cell r="AA279" t="str">
            <v>企画管理機器</v>
          </cell>
          <cell r="AB279">
            <v>5</v>
          </cell>
          <cell r="AC279" t="str">
            <v>その他・耐用年数７年</v>
          </cell>
          <cell r="AD279" t="str">
            <v>企画管理機器その他・耐用年数７年</v>
          </cell>
          <cell r="AE279">
            <v>7</v>
          </cell>
          <cell r="AF279">
            <v>7</v>
          </cell>
        </row>
        <row r="280">
          <cell r="Y280" t="str">
            <v>11077</v>
          </cell>
          <cell r="Z280">
            <v>110</v>
          </cell>
          <cell r="AA280" t="str">
            <v>企画管理機器</v>
          </cell>
          <cell r="AB280">
            <v>77</v>
          </cell>
          <cell r="AC280" t="str">
            <v>少額資産</v>
          </cell>
          <cell r="AD280" t="str">
            <v>企画管理機器少額資産</v>
          </cell>
          <cell r="AE280">
            <v>3</v>
          </cell>
          <cell r="AF280">
            <v>3</v>
          </cell>
        </row>
        <row r="282">
          <cell r="AA282" t="str">
            <v>自動車</v>
          </cell>
          <cell r="AC282" t="str">
            <v>型式</v>
          </cell>
          <cell r="AE282" t="str">
            <v>税制改正前</v>
          </cell>
          <cell r="AF282" t="str">
            <v>税制改正後</v>
          </cell>
        </row>
        <row r="283">
          <cell r="Y283" t="str">
            <v>20177</v>
          </cell>
          <cell r="Z283">
            <v>201</v>
          </cell>
          <cell r="AA283" t="str">
            <v>自動二・三輪</v>
          </cell>
          <cell r="AB283">
            <v>77</v>
          </cell>
          <cell r="AC283" t="str">
            <v>少額資産</v>
          </cell>
          <cell r="AD283" t="str">
            <v>自動二・三輪少額資産</v>
          </cell>
          <cell r="AE283">
            <v>3</v>
          </cell>
          <cell r="AF283">
            <v>3</v>
          </cell>
        </row>
        <row r="284">
          <cell r="Y284" t="str">
            <v>20199</v>
          </cell>
          <cell r="Z284">
            <v>201</v>
          </cell>
          <cell r="AA284" t="str">
            <v>自動二・三輪</v>
          </cell>
          <cell r="AB284">
            <v>99</v>
          </cell>
          <cell r="AC284" t="str">
            <v>その他</v>
          </cell>
          <cell r="AD284" t="str">
            <v>自動二・三輪その他</v>
          </cell>
          <cell r="AE284">
            <v>3</v>
          </cell>
          <cell r="AF284">
            <v>3</v>
          </cell>
        </row>
        <row r="285">
          <cell r="Y285" t="str">
            <v>20277</v>
          </cell>
          <cell r="Z285">
            <v>202</v>
          </cell>
          <cell r="AA285" t="str">
            <v>軽自動車</v>
          </cell>
          <cell r="AB285">
            <v>77</v>
          </cell>
          <cell r="AC285" t="str">
            <v>少額資産</v>
          </cell>
          <cell r="AD285" t="str">
            <v>軽自動車少額資産</v>
          </cell>
          <cell r="AE285">
            <v>3</v>
          </cell>
          <cell r="AF285">
            <v>3</v>
          </cell>
        </row>
        <row r="286">
          <cell r="Y286" t="str">
            <v>20299</v>
          </cell>
          <cell r="Z286">
            <v>202</v>
          </cell>
          <cell r="AA286" t="str">
            <v>軽自動車</v>
          </cell>
          <cell r="AB286">
            <v>99</v>
          </cell>
          <cell r="AC286" t="str">
            <v>その他</v>
          </cell>
          <cell r="AD286" t="str">
            <v>軽自動車その他</v>
          </cell>
          <cell r="AE286">
            <v>4</v>
          </cell>
          <cell r="AF286">
            <v>4</v>
          </cell>
        </row>
        <row r="287">
          <cell r="Y287" t="str">
            <v>20377</v>
          </cell>
          <cell r="Z287">
            <v>203</v>
          </cell>
          <cell r="AA287" t="str">
            <v>貨物ダンプ</v>
          </cell>
          <cell r="AB287">
            <v>77</v>
          </cell>
          <cell r="AC287" t="str">
            <v>少額資産</v>
          </cell>
          <cell r="AD287" t="str">
            <v>貨物ダンプ少額資産</v>
          </cell>
          <cell r="AE287">
            <v>3</v>
          </cell>
          <cell r="AF287">
            <v>3</v>
          </cell>
        </row>
        <row r="288">
          <cell r="Y288" t="str">
            <v>20399</v>
          </cell>
          <cell r="Z288">
            <v>203</v>
          </cell>
          <cell r="AA288" t="str">
            <v>貨物ダンプ</v>
          </cell>
          <cell r="AB288">
            <v>99</v>
          </cell>
          <cell r="AC288" t="str">
            <v>その他</v>
          </cell>
          <cell r="AD288" t="str">
            <v>貨物ダンプその他</v>
          </cell>
          <cell r="AE288">
            <v>4</v>
          </cell>
          <cell r="AF288">
            <v>4</v>
          </cell>
        </row>
        <row r="289">
          <cell r="Y289" t="str">
            <v>20477</v>
          </cell>
          <cell r="Z289">
            <v>204</v>
          </cell>
          <cell r="AA289" t="str">
            <v>貨物自動車</v>
          </cell>
          <cell r="AB289">
            <v>77</v>
          </cell>
          <cell r="AC289" t="str">
            <v>少額資産</v>
          </cell>
          <cell r="AD289" t="str">
            <v>貨物自動車少額資産</v>
          </cell>
          <cell r="AE289">
            <v>3</v>
          </cell>
          <cell r="AF289">
            <v>3</v>
          </cell>
        </row>
        <row r="290">
          <cell r="Y290" t="str">
            <v>20499</v>
          </cell>
          <cell r="Z290">
            <v>204</v>
          </cell>
          <cell r="AA290" t="str">
            <v>貨物自動車</v>
          </cell>
          <cell r="AB290">
            <v>99</v>
          </cell>
          <cell r="AC290" t="str">
            <v>その他</v>
          </cell>
          <cell r="AD290" t="str">
            <v>貨物自動車その他</v>
          </cell>
          <cell r="AE290">
            <v>5</v>
          </cell>
          <cell r="AF290">
            <v>5</v>
          </cell>
        </row>
        <row r="291">
          <cell r="Y291" t="str">
            <v>20577</v>
          </cell>
          <cell r="Z291">
            <v>205</v>
          </cell>
          <cell r="AA291" t="str">
            <v>乗用車</v>
          </cell>
          <cell r="AB291">
            <v>77</v>
          </cell>
          <cell r="AC291" t="str">
            <v>少額資産</v>
          </cell>
          <cell r="AD291" t="str">
            <v>乗用車少額資産</v>
          </cell>
          <cell r="AE291">
            <v>3</v>
          </cell>
          <cell r="AF291">
            <v>3</v>
          </cell>
        </row>
        <row r="292">
          <cell r="Y292" t="str">
            <v>20599</v>
          </cell>
          <cell r="Z292">
            <v>205</v>
          </cell>
          <cell r="AA292" t="str">
            <v>乗用車</v>
          </cell>
          <cell r="AB292">
            <v>99</v>
          </cell>
          <cell r="AC292" t="str">
            <v>その他</v>
          </cell>
          <cell r="AD292" t="str">
            <v>乗用車その他</v>
          </cell>
          <cell r="AE292">
            <v>6</v>
          </cell>
          <cell r="AF292">
            <v>6</v>
          </cell>
        </row>
        <row r="294">
          <cell r="AA294" t="str">
            <v>牛</v>
          </cell>
          <cell r="AC294" t="str">
            <v>品種</v>
          </cell>
          <cell r="AD294" t="str">
            <v>性別</v>
          </cell>
          <cell r="AE294" t="str">
            <v>税制改正前</v>
          </cell>
          <cell r="AF294" t="str">
            <v>税制改正後</v>
          </cell>
        </row>
        <row r="295">
          <cell r="Y295" t="str">
            <v>020101</v>
          </cell>
          <cell r="Z295">
            <v>2</v>
          </cell>
          <cell r="AA295" t="str">
            <v>繁殖牛</v>
          </cell>
          <cell r="AB295">
            <v>1</v>
          </cell>
          <cell r="AC295" t="str">
            <v>ホルスタイン</v>
          </cell>
          <cell r="AD295">
            <v>1</v>
          </cell>
          <cell r="AE295">
            <v>4</v>
          </cell>
          <cell r="AF295">
            <v>4</v>
          </cell>
        </row>
        <row r="296">
          <cell r="Y296" t="str">
            <v>020201</v>
          </cell>
          <cell r="Z296">
            <v>2</v>
          </cell>
          <cell r="AA296" t="str">
            <v>繁殖牛</v>
          </cell>
          <cell r="AB296">
            <v>2</v>
          </cell>
          <cell r="AC296" t="str">
            <v>ジャージー</v>
          </cell>
          <cell r="AD296">
            <v>1</v>
          </cell>
          <cell r="AE296">
            <v>4</v>
          </cell>
          <cell r="AF296">
            <v>4</v>
          </cell>
        </row>
        <row r="297">
          <cell r="Y297" t="str">
            <v>020301</v>
          </cell>
          <cell r="Z297">
            <v>2</v>
          </cell>
          <cell r="AA297" t="str">
            <v>繁殖牛</v>
          </cell>
          <cell r="AB297">
            <v>3</v>
          </cell>
          <cell r="AC297" t="str">
            <v>その他乳用種</v>
          </cell>
          <cell r="AD297">
            <v>1</v>
          </cell>
          <cell r="AE297">
            <v>4</v>
          </cell>
          <cell r="AF297">
            <v>4</v>
          </cell>
        </row>
        <row r="298">
          <cell r="Y298" t="str">
            <v>020501</v>
          </cell>
          <cell r="Z298">
            <v>2</v>
          </cell>
          <cell r="AA298" t="str">
            <v>繁殖牛</v>
          </cell>
          <cell r="AB298">
            <v>5</v>
          </cell>
          <cell r="AC298" t="str">
            <v>黒毛和種</v>
          </cell>
          <cell r="AD298">
            <v>1</v>
          </cell>
          <cell r="AE298">
            <v>4</v>
          </cell>
          <cell r="AF298">
            <v>4</v>
          </cell>
        </row>
        <row r="299">
          <cell r="Y299" t="str">
            <v>020601</v>
          </cell>
          <cell r="Z299">
            <v>2</v>
          </cell>
          <cell r="AA299" t="str">
            <v>繁殖牛</v>
          </cell>
          <cell r="AB299">
            <v>6</v>
          </cell>
          <cell r="AC299" t="str">
            <v>褐毛和種</v>
          </cell>
          <cell r="AD299">
            <v>1</v>
          </cell>
          <cell r="AE299">
            <v>4</v>
          </cell>
          <cell r="AF299">
            <v>4</v>
          </cell>
        </row>
        <row r="300">
          <cell r="Y300" t="str">
            <v>020701</v>
          </cell>
          <cell r="Z300">
            <v>2</v>
          </cell>
          <cell r="AA300" t="str">
            <v>繁殖牛</v>
          </cell>
          <cell r="AB300">
            <v>7</v>
          </cell>
          <cell r="AC300" t="str">
            <v>日本短角種</v>
          </cell>
          <cell r="AD300">
            <v>1</v>
          </cell>
          <cell r="AE300">
            <v>4</v>
          </cell>
          <cell r="AF300">
            <v>4</v>
          </cell>
        </row>
        <row r="301">
          <cell r="Y301" t="str">
            <v>020801</v>
          </cell>
          <cell r="Z301">
            <v>2</v>
          </cell>
          <cell r="AA301" t="str">
            <v>繁殖牛</v>
          </cell>
          <cell r="AB301">
            <v>8</v>
          </cell>
          <cell r="AC301" t="str">
            <v>無角和種</v>
          </cell>
          <cell r="AD301">
            <v>1</v>
          </cell>
          <cell r="AE301">
            <v>4</v>
          </cell>
          <cell r="AF301">
            <v>4</v>
          </cell>
        </row>
        <row r="302">
          <cell r="Y302" t="str">
            <v>020901</v>
          </cell>
          <cell r="Z302">
            <v>2</v>
          </cell>
          <cell r="AA302" t="str">
            <v>繁殖牛</v>
          </cell>
          <cell r="AB302">
            <v>9</v>
          </cell>
          <cell r="AC302" t="str">
            <v>外国種①</v>
          </cell>
          <cell r="AD302">
            <v>1</v>
          </cell>
          <cell r="AE302">
            <v>4</v>
          </cell>
          <cell r="AF302">
            <v>4</v>
          </cell>
        </row>
        <row r="303">
          <cell r="Y303" t="str">
            <v>021001</v>
          </cell>
          <cell r="Z303">
            <v>2</v>
          </cell>
          <cell r="AA303" t="str">
            <v>繁殖牛</v>
          </cell>
          <cell r="AB303">
            <v>10</v>
          </cell>
          <cell r="AC303" t="str">
            <v>外国種②</v>
          </cell>
          <cell r="AD303">
            <v>1</v>
          </cell>
          <cell r="AE303">
            <v>4</v>
          </cell>
          <cell r="AF303">
            <v>4</v>
          </cell>
        </row>
        <row r="304">
          <cell r="Y304" t="str">
            <v>029901</v>
          </cell>
          <cell r="Z304">
            <v>2</v>
          </cell>
          <cell r="AA304" t="str">
            <v>繁殖牛</v>
          </cell>
          <cell r="AB304">
            <v>99</v>
          </cell>
          <cell r="AC304" t="str">
            <v>その他</v>
          </cell>
          <cell r="AD304">
            <v>1</v>
          </cell>
          <cell r="AE304">
            <v>6</v>
          </cell>
          <cell r="AF304">
            <v>6</v>
          </cell>
        </row>
        <row r="305">
          <cell r="Y305" t="str">
            <v>020102</v>
          </cell>
          <cell r="Z305">
            <v>2</v>
          </cell>
          <cell r="AA305" t="str">
            <v>繁殖牛</v>
          </cell>
          <cell r="AB305">
            <v>1</v>
          </cell>
          <cell r="AC305" t="str">
            <v>ホルスタイン</v>
          </cell>
          <cell r="AD305">
            <v>2</v>
          </cell>
          <cell r="AE305">
            <v>4</v>
          </cell>
          <cell r="AF305">
            <v>4</v>
          </cell>
        </row>
        <row r="306">
          <cell r="Y306" t="str">
            <v>020202</v>
          </cell>
          <cell r="Z306">
            <v>2</v>
          </cell>
          <cell r="AA306" t="str">
            <v>繁殖牛</v>
          </cell>
          <cell r="AB306">
            <v>2</v>
          </cell>
          <cell r="AC306" t="str">
            <v>ジャージー</v>
          </cell>
          <cell r="AD306">
            <v>2</v>
          </cell>
          <cell r="AE306">
            <v>4</v>
          </cell>
          <cell r="AF306">
            <v>4</v>
          </cell>
        </row>
        <row r="307">
          <cell r="Y307" t="str">
            <v>020302</v>
          </cell>
          <cell r="Z307">
            <v>2</v>
          </cell>
          <cell r="AA307" t="str">
            <v>繁殖牛</v>
          </cell>
          <cell r="AB307">
            <v>3</v>
          </cell>
          <cell r="AC307" t="str">
            <v>その他乳用種</v>
          </cell>
          <cell r="AD307">
            <v>2</v>
          </cell>
          <cell r="AE307">
            <v>4</v>
          </cell>
          <cell r="AF307">
            <v>4</v>
          </cell>
        </row>
        <row r="308">
          <cell r="Y308" t="str">
            <v>020502</v>
          </cell>
          <cell r="Z308">
            <v>2</v>
          </cell>
          <cell r="AA308" t="str">
            <v>繁殖牛</v>
          </cell>
          <cell r="AB308">
            <v>5</v>
          </cell>
          <cell r="AC308" t="str">
            <v>黒毛和種</v>
          </cell>
          <cell r="AD308">
            <v>2</v>
          </cell>
          <cell r="AE308">
            <v>5</v>
          </cell>
          <cell r="AF308">
            <v>6</v>
          </cell>
        </row>
        <row r="309">
          <cell r="Y309" t="str">
            <v>020602</v>
          </cell>
          <cell r="Z309">
            <v>2</v>
          </cell>
          <cell r="AA309" t="str">
            <v>繁殖牛</v>
          </cell>
          <cell r="AB309">
            <v>6</v>
          </cell>
          <cell r="AC309" t="str">
            <v>褐毛和種</v>
          </cell>
          <cell r="AD309">
            <v>2</v>
          </cell>
          <cell r="AE309">
            <v>5</v>
          </cell>
          <cell r="AF309">
            <v>6</v>
          </cell>
        </row>
        <row r="310">
          <cell r="Y310" t="str">
            <v>020702</v>
          </cell>
          <cell r="Z310">
            <v>2</v>
          </cell>
          <cell r="AA310" t="str">
            <v>繁殖牛</v>
          </cell>
          <cell r="AB310">
            <v>7</v>
          </cell>
          <cell r="AC310" t="str">
            <v>日本短角種</v>
          </cell>
          <cell r="AD310">
            <v>2</v>
          </cell>
          <cell r="AE310">
            <v>5</v>
          </cell>
          <cell r="AF310">
            <v>6</v>
          </cell>
        </row>
        <row r="311">
          <cell r="Y311" t="str">
            <v>020802</v>
          </cell>
          <cell r="Z311">
            <v>2</v>
          </cell>
          <cell r="AA311" t="str">
            <v>繁殖牛</v>
          </cell>
          <cell r="AB311">
            <v>8</v>
          </cell>
          <cell r="AC311" t="str">
            <v>無角和種</v>
          </cell>
          <cell r="AD311">
            <v>2</v>
          </cell>
          <cell r="AE311">
            <v>5</v>
          </cell>
          <cell r="AF311">
            <v>6</v>
          </cell>
        </row>
        <row r="312">
          <cell r="Y312" t="str">
            <v>020902</v>
          </cell>
          <cell r="Z312">
            <v>2</v>
          </cell>
          <cell r="AA312" t="str">
            <v>繁殖牛</v>
          </cell>
          <cell r="AB312">
            <v>9</v>
          </cell>
          <cell r="AC312" t="str">
            <v>外国種①</v>
          </cell>
          <cell r="AD312">
            <v>2</v>
          </cell>
          <cell r="AE312">
            <v>5</v>
          </cell>
          <cell r="AF312">
            <v>6</v>
          </cell>
        </row>
        <row r="313">
          <cell r="Y313" t="str">
            <v>021002</v>
          </cell>
          <cell r="Z313">
            <v>2</v>
          </cell>
          <cell r="AA313" t="str">
            <v>繁殖牛</v>
          </cell>
          <cell r="AB313">
            <v>10</v>
          </cell>
          <cell r="AC313" t="str">
            <v>外国種②</v>
          </cell>
          <cell r="AD313">
            <v>2</v>
          </cell>
          <cell r="AE313">
            <v>5</v>
          </cell>
          <cell r="AF313">
            <v>6</v>
          </cell>
        </row>
        <row r="314">
          <cell r="Y314" t="str">
            <v>029902</v>
          </cell>
          <cell r="Z314">
            <v>2</v>
          </cell>
          <cell r="AA314" t="str">
            <v>繁殖牛</v>
          </cell>
          <cell r="AB314">
            <v>99</v>
          </cell>
          <cell r="AC314" t="str">
            <v>その他</v>
          </cell>
          <cell r="AD314">
            <v>2</v>
          </cell>
          <cell r="AE314">
            <v>6</v>
          </cell>
          <cell r="AF314">
            <v>6</v>
          </cell>
        </row>
        <row r="316">
          <cell r="AA316" t="str">
            <v>馬</v>
          </cell>
          <cell r="AC316" t="str">
            <v>品種</v>
          </cell>
          <cell r="AD316" t="str">
            <v>性別</v>
          </cell>
          <cell r="AE316" t="str">
            <v>税制改正前</v>
          </cell>
          <cell r="AF316" t="str">
            <v>税制改正後</v>
          </cell>
        </row>
        <row r="317">
          <cell r="Y317" t="str">
            <v>030201</v>
          </cell>
          <cell r="Z317">
            <v>3</v>
          </cell>
          <cell r="AA317" t="str">
            <v>馬</v>
          </cell>
          <cell r="AB317">
            <v>2</v>
          </cell>
          <cell r="AC317" t="str">
            <v>繁殖用</v>
          </cell>
          <cell r="AD317">
            <v>1</v>
          </cell>
          <cell r="AE317">
            <v>6</v>
          </cell>
          <cell r="AF317">
            <v>6</v>
          </cell>
        </row>
        <row r="318">
          <cell r="Y318" t="str">
            <v>030301</v>
          </cell>
          <cell r="Z318">
            <v>3</v>
          </cell>
          <cell r="AA318" t="str">
            <v>馬</v>
          </cell>
          <cell r="AB318">
            <v>3</v>
          </cell>
          <cell r="AC318" t="str">
            <v>農業使役用</v>
          </cell>
          <cell r="AD318">
            <v>1</v>
          </cell>
          <cell r="AE318">
            <v>8</v>
          </cell>
          <cell r="AF318">
            <v>8</v>
          </cell>
        </row>
        <row r="319">
          <cell r="Y319" t="str">
            <v>030401</v>
          </cell>
          <cell r="Z319">
            <v>3</v>
          </cell>
          <cell r="AA319" t="str">
            <v>馬</v>
          </cell>
          <cell r="AB319">
            <v>4</v>
          </cell>
          <cell r="AC319" t="str">
            <v>小運搬使役用</v>
          </cell>
          <cell r="AD319">
            <v>1</v>
          </cell>
          <cell r="AE319">
            <v>6</v>
          </cell>
          <cell r="AF319">
            <v>6</v>
          </cell>
        </row>
        <row r="320">
          <cell r="Y320" t="str">
            <v>030202</v>
          </cell>
          <cell r="Z320">
            <v>3</v>
          </cell>
          <cell r="AA320" t="str">
            <v>馬</v>
          </cell>
          <cell r="AB320">
            <v>2</v>
          </cell>
          <cell r="AC320" t="str">
            <v>繁殖用</v>
          </cell>
          <cell r="AD320">
            <v>2</v>
          </cell>
          <cell r="AE320">
            <v>7</v>
          </cell>
          <cell r="AF320">
            <v>7</v>
          </cell>
        </row>
        <row r="321">
          <cell r="Y321" t="str">
            <v>030302</v>
          </cell>
          <cell r="Z321">
            <v>3</v>
          </cell>
          <cell r="AA321" t="str">
            <v>馬</v>
          </cell>
          <cell r="AB321">
            <v>3</v>
          </cell>
          <cell r="AC321" t="str">
            <v>農業使役用</v>
          </cell>
          <cell r="AD321">
            <v>2</v>
          </cell>
          <cell r="AE321">
            <v>8</v>
          </cell>
          <cell r="AF321">
            <v>8</v>
          </cell>
        </row>
        <row r="322">
          <cell r="Y322" t="str">
            <v>030402</v>
          </cell>
          <cell r="Z322">
            <v>3</v>
          </cell>
          <cell r="AA322" t="str">
            <v>馬</v>
          </cell>
          <cell r="AB322">
            <v>4</v>
          </cell>
          <cell r="AC322" t="str">
            <v>小運搬使役用</v>
          </cell>
          <cell r="AD322">
            <v>2</v>
          </cell>
          <cell r="AE322">
            <v>6</v>
          </cell>
          <cell r="AF322">
            <v>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カレンダー"/>
      <sheetName val="予定表 (出納帳)"/>
      <sheetName val="予定表 (作業日誌)"/>
      <sheetName val="祝祭日"/>
    </sheetNames>
    <sheetDataSet>
      <sheetData sheetId="0">
        <row r="2">
          <cell r="J2">
            <v>2017</v>
          </cell>
        </row>
      </sheetData>
      <sheetData sheetId="1"/>
      <sheetData sheetId="2"/>
      <sheetData sheetId="3">
        <row r="5">
          <cell r="D5">
            <v>42736</v>
          </cell>
          <cell r="E5" t="str">
            <v>元旦</v>
          </cell>
        </row>
        <row r="6">
          <cell r="D6">
            <v>42737</v>
          </cell>
          <cell r="E6" t="str">
            <v>振替休日</v>
          </cell>
        </row>
        <row r="7">
          <cell r="D7">
            <v>42744</v>
          </cell>
          <cell r="E7" t="str">
            <v>成人の日</v>
          </cell>
        </row>
        <row r="8">
          <cell r="D8">
            <v>42777</v>
          </cell>
          <cell r="E8" t="str">
            <v>建国記念の日</v>
          </cell>
        </row>
        <row r="9">
          <cell r="D9">
            <v>42778</v>
          </cell>
          <cell r="E9" t="str">
            <v/>
          </cell>
        </row>
        <row r="10">
          <cell r="D10">
            <v>42814</v>
          </cell>
          <cell r="E10" t="str">
            <v>春分の日</v>
          </cell>
        </row>
        <row r="11">
          <cell r="D11">
            <v>42815</v>
          </cell>
          <cell r="E11" t="str">
            <v/>
          </cell>
        </row>
        <row r="12">
          <cell r="D12">
            <v>42854</v>
          </cell>
          <cell r="E12" t="str">
            <v>昭和の日</v>
          </cell>
        </row>
        <row r="13">
          <cell r="D13">
            <v>42855</v>
          </cell>
          <cell r="E13" t="str">
            <v/>
          </cell>
        </row>
        <row r="14">
          <cell r="D14">
            <v>42858</v>
          </cell>
          <cell r="E14" t="str">
            <v>憲法記念日</v>
          </cell>
        </row>
        <row r="15">
          <cell r="D15">
            <v>42859</v>
          </cell>
          <cell r="E15" t="str">
            <v>みどりの日</v>
          </cell>
        </row>
        <row r="16">
          <cell r="D16">
            <v>42860</v>
          </cell>
          <cell r="E16" t="str">
            <v>こどもの日</v>
          </cell>
        </row>
        <row r="17">
          <cell r="D17">
            <v>42861</v>
          </cell>
          <cell r="E17" t="str">
            <v/>
          </cell>
        </row>
        <row r="18">
          <cell r="D18">
            <v>42933</v>
          </cell>
          <cell r="E18" t="str">
            <v>海の日</v>
          </cell>
        </row>
        <row r="19">
          <cell r="D19">
            <v>42958</v>
          </cell>
          <cell r="E19" t="str">
            <v>山の日</v>
          </cell>
        </row>
        <row r="20">
          <cell r="D20">
            <v>42959</v>
          </cell>
          <cell r="E20" t="str">
            <v/>
          </cell>
        </row>
        <row r="21">
          <cell r="D21">
            <v>42996</v>
          </cell>
          <cell r="E21" t="str">
            <v>敬老の日</v>
          </cell>
        </row>
        <row r="22">
          <cell r="D22">
            <v>42997</v>
          </cell>
          <cell r="E22" t="str">
            <v/>
          </cell>
        </row>
        <row r="23">
          <cell r="D23">
            <v>43001</v>
          </cell>
          <cell r="E23" t="str">
            <v>秋分の日</v>
          </cell>
        </row>
        <row r="24">
          <cell r="D24">
            <v>43002</v>
          </cell>
          <cell r="E24" t="str">
            <v/>
          </cell>
        </row>
        <row r="25">
          <cell r="D25">
            <v>43017</v>
          </cell>
          <cell r="E25" t="str">
            <v>体育の日</v>
          </cell>
        </row>
        <row r="26">
          <cell r="D26">
            <v>43042</v>
          </cell>
          <cell r="E26" t="str">
            <v>文化の日</v>
          </cell>
        </row>
        <row r="27">
          <cell r="D27">
            <v>43043</v>
          </cell>
          <cell r="E27" t="str">
            <v/>
          </cell>
        </row>
        <row r="28">
          <cell r="D28">
            <v>43062</v>
          </cell>
          <cell r="E28" t="str">
            <v>勤労感謝の日</v>
          </cell>
        </row>
        <row r="29">
          <cell r="D29">
            <v>43063</v>
          </cell>
          <cell r="E29" t="str">
            <v/>
          </cell>
        </row>
        <row r="30">
          <cell r="D30">
            <v>43092</v>
          </cell>
          <cell r="E30" t="str">
            <v>天皇誕生日</v>
          </cell>
        </row>
        <row r="31">
          <cell r="D31">
            <v>43093</v>
          </cell>
          <cell r="E31" t="str">
            <v/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約束事項_米"/>
      <sheetName val="約束事項_麦類"/>
      <sheetName val="約束事項_そば"/>
      <sheetName val="約束事項_大豆"/>
      <sheetName val="約束事項_原かん"/>
      <sheetName val="約束事項_原ばれ"/>
      <sheetName val="約束事項_なたね"/>
      <sheetName val="約束事項_てんさい"/>
      <sheetName val="約束事項_さとうきび"/>
      <sheetName val="目次"/>
      <sheetName val="【１】経営の概況①"/>
      <sheetName val="【１】経営の概況②_米"/>
      <sheetName val="【１】経営の概況③_米"/>
      <sheetName val="【１】経営の概況③_米以外"/>
      <sheetName val="【２】生産物の販売等の状況①_米"/>
      <sheetName val="【２】生産物の販売等の状況②_米"/>
      <sheetName val="【２】生産物の販売等の状況①_麦類"/>
      <sheetName val="【２】生産物の販売等の状況①_二条大麦"/>
      <sheetName val="【２】生産物の販売等の状況②_麦類"/>
      <sheetName val="【２】生産物の販売等の状況_そば"/>
      <sheetName val="【２】生産物の販売等の状況_大豆"/>
      <sheetName val="【２】生産物の販売等の状況_原かん"/>
      <sheetName val="【２】生産物の販売等の状況_原ばれ"/>
      <sheetName val="【２】生産物の販売等の状況_なたね"/>
      <sheetName val="【２】生産物の販売等の状況_てんさい"/>
      <sheetName val="【２】生産物の販売等の状況_さとうきび"/>
      <sheetName val="栽培の特徴"/>
      <sheetName val="【３】１種苗費_米"/>
      <sheetName val="【３】１種苗費_米以外"/>
      <sheetName val="【３】２肥料費"/>
      <sheetName val="【３】３農業薬剤費"/>
      <sheetName val="【３】４光熱動力費・５諸材料費"/>
      <sheetName val="【３】６賃借料及び料金"/>
      <sheetName val="【４】物件税及び公課諸負担"/>
      <sheetName val="【５】土地改良及び水利費・【６】借入金"/>
      <sheetName val="【７】建物及び構築物"/>
      <sheetName val="【８】自動車"/>
      <sheetName val="【９】農業機械"/>
      <sheetName val="減価償却費"/>
      <sheetName val="【10】農具の購入費等"/>
      <sheetName val="【11】土地_1所有地"/>
      <sheetName val="【11】土地_２借入地"/>
      <sheetName val="【12】作業別労働時間_個別"/>
      <sheetName val="【12】作業別労働時間_組織"/>
      <sheetName val="作業別労働時間作業種類・内容例示"/>
      <sheetName val="【12】作業別労働時間_米"/>
      <sheetName val="【13】飼料用米①_米"/>
      <sheetName val="【13】飼料用米②_米"/>
      <sheetName val="任意項目"/>
      <sheetName val="リスト"/>
    </sheetNames>
    <sheetDataSet>
      <sheetData sheetId="0">
        <row r="17">
          <cell r="BG17">
            <v>2019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7060-09A5-49CF-BB0F-B3D8293E6B45}">
  <sheetPr>
    <pageSetUpPr fitToPage="1"/>
  </sheetPr>
  <dimension ref="B1:AD571"/>
  <sheetViews>
    <sheetView showGridLines="0" tabSelected="1" zoomScaleNormal="100" workbookViewId="0">
      <pane xSplit="1" ySplit="9" topLeftCell="B10" activePane="bottomRight" state="frozen"/>
      <selection activeCell="P11" sqref="P11:U11"/>
      <selection pane="topRight" activeCell="P11" sqref="P11:U11"/>
      <selection pane="bottomLeft" activeCell="P11" sqref="P11:U11"/>
      <selection pane="bottomRight" activeCell="B3" sqref="B3:C3"/>
    </sheetView>
  </sheetViews>
  <sheetFormatPr defaultColWidth="1.21875" defaultRowHeight="7.5" customHeight="1" x14ac:dyDescent="0.2"/>
  <cols>
    <col min="1" max="1" width="1" style="1" customWidth="1"/>
    <col min="2" max="2" width="4.77734375" style="1" customWidth="1"/>
    <col min="3" max="3" width="13" style="1" customWidth="1"/>
    <col min="4" max="5" width="7.6640625" style="1" customWidth="1"/>
    <col min="6" max="6" width="18" style="1" bestFit="1" customWidth="1"/>
    <col min="7" max="20" width="6.77734375" style="1" customWidth="1"/>
    <col min="21" max="23" width="6.77734375" style="168" customWidth="1"/>
    <col min="24" max="24" width="6.77734375" style="1" customWidth="1"/>
    <col min="25" max="27" width="9.77734375" style="1" customWidth="1"/>
    <col min="28" max="30" width="1.21875" style="1" customWidth="1"/>
    <col min="31" max="16384" width="1.21875" style="1"/>
  </cols>
  <sheetData>
    <row r="1" spans="2:30" ht="22.5" customHeight="1" thickBot="1" x14ac:dyDescent="0.25">
      <c r="C1" s="339" t="s">
        <v>118</v>
      </c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4"/>
      <c r="Z1" s="34"/>
      <c r="AA1" s="34"/>
      <c r="AB1" s="34"/>
      <c r="AC1" s="34"/>
      <c r="AD1" s="34"/>
    </row>
    <row r="2" spans="2:30" ht="22.5" customHeight="1" x14ac:dyDescent="0.2">
      <c r="B2" s="340" t="s">
        <v>123</v>
      </c>
      <c r="C2" s="341"/>
      <c r="D2" s="340" t="s">
        <v>105</v>
      </c>
      <c r="E2" s="341"/>
      <c r="F2" s="121" t="s">
        <v>106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69"/>
      <c r="V2" s="169"/>
      <c r="W2" s="169"/>
      <c r="X2" s="7"/>
      <c r="Y2" s="34"/>
      <c r="Z2" s="34"/>
      <c r="AA2" s="34"/>
      <c r="AB2" s="34"/>
      <c r="AC2" s="34"/>
      <c r="AD2" s="34"/>
    </row>
    <row r="3" spans="2:30" ht="22.5" customHeight="1" thickBot="1" x14ac:dyDescent="0.25">
      <c r="B3" s="342"/>
      <c r="C3" s="343"/>
      <c r="D3" s="344"/>
      <c r="E3" s="345"/>
      <c r="F3" s="122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170"/>
      <c r="V3" s="170"/>
      <c r="W3" s="170"/>
      <c r="X3" s="34"/>
      <c r="Y3" s="34"/>
      <c r="Z3" s="34"/>
      <c r="AA3" s="34"/>
      <c r="AB3" s="34"/>
      <c r="AC3" s="34"/>
      <c r="AD3" s="34"/>
    </row>
    <row r="4" spans="2:30" ht="7.5" customHeight="1" thickBot="1" x14ac:dyDescent="0.25">
      <c r="D4" s="4"/>
      <c r="E4" s="4"/>
      <c r="F4" s="5"/>
    </row>
    <row r="5" spans="2:30" ht="15" customHeight="1" thickBot="1" x14ac:dyDescent="0.25">
      <c r="B5" s="35"/>
      <c r="C5" s="334" t="s">
        <v>37</v>
      </c>
      <c r="D5" s="335"/>
      <c r="E5" s="335"/>
      <c r="F5" s="335"/>
      <c r="G5" s="336" t="s">
        <v>38</v>
      </c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8"/>
    </row>
    <row r="6" spans="2:30" s="6" customFormat="1" ht="30" customHeight="1" x14ac:dyDescent="0.2">
      <c r="B6" s="36" t="s">
        <v>27</v>
      </c>
      <c r="C6" s="37" t="s">
        <v>28</v>
      </c>
      <c r="D6" s="38" t="s">
        <v>18</v>
      </c>
      <c r="E6" s="39" t="s">
        <v>19</v>
      </c>
      <c r="F6" s="39" t="s">
        <v>26</v>
      </c>
      <c r="G6" s="40" t="s">
        <v>29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171"/>
      <c r="V6" s="171"/>
      <c r="W6" s="171"/>
      <c r="X6" s="42"/>
    </row>
    <row r="7" spans="2:30" s="6" customFormat="1" ht="30" customHeight="1" x14ac:dyDescent="0.2">
      <c r="B7" s="78" t="s">
        <v>30</v>
      </c>
      <c r="C7" s="79" t="s">
        <v>31</v>
      </c>
      <c r="D7" s="80" t="s">
        <v>32</v>
      </c>
      <c r="E7" s="81" t="s">
        <v>31</v>
      </c>
      <c r="F7" s="81" t="s">
        <v>32</v>
      </c>
      <c r="G7" s="43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172"/>
      <c r="V7" s="172"/>
      <c r="W7" s="172"/>
      <c r="X7" s="45"/>
    </row>
    <row r="8" spans="2:30" s="6" customFormat="1" ht="30" customHeight="1" thickBot="1" x14ac:dyDescent="0.25">
      <c r="B8" s="46"/>
      <c r="C8" s="47"/>
      <c r="D8" s="48"/>
      <c r="E8" s="49"/>
      <c r="F8" s="49"/>
      <c r="G8" s="50"/>
      <c r="H8" s="179" t="str">
        <f>IF(設定!F3="米",リスト!F2,
IF(OR(設定!F3="小麦",設定!F3="二条大麦",設定!F3="六条大麦",設定!F3="はだか麦"),リスト!G2,
IF(設定!F3="そば",リスト!K2,
IF(設定!F3="大豆",リスト!L2,
IF(設定!F3="原料用かんしょ",リスト!M2,
IF(設定!F3="原料用ばれいしょ",リスト!N2,
IF(設定!F3="なたね",リスト!O2,
IF(設定!F3="てんさい",リスト!P2,
IF(設定!F3="さとうきび",リスト!Q2,"")))))))))</f>
        <v/>
      </c>
      <c r="I8" s="179" t="str">
        <f>IF(設定!F3="米",リスト!F3,
IF(OR(設定!F3="小麦",設定!F3="二条大麦",設定!F3="六条大麦",設定!F3="はだか麦"),リスト!G3,
IF(設定!F3="そば",リスト!K3,
IF(設定!F3="大豆",リスト!L3,
IF(設定!F3="原料用かんしょ",リスト!M3,
IF(設定!F3="原料用ばれいしょ",リスト!N3,
IF(設定!F3="なたね",リスト!O3,
IF(設定!F3="てんさい",リスト!P3,
IF(設定!F3="さとうきび",リスト!Q3,"")))))))))</f>
        <v/>
      </c>
      <c r="J8" s="179" t="str">
        <f>IF(設定!F3="米",リスト!F4,
IF(OR(設定!F3="小麦",設定!F3="二条大麦",設定!F3="六条大麦",設定!F3="はだか麦"),リスト!G4,
IF(設定!F3="そば",リスト!K4,
IF(設定!F3="大豆",リスト!L4,
IF(設定!F3="原料用かんしょ",リスト!M4,
IF(設定!F3="原料用ばれいしょ",リスト!N4,
IF(設定!F3="なたね",リスト!O4,
IF(設定!F3="てんさい",リスト!P4,
IF(設定!F3="さとうきび",リスト!Q4,"")))))))))</f>
        <v/>
      </c>
      <c r="K8" s="179" t="str">
        <f>IF(設定!F3="米",リスト!F5,
IF(OR(設定!F3="小麦",設定!F3="二条大麦",設定!F3="六条大麦",設定!F3="はだか麦"),リスト!G5,
IF(設定!F3="そば",リスト!K5,
IF(設定!F3="大豆",リスト!L5,
IF(設定!F3="原料用かんしょ",リスト!M5,
IF(設定!F3="原料用ばれいしょ",リスト!N5,
IF(設定!F3="なたね",リスト!O5,
IF(設定!F3="てんさい",リスト!P5,
IF(設定!F3="さとうきび",リスト!Q5,"")))))))))</f>
        <v/>
      </c>
      <c r="L8" s="179" t="str">
        <f>IF(設定!F3="米",リスト!F6,
IF(OR(設定!F3="小麦",設定!F3="二条大麦",設定!F3="六条大麦",設定!F3="はだか麦"),リスト!G6,
IF(設定!F3="そば",リスト!K6,
IF(設定!F3="大豆",リスト!L6,
IF(設定!F3="原料用かんしょ",リスト!M6,
IF(設定!F3="原料用ばれいしょ",リスト!N6,
IF(設定!F3="なたね",リスト!O6,
IF(設定!F3="てんさい",リスト!P6,
IF(設定!F3="さとうきび",リスト!Q6,"")))))))))</f>
        <v/>
      </c>
      <c r="M8" s="179" t="str">
        <f>IF(設定!F3="米",リスト!F7,
IF(OR(設定!F3="小麦",設定!F3="二条大麦",設定!F3="六条大麦",設定!F3="はだか麦"),リスト!G7,
IF(設定!F3="そば",リスト!K7,
IF(設定!F3="大豆",リスト!L7,
IF(設定!F3="原料用かんしょ",リスト!M7,
IF(設定!F3="原料用ばれいしょ",リスト!N7,
IF(設定!F3="なたね",リスト!O7,
IF(設定!F3="てんさい",リスト!P7,
IF(設定!F3="さとうきび",リスト!Q7,"")))))))))</f>
        <v/>
      </c>
      <c r="N8" s="179" t="str">
        <f>IF(設定!F3="米",リスト!F8,
IF(OR(設定!F3="小麦",設定!F3="二条大麦",設定!F3="六条大麦",設定!F3="はだか麦"),リスト!G8,
IF(設定!F3="そば",リスト!K8,
IF(設定!F3="大豆",リスト!L8,
IF(設定!F3="原料用かんしょ",リスト!M8,
IF(設定!F3="原料用ばれいしょ",リスト!N8,
IF(設定!F3="なたね",リスト!O8,
IF(設定!F3="てんさい",リスト!P8,
IF(設定!F3="さとうきび",リスト!Q8,"")))))))))</f>
        <v/>
      </c>
      <c r="O8" s="179" t="str">
        <f>IF(設定!F3="米",リスト!F9,
IF(OR(設定!F3="小麦",設定!F3="二条大麦",設定!F3="六条大麦",設定!F3="はだか麦"),リスト!G9,
IF(設定!F3="そば",リスト!K9,
IF(設定!F3="大豆",リスト!L9,
IF(設定!F3="原料用かんしょ",リスト!M9,
IF(設定!F3="原料用ばれいしょ",リスト!N9,
IF(設定!F3="なたね",リスト!O9,
IF(設定!F3="てんさい",リスト!P9,
IF(設定!F3="さとうきび",リスト!Q9,"")))))))))</f>
        <v/>
      </c>
      <c r="P8" s="179" t="str">
        <f>IF(設定!F3="米",リスト!F10,
IF(OR(設定!F3="小麦",設定!F3="二条大麦",設定!F3="六条大麦",設定!F3="はだか麦"),リスト!G10,
IF(設定!F3="そば",リスト!K10,
IF(設定!F3="大豆",リスト!L10,
IF(設定!F3="原料用かんしょ",リスト!M10,
IF(設定!F3="原料用ばれいしょ",リスト!N10,
IF(設定!F3="なたね",リスト!O10,
IF(設定!F3="てんさい",リスト!P10,
IF(設定!F3="さとうきび",リスト!Q10,"")))))))))</f>
        <v/>
      </c>
      <c r="Q8" s="179" t="str">
        <f>IF(設定!F3="米",リスト!F11,
IF(OR(設定!F3="小麦",設定!F3="二条大麦",設定!F3="六条大麦",設定!F3="はだか麦"),リスト!G11,
IF(設定!F3="そば",リスト!K11,
IF(設定!F3="大豆",リスト!L11,
IF(設定!F3="原料用かんしょ",リスト!M11,
IF(設定!F3="原料用ばれいしょ",リスト!N11,
IF(設定!F3="なたね",リスト!O11,
IF(設定!F3="てんさい",リスト!P11,
IF(設定!F3="さとうきび",リスト!Q11,"")))))))))</f>
        <v/>
      </c>
      <c r="R8" s="179" t="str">
        <f>IF(設定!F3="米",リスト!F12,
IF(OR(設定!F3="小麦",設定!F3="二条大麦",設定!F3="六条大麦",設定!F3="はだか麦"),リスト!G12,
IF(設定!F3="そば",リスト!K12,
IF(設定!F3="大豆",リスト!L12,
IF(設定!F3="原料用かんしょ",リスト!M12,
IF(設定!F3="原料用ばれいしょ",リスト!N12,
IF(設定!F3="なたね",リスト!O12,                                                                                                                                                                                                                                                             IF(設定!F3="てんさい",リスト!P12,
IF(設定!F3="さとうきび",リスト!Q12,"")))))))))</f>
        <v/>
      </c>
      <c r="S8" s="179" t="str">
        <f>IF(設定!F3="米",リスト!F13,
IF(OR(設定!F3="小麦",設定!F3="二条大麦",設定!F3="六条大麦",設定!F3="はだか麦"),リスト!G13,
IF(設定!F3="そば",リスト!K13,
IF(設定!F3="大豆",リスト!L13,
IF(設定!F3="原料用かんしょ",リスト!M13,
IF(設定!F3="原料用ばれいしょ",リスト!N13,
IF(設定!F3="なたね",リスト!O13,
IF(設定!F3="てんさい",リスト!P13,
IF(設定!F3="さとうきび",リスト!Q13,"")))))))))</f>
        <v/>
      </c>
      <c r="T8" s="179" t="str">
        <f>IF(設定!F3="米",リスト!F14,
IF(OR(設定!F3="小麦",設定!F3="二条大麦",設定!F3="六条大麦",設定!F3="はだか麦"),リスト!G14,
IF(設定!F3="そば",リスト!K14,
IF(設定!F3="大豆",リスト!L14,
IF(設定!F3="原料用かんしょ",リスト!M14,
IF(設定!F3="原料用ばれいしょ",リスト!N14,
IF(設定!F3="なたね",リスト!O14,
IF(設定!F3="てんさい",リスト!P14,
IF(設定!F3="さとうきび",リスト!Q14,"")))))))))</f>
        <v/>
      </c>
      <c r="U8" s="179" t="str">
        <f>IF(設定!F3="米",リスト!F15,
IF(OR(設定!F3="小麦",設定!F3="二条大麦",設定!F3="六条大麦",設定!F3="はだか麦"),リスト!G15,
IF(設定!F3="そば",リスト!K15,
IF(設定!F3="大豆",リスト!L15,
IF(設定!F3="原料用かんしょ",リスト!M15,
IF(設定!F3="原料用ばれいしょ",リスト!N15,
IF(設定!F3="なたね",リスト!O15,
IF(設定!F3="てんさい",リスト!P15,
IF(設定!F3="さとうきび",リスト!Q15,"")))))))))</f>
        <v/>
      </c>
      <c r="V8" s="179" t="str">
        <f>IF(設定!F3="米",リスト!F16,
IF(OR(設定!F3="小麦",設定!F3="二条大麦",設定!F3="六条大麦",設定!F3="はだか麦"),リスト!G16,
IF(設定!F3="そば",リスト!K16,
IF(設定!F3="大豆",リスト!L16,
IF(設定!F3="原料用かんしょ",リスト!M16,
IF(設定!F3="原料用ばれいしょ",リスト!N16,
IF(設定!F3="なたね",リスト!O16,
IF(設定!F3="てんさい",リスト!P16,
IF(設定!F3="さとうきび",リスト!Q16,"")))))))))</f>
        <v/>
      </c>
      <c r="W8" s="179" t="str">
        <f>IF(設定!F3="米",リスト!F17,
IF(OR(設定!F3="小麦",設定!F3="二条大麦",設定!F3="六条大麦",設定!F3="はだか麦"),リスト!G17,
IF(設定!F3="そば",リスト!K17,
IF(設定!F3="大豆",リスト!L17,
IF(設定!F3="原料用かんしょ",リスト!M17,
IF(設定!F3="原料用ばれいしょ",リスト!N17,
IF(設定!F3="なたね",リスト!O17,
IF(設定!F3="てんさい",リスト!P17,
IF(設定!F3="さとうきび",リスト!Q17,"")))))))))</f>
        <v/>
      </c>
      <c r="X8" s="180" t="str">
        <f>IF(設定!F3="米",リスト!F18,
IF(OR(設定!F3="小麦",設定!F3="二条大麦",設定!F3="六条大麦",設定!F3="はだか麦"),リスト!G18,
IF(設定!F3="そば",リスト!K18,
IF(設定!F3="大豆",リスト!L18,
IF(設定!F3="原料用かんしょ",リスト!M18,
IF(設定!F3="原料用ばれいしょ",リスト!N18,
IF(設定!F3="なたね",リスト!O18,
IF(設定!F3="てんさい",リスト!P18,
IF(設定!F3="さとうきび",リスト!Q18,"")))))))))</f>
        <v/>
      </c>
      <c r="Y8" s="166"/>
      <c r="Z8" s="166"/>
      <c r="AA8" s="166"/>
    </row>
    <row r="9" spans="2:30" s="6" customFormat="1" ht="10.5" customHeight="1" x14ac:dyDescent="0.2">
      <c r="B9" s="51"/>
      <c r="C9" s="52"/>
      <c r="D9" s="53"/>
      <c r="E9" s="54"/>
      <c r="F9" s="54"/>
      <c r="G9" s="55" t="s">
        <v>4</v>
      </c>
      <c r="H9" s="54" t="s">
        <v>4</v>
      </c>
      <c r="I9" s="54" t="s">
        <v>4</v>
      </c>
      <c r="J9" s="54" t="s">
        <v>4</v>
      </c>
      <c r="K9" s="54" t="s">
        <v>4</v>
      </c>
      <c r="L9" s="54" t="s">
        <v>4</v>
      </c>
      <c r="M9" s="54" t="s">
        <v>4</v>
      </c>
      <c r="N9" s="54" t="s">
        <v>4</v>
      </c>
      <c r="O9" s="54" t="s">
        <v>4</v>
      </c>
      <c r="P9" s="54" t="s">
        <v>4</v>
      </c>
      <c r="Q9" s="54" t="s">
        <v>36</v>
      </c>
      <c r="R9" s="54" t="s">
        <v>36</v>
      </c>
      <c r="S9" s="54" t="s">
        <v>36</v>
      </c>
      <c r="T9" s="54" t="s">
        <v>36</v>
      </c>
      <c r="U9" s="173" t="s">
        <v>104</v>
      </c>
      <c r="V9" s="173" t="s">
        <v>36</v>
      </c>
      <c r="W9" s="173" t="s">
        <v>36</v>
      </c>
      <c r="X9" s="56" t="s">
        <v>36</v>
      </c>
    </row>
    <row r="10" spans="2:30" s="6" customFormat="1" ht="15" customHeight="1" x14ac:dyDescent="0.2">
      <c r="B10" s="57" t="s">
        <v>33</v>
      </c>
      <c r="C10" s="58"/>
      <c r="D10" s="59"/>
      <c r="E10" s="60"/>
      <c r="F10" s="60"/>
      <c r="G10" s="61">
        <f t="shared" ref="G10:G41" si="0">SUM(H10:X10)</f>
        <v>0</v>
      </c>
      <c r="H10" s="60">
        <f>SUMIFS(月別入力!$I:$I,月別入力!$E:$E,設定!$C10,月別入力!$D:$D,設定!H$8,月別入力!$B:$B,設定!$B10)</f>
        <v>0</v>
      </c>
      <c r="I10" s="60">
        <f>SUMIFS(月別入力!$I:$I,月別入力!$E:$E,設定!$C10,月別入力!$D:$D,設定!I$8,月別入力!$B:$B,設定!$B10)</f>
        <v>0</v>
      </c>
      <c r="J10" s="60">
        <f>SUMIFS(月別入力!$I:$I,月別入力!$E:$E,設定!$C10,月別入力!$D:$D,設定!J$8,月別入力!$B:$B,設定!$B10)</f>
        <v>0</v>
      </c>
      <c r="K10" s="60">
        <f>SUMIFS(月別入力!$I:$I,月別入力!$E:$E,設定!$C10,月別入力!$D:$D,設定!K$8,月別入力!$B:$B,設定!$B10)</f>
        <v>0</v>
      </c>
      <c r="L10" s="60">
        <f>SUMIFS(月別入力!$I:$I,月別入力!$E:$E,設定!$C10,月別入力!$D:$D,設定!L$8,月別入力!$B:$B,設定!$B10)</f>
        <v>0</v>
      </c>
      <c r="M10" s="60">
        <f>SUMIFS(月別入力!$I:$I,月別入力!$E:$E,設定!$C10,月別入力!$D:$D,設定!M$8,月別入力!$B:$B,設定!$B10)</f>
        <v>0</v>
      </c>
      <c r="N10" s="60">
        <f>SUMIFS(月別入力!$I:$I,月別入力!$E:$E,設定!$C10,月別入力!$D:$D,設定!N$8,月別入力!$B:$B,設定!$B10)</f>
        <v>0</v>
      </c>
      <c r="O10" s="60">
        <f>SUMIFS(月別入力!$I:$I,月別入力!$E:$E,設定!$C10,月別入力!$D:$D,設定!O$8,月別入力!$B:$B,設定!$B10)</f>
        <v>0</v>
      </c>
      <c r="P10" s="60">
        <f>SUMIFS(月別入力!$I:$I,月別入力!$E:$E,設定!$C10,月別入力!$D:$D,設定!P$8,月別入力!$B:$B,設定!$B10)</f>
        <v>0</v>
      </c>
      <c r="Q10" s="60">
        <f>SUMIFS(月別入力!$I:$I,月別入力!$E:$E,設定!$C10,月別入力!$D:$D,設定!Q$8,月別入力!$B:$B,設定!$B10)</f>
        <v>0</v>
      </c>
      <c r="R10" s="60">
        <f>SUMIFS(月別入力!$I:$I,月別入力!$E:$E,設定!$C10,月別入力!$D:$D,設定!R$8,月別入力!$B:$B,設定!$B10)</f>
        <v>0</v>
      </c>
      <c r="S10" s="60">
        <f>SUMIFS(月別入力!$I:$I,月別入力!$E:$E,設定!$C10,月別入力!$D:$D,設定!S$8,月別入力!$B:$B,設定!$B10)</f>
        <v>0</v>
      </c>
      <c r="T10" s="60">
        <f>SUMIFS(月別入力!$I:$I,月別入力!$E:$E,設定!$C10,月別入力!$D:$D,設定!T$8,月別入力!$B:$B,設定!$B10)</f>
        <v>0</v>
      </c>
      <c r="U10" s="174">
        <f>SUMIFS(月別入力!$I:$I,月別入力!$E:$E,設定!$C10,月別入力!$D:$D,設定!U$8,月別入力!$B:$B,設定!$B10)</f>
        <v>0</v>
      </c>
      <c r="V10" s="174">
        <f>SUMIFS(月別入力!$I:$I,月別入力!$E:$E,設定!$C10,月別入力!$D:$D,設定!V$8,月別入力!$B:$B,設定!$B10)</f>
        <v>0</v>
      </c>
      <c r="W10" s="174">
        <f>SUMIFS(月別入力!$I:$I,月別入力!$E:$E,設定!$C10,月別入力!$D:$D,設定!W$8,月別入力!$B:$B,設定!$B10)</f>
        <v>0</v>
      </c>
      <c r="X10" s="62">
        <f>SUMIFS(月別入力!$I:$I,月別入力!$E:$E,設定!$C10,月別入力!$D:$D,設定!X$8,月別入力!$B:$B,設定!$B10)</f>
        <v>0</v>
      </c>
    </row>
    <row r="11" spans="2:30" s="6" customFormat="1" ht="15" customHeight="1" x14ac:dyDescent="0.2">
      <c r="B11" s="200" t="str">
        <f>B$10</f>
        <v>&lt;=12</v>
      </c>
      <c r="C11" s="63"/>
      <c r="D11" s="59"/>
      <c r="E11" s="64"/>
      <c r="F11" s="60"/>
      <c r="G11" s="65">
        <f t="shared" si="0"/>
        <v>0</v>
      </c>
      <c r="H11" s="64">
        <f>SUMIFS(月別入力!$I:$I,月別入力!$E:$E,設定!$C11,月別入力!$D:$D,設定!H$8,月別入力!$B:$B,設定!$B11)</f>
        <v>0</v>
      </c>
      <c r="I11" s="64">
        <f>SUMIFS(月別入力!$I:$I,月別入力!$E:$E,設定!$C11,月別入力!$D:$D,設定!I$8,月別入力!$B:$B,設定!$B11)</f>
        <v>0</v>
      </c>
      <c r="J11" s="64">
        <f>SUMIFS(月別入力!$I:$I,月別入力!$E:$E,設定!$C11,月別入力!$D:$D,設定!J$8,月別入力!$B:$B,設定!$B11)</f>
        <v>0</v>
      </c>
      <c r="K11" s="64">
        <f>SUMIFS(月別入力!$I:$I,月別入力!$E:$E,設定!$C11,月別入力!$D:$D,設定!K$8,月別入力!$B:$B,設定!$B11)</f>
        <v>0</v>
      </c>
      <c r="L11" s="64">
        <f>SUMIFS(月別入力!$I:$I,月別入力!$E:$E,設定!$C11,月別入力!$D:$D,設定!L$8,月別入力!$B:$B,設定!$B11)</f>
        <v>0</v>
      </c>
      <c r="M11" s="64">
        <f>SUMIFS(月別入力!$I:$I,月別入力!$E:$E,設定!$C11,月別入力!$D:$D,設定!M$8,月別入力!$B:$B,設定!$B11)</f>
        <v>0</v>
      </c>
      <c r="N11" s="64">
        <f>SUMIFS(月別入力!$I:$I,月別入力!$E:$E,設定!$C11,月別入力!$D:$D,設定!N$8,月別入力!$B:$B,設定!$B11)</f>
        <v>0</v>
      </c>
      <c r="O11" s="64">
        <f>SUMIFS(月別入力!$I:$I,月別入力!$E:$E,設定!$C11,月別入力!$D:$D,設定!O$8,月別入力!$B:$B,設定!$B11)</f>
        <v>0</v>
      </c>
      <c r="P11" s="64">
        <f>SUMIFS(月別入力!$I:$I,月別入力!$E:$E,設定!$C11,月別入力!$D:$D,設定!P$8,月別入力!$B:$B,設定!$B11)</f>
        <v>0</v>
      </c>
      <c r="Q11" s="64">
        <f>SUMIFS(月別入力!$I:$I,月別入力!$E:$E,設定!$C11,月別入力!$D:$D,設定!Q$8,月別入力!$B:$B,設定!$B11)</f>
        <v>0</v>
      </c>
      <c r="R11" s="64">
        <f>SUMIFS(月別入力!$I:$I,月別入力!$E:$E,設定!$C11,月別入力!$D:$D,設定!R$8,月別入力!$B:$B,設定!$B11)</f>
        <v>0</v>
      </c>
      <c r="S11" s="64">
        <f>SUMIFS(月別入力!$I:$I,月別入力!$E:$E,設定!$C11,月別入力!$D:$D,設定!S$8,月別入力!$B:$B,設定!$B11)</f>
        <v>0</v>
      </c>
      <c r="T11" s="64">
        <f>SUMIFS(月別入力!$I:$I,月別入力!$E:$E,設定!$C11,月別入力!$D:$D,設定!T$8,月別入力!$B:$B,設定!$B11)</f>
        <v>0</v>
      </c>
      <c r="U11" s="175">
        <f>SUMIFS(月別入力!$I:$I,月別入力!$E:$E,設定!$C11,月別入力!$D:$D,設定!U$8,月別入力!$B:$B,設定!$B11)</f>
        <v>0</v>
      </c>
      <c r="V11" s="175">
        <f>SUMIFS(月別入力!$I:$I,月別入力!$E:$E,設定!$C11,月別入力!$D:$D,設定!V$8,月別入力!$B:$B,設定!$B11)</f>
        <v>0</v>
      </c>
      <c r="W11" s="175">
        <f>SUMIFS(月別入力!$I:$I,月別入力!$E:$E,設定!$C11,月別入力!$D:$D,設定!W$8,月別入力!$B:$B,設定!$B11)</f>
        <v>0</v>
      </c>
      <c r="X11" s="66">
        <f>SUMIFS(月別入力!$I:$I,月別入力!$E:$E,設定!$C11,月別入力!$D:$D,設定!X$8,月別入力!$B:$B,設定!$B11)</f>
        <v>0</v>
      </c>
    </row>
    <row r="12" spans="2:30" s="6" customFormat="1" ht="15" customHeight="1" x14ac:dyDescent="0.2">
      <c r="B12" s="200" t="str">
        <f t="shared" ref="B12:B75" si="1">B$10</f>
        <v>&lt;=12</v>
      </c>
      <c r="C12" s="63"/>
      <c r="D12" s="59"/>
      <c r="E12" s="64"/>
      <c r="F12" s="60"/>
      <c r="G12" s="65">
        <f t="shared" si="0"/>
        <v>0</v>
      </c>
      <c r="H12" s="64">
        <f>SUMIFS(月別入力!$I:$I,月別入力!$E:$E,設定!$C12,月別入力!$D:$D,設定!H$8,月別入力!$B:$B,設定!$B12)</f>
        <v>0</v>
      </c>
      <c r="I12" s="64">
        <f>SUMIFS(月別入力!$I:$I,月別入力!$E:$E,設定!$C12,月別入力!$D:$D,設定!I$8,月別入力!$B:$B,設定!$B12)</f>
        <v>0</v>
      </c>
      <c r="J12" s="64">
        <f>SUMIFS(月別入力!$I:$I,月別入力!$E:$E,設定!$C12,月別入力!$D:$D,設定!J$8,月別入力!$B:$B,設定!$B12)</f>
        <v>0</v>
      </c>
      <c r="K12" s="64">
        <f>SUMIFS(月別入力!$I:$I,月別入力!$E:$E,設定!$C12,月別入力!$D:$D,設定!K$8,月別入力!$B:$B,設定!$B12)</f>
        <v>0</v>
      </c>
      <c r="L12" s="64">
        <f>SUMIFS(月別入力!$I:$I,月別入力!$E:$E,設定!$C12,月別入力!$D:$D,設定!L$8,月別入力!$B:$B,設定!$B12)</f>
        <v>0</v>
      </c>
      <c r="M12" s="64">
        <f>SUMIFS(月別入力!$I:$I,月別入力!$E:$E,設定!$C12,月別入力!$D:$D,設定!M$8,月別入力!$B:$B,設定!$B12)</f>
        <v>0</v>
      </c>
      <c r="N12" s="64">
        <f>SUMIFS(月別入力!$I:$I,月別入力!$E:$E,設定!$C12,月別入力!$D:$D,設定!N$8,月別入力!$B:$B,設定!$B12)</f>
        <v>0</v>
      </c>
      <c r="O12" s="64">
        <f>SUMIFS(月別入力!$I:$I,月別入力!$E:$E,設定!$C12,月別入力!$D:$D,設定!O$8,月別入力!$B:$B,設定!$B12)</f>
        <v>0</v>
      </c>
      <c r="P12" s="64">
        <f>SUMIFS(月別入力!$I:$I,月別入力!$E:$E,設定!$C12,月別入力!$D:$D,設定!P$8,月別入力!$B:$B,設定!$B12)</f>
        <v>0</v>
      </c>
      <c r="Q12" s="64">
        <f>SUMIFS(月別入力!$I:$I,月別入力!$E:$E,設定!$C12,月別入力!$D:$D,設定!Q$8,月別入力!$B:$B,設定!$B12)</f>
        <v>0</v>
      </c>
      <c r="R12" s="64">
        <f>SUMIFS(月別入力!$I:$I,月別入力!$E:$E,設定!$C12,月別入力!$D:$D,設定!R$8,月別入力!$B:$B,設定!$B12)</f>
        <v>0</v>
      </c>
      <c r="S12" s="64">
        <f>SUMIFS(月別入力!$I:$I,月別入力!$E:$E,設定!$C12,月別入力!$D:$D,設定!S$8,月別入力!$B:$B,設定!$B12)</f>
        <v>0</v>
      </c>
      <c r="T12" s="64">
        <f>SUMIFS(月別入力!$I:$I,月別入力!$E:$E,設定!$C12,月別入力!$D:$D,設定!T$8,月別入力!$B:$B,設定!$B12)</f>
        <v>0</v>
      </c>
      <c r="U12" s="175">
        <f>SUMIFS(月別入力!$I:$I,月別入力!$E:$E,設定!$C12,月別入力!$D:$D,設定!U$8,月別入力!$B:$B,設定!$B12)</f>
        <v>0</v>
      </c>
      <c r="V12" s="175">
        <f>SUMIFS(月別入力!$I:$I,月別入力!$E:$E,設定!$C12,月別入力!$D:$D,設定!V$8,月別入力!$B:$B,設定!$B12)</f>
        <v>0</v>
      </c>
      <c r="W12" s="175">
        <f>SUMIFS(月別入力!$I:$I,月別入力!$E:$E,設定!$C12,月別入力!$D:$D,設定!W$8,月別入力!$B:$B,設定!$B12)</f>
        <v>0</v>
      </c>
      <c r="X12" s="66">
        <f>SUMIFS(月別入力!$I:$I,月別入力!$E:$E,設定!$C12,月別入力!$D:$D,設定!X$8,月別入力!$B:$B,設定!$B12)</f>
        <v>0</v>
      </c>
    </row>
    <row r="13" spans="2:30" s="6" customFormat="1" ht="15" customHeight="1" x14ac:dyDescent="0.2">
      <c r="B13" s="200" t="str">
        <f t="shared" si="1"/>
        <v>&lt;=12</v>
      </c>
      <c r="C13" s="63"/>
      <c r="D13" s="59"/>
      <c r="E13" s="64"/>
      <c r="F13" s="60"/>
      <c r="G13" s="65">
        <f t="shared" si="0"/>
        <v>0</v>
      </c>
      <c r="H13" s="64">
        <f>SUMIFS(月別入力!$I:$I,月別入力!$E:$E,設定!$C13,月別入力!$D:$D,設定!H$8,月別入力!$B:$B,設定!$B13)</f>
        <v>0</v>
      </c>
      <c r="I13" s="64">
        <f>SUMIFS(月別入力!$I:$I,月別入力!$E:$E,設定!$C13,月別入力!$D:$D,設定!I$8,月別入力!$B:$B,設定!$B13)</f>
        <v>0</v>
      </c>
      <c r="J13" s="64">
        <f>SUMIFS(月別入力!$I:$I,月別入力!$E:$E,設定!$C13,月別入力!$D:$D,設定!J$8,月別入力!$B:$B,設定!$B13)</f>
        <v>0</v>
      </c>
      <c r="K13" s="64">
        <f>SUMIFS(月別入力!$I:$I,月別入力!$E:$E,設定!$C13,月別入力!$D:$D,設定!K$8,月別入力!$B:$B,設定!$B13)</f>
        <v>0</v>
      </c>
      <c r="L13" s="64">
        <f>SUMIFS(月別入力!$I:$I,月別入力!$E:$E,設定!$C13,月別入力!$D:$D,設定!L$8,月別入力!$B:$B,設定!$B13)</f>
        <v>0</v>
      </c>
      <c r="M13" s="64">
        <f>SUMIFS(月別入力!$I:$I,月別入力!$E:$E,設定!$C13,月別入力!$D:$D,設定!M$8,月別入力!$B:$B,設定!$B13)</f>
        <v>0</v>
      </c>
      <c r="N13" s="64">
        <f>SUMIFS(月別入力!$I:$I,月別入力!$E:$E,設定!$C13,月別入力!$D:$D,設定!N$8,月別入力!$B:$B,設定!$B13)</f>
        <v>0</v>
      </c>
      <c r="O13" s="64">
        <f>SUMIFS(月別入力!$I:$I,月別入力!$E:$E,設定!$C13,月別入力!$D:$D,設定!O$8,月別入力!$B:$B,設定!$B13)</f>
        <v>0</v>
      </c>
      <c r="P13" s="64">
        <f>SUMIFS(月別入力!$I:$I,月別入力!$E:$E,設定!$C13,月別入力!$D:$D,設定!P$8,月別入力!$B:$B,設定!$B13)</f>
        <v>0</v>
      </c>
      <c r="Q13" s="64">
        <f>SUMIFS(月別入力!$I:$I,月別入力!$E:$E,設定!$C13,月別入力!$D:$D,設定!Q$8,月別入力!$B:$B,設定!$B13)</f>
        <v>0</v>
      </c>
      <c r="R13" s="64">
        <f>SUMIFS(月別入力!$I:$I,月別入力!$E:$E,設定!$C13,月別入力!$D:$D,設定!R$8,月別入力!$B:$B,設定!$B13)</f>
        <v>0</v>
      </c>
      <c r="S13" s="64">
        <f>SUMIFS(月別入力!$I:$I,月別入力!$E:$E,設定!$C13,月別入力!$D:$D,設定!S$8,月別入力!$B:$B,設定!$B13)</f>
        <v>0</v>
      </c>
      <c r="T13" s="64">
        <f>SUMIFS(月別入力!$I:$I,月別入力!$E:$E,設定!$C13,月別入力!$D:$D,設定!T$8,月別入力!$B:$B,設定!$B13)</f>
        <v>0</v>
      </c>
      <c r="U13" s="175">
        <f>SUMIFS(月別入力!$I:$I,月別入力!$E:$E,設定!$C13,月別入力!$D:$D,設定!U$8,月別入力!$B:$B,設定!$B13)</f>
        <v>0</v>
      </c>
      <c r="V13" s="175">
        <f>SUMIFS(月別入力!$I:$I,月別入力!$E:$E,設定!$C13,月別入力!$D:$D,設定!V$8,月別入力!$B:$B,設定!$B13)</f>
        <v>0</v>
      </c>
      <c r="W13" s="175">
        <f>SUMIFS(月別入力!$I:$I,月別入力!$E:$E,設定!$C13,月別入力!$D:$D,設定!W$8,月別入力!$B:$B,設定!$B13)</f>
        <v>0</v>
      </c>
      <c r="X13" s="66">
        <f>SUMIFS(月別入力!$I:$I,月別入力!$E:$E,設定!$C13,月別入力!$D:$D,設定!X$8,月別入力!$B:$B,設定!$B13)</f>
        <v>0</v>
      </c>
    </row>
    <row r="14" spans="2:30" s="6" customFormat="1" ht="15" customHeight="1" x14ac:dyDescent="0.2">
      <c r="B14" s="200" t="str">
        <f t="shared" si="1"/>
        <v>&lt;=12</v>
      </c>
      <c r="C14" s="63"/>
      <c r="D14" s="59"/>
      <c r="E14" s="64"/>
      <c r="F14" s="60"/>
      <c r="G14" s="65">
        <f t="shared" si="0"/>
        <v>0</v>
      </c>
      <c r="H14" s="64">
        <f>SUMIFS(月別入力!$I:$I,月別入力!$E:$E,設定!$C14,月別入力!$D:$D,設定!H$8,月別入力!$B:$B,設定!$B14)</f>
        <v>0</v>
      </c>
      <c r="I14" s="64">
        <f>SUMIFS(月別入力!$I:$I,月別入力!$E:$E,設定!$C14,月別入力!$D:$D,設定!I$8,月別入力!$B:$B,設定!$B14)</f>
        <v>0</v>
      </c>
      <c r="J14" s="64">
        <f>SUMIFS(月別入力!$I:$I,月別入力!$E:$E,設定!$C14,月別入力!$D:$D,設定!J$8,月別入力!$B:$B,設定!$B14)</f>
        <v>0</v>
      </c>
      <c r="K14" s="64">
        <f>SUMIFS(月別入力!$I:$I,月別入力!$E:$E,設定!$C14,月別入力!$D:$D,設定!K$8,月別入力!$B:$B,設定!$B14)</f>
        <v>0</v>
      </c>
      <c r="L14" s="64">
        <f>SUMIFS(月別入力!$I:$I,月別入力!$E:$E,設定!$C14,月別入力!$D:$D,設定!L$8,月別入力!$B:$B,設定!$B14)</f>
        <v>0</v>
      </c>
      <c r="M14" s="64">
        <f>SUMIFS(月別入力!$I:$I,月別入力!$E:$E,設定!$C14,月別入力!$D:$D,設定!M$8,月別入力!$B:$B,設定!$B14)</f>
        <v>0</v>
      </c>
      <c r="N14" s="64">
        <f>SUMIFS(月別入力!$I:$I,月別入力!$E:$E,設定!$C14,月別入力!$D:$D,設定!N$8,月別入力!$B:$B,設定!$B14)</f>
        <v>0</v>
      </c>
      <c r="O14" s="64">
        <f>SUMIFS(月別入力!$I:$I,月別入力!$E:$E,設定!$C14,月別入力!$D:$D,設定!O$8,月別入力!$B:$B,設定!$B14)</f>
        <v>0</v>
      </c>
      <c r="P14" s="64">
        <f>SUMIFS(月別入力!$I:$I,月別入力!$E:$E,設定!$C14,月別入力!$D:$D,設定!P$8,月別入力!$B:$B,設定!$B14)</f>
        <v>0</v>
      </c>
      <c r="Q14" s="64">
        <f>SUMIFS(月別入力!$I:$I,月別入力!$E:$E,設定!$C14,月別入力!$D:$D,設定!Q$8,月別入力!$B:$B,設定!$B14)</f>
        <v>0</v>
      </c>
      <c r="R14" s="64">
        <f>SUMIFS(月別入力!$I:$I,月別入力!$E:$E,設定!$C14,月別入力!$D:$D,設定!R$8,月別入力!$B:$B,設定!$B14)</f>
        <v>0</v>
      </c>
      <c r="S14" s="64">
        <f>SUMIFS(月別入力!$I:$I,月別入力!$E:$E,設定!$C14,月別入力!$D:$D,設定!S$8,月別入力!$B:$B,設定!$B14)</f>
        <v>0</v>
      </c>
      <c r="T14" s="64">
        <f>SUMIFS(月別入力!$I:$I,月別入力!$E:$E,設定!$C14,月別入力!$D:$D,設定!T$8,月別入力!$B:$B,設定!$B14)</f>
        <v>0</v>
      </c>
      <c r="U14" s="175">
        <f>SUMIFS(月別入力!$I:$I,月別入力!$E:$E,設定!$C14,月別入力!$D:$D,設定!U$8,月別入力!$B:$B,設定!$B14)</f>
        <v>0</v>
      </c>
      <c r="V14" s="175">
        <f>SUMIFS(月別入力!$I:$I,月別入力!$E:$E,設定!$C14,月別入力!$D:$D,設定!V$8,月別入力!$B:$B,設定!$B14)</f>
        <v>0</v>
      </c>
      <c r="W14" s="175">
        <f>SUMIFS(月別入力!$I:$I,月別入力!$E:$E,設定!$C14,月別入力!$D:$D,設定!W$8,月別入力!$B:$B,設定!$B14)</f>
        <v>0</v>
      </c>
      <c r="X14" s="66">
        <f>SUMIFS(月別入力!$I:$I,月別入力!$E:$E,設定!$C14,月別入力!$D:$D,設定!X$8,月別入力!$B:$B,設定!$B14)</f>
        <v>0</v>
      </c>
    </row>
    <row r="15" spans="2:30" s="6" customFormat="1" ht="15" customHeight="1" x14ac:dyDescent="0.2">
      <c r="B15" s="201" t="str">
        <f t="shared" si="1"/>
        <v>&lt;=12</v>
      </c>
      <c r="C15" s="67"/>
      <c r="D15" s="68"/>
      <c r="E15" s="64"/>
      <c r="F15" s="60"/>
      <c r="G15" s="65">
        <f t="shared" si="0"/>
        <v>0</v>
      </c>
      <c r="H15" s="64">
        <f>SUMIFS(月別入力!$I:$I,月別入力!$E:$E,設定!$C15,月別入力!$D:$D,設定!H$8,月別入力!$B:$B,設定!$B15)</f>
        <v>0</v>
      </c>
      <c r="I15" s="64">
        <f>SUMIFS(月別入力!$I:$I,月別入力!$E:$E,設定!$C15,月別入力!$D:$D,設定!I$8,月別入力!$B:$B,設定!$B15)</f>
        <v>0</v>
      </c>
      <c r="J15" s="64">
        <f>SUMIFS(月別入力!$I:$I,月別入力!$E:$E,設定!$C15,月別入力!$D:$D,設定!J$8,月別入力!$B:$B,設定!$B15)</f>
        <v>0</v>
      </c>
      <c r="K15" s="64">
        <f>SUMIFS(月別入力!$I:$I,月別入力!$E:$E,設定!$C15,月別入力!$D:$D,設定!K$8,月別入力!$B:$B,設定!$B15)</f>
        <v>0</v>
      </c>
      <c r="L15" s="64">
        <f>SUMIFS(月別入力!$I:$I,月別入力!$E:$E,設定!$C15,月別入力!$D:$D,設定!L$8,月別入力!$B:$B,設定!$B15)</f>
        <v>0</v>
      </c>
      <c r="M15" s="64">
        <f>SUMIFS(月別入力!$I:$I,月別入力!$E:$E,設定!$C15,月別入力!$D:$D,設定!M$8,月別入力!$B:$B,設定!$B15)</f>
        <v>0</v>
      </c>
      <c r="N15" s="64">
        <f>SUMIFS(月別入力!$I:$I,月別入力!$E:$E,設定!$C15,月別入力!$D:$D,設定!N$8,月別入力!$B:$B,設定!$B15)</f>
        <v>0</v>
      </c>
      <c r="O15" s="64">
        <f>SUMIFS(月別入力!$I:$I,月別入力!$E:$E,設定!$C15,月別入力!$D:$D,設定!O$8,月別入力!$B:$B,設定!$B15)</f>
        <v>0</v>
      </c>
      <c r="P15" s="64">
        <f>SUMIFS(月別入力!$I:$I,月別入力!$E:$E,設定!$C15,月別入力!$D:$D,設定!P$8,月別入力!$B:$B,設定!$B15)</f>
        <v>0</v>
      </c>
      <c r="Q15" s="64">
        <f>SUMIFS(月別入力!$I:$I,月別入力!$E:$E,設定!$C15,月別入力!$D:$D,設定!Q$8,月別入力!$B:$B,設定!$B15)</f>
        <v>0</v>
      </c>
      <c r="R15" s="64">
        <f>SUMIFS(月別入力!$I:$I,月別入力!$E:$E,設定!$C15,月別入力!$D:$D,設定!R$8,月別入力!$B:$B,設定!$B15)</f>
        <v>0</v>
      </c>
      <c r="S15" s="64">
        <f>SUMIFS(月別入力!$I:$I,月別入力!$E:$E,設定!$C15,月別入力!$D:$D,設定!S$8,月別入力!$B:$B,設定!$B15)</f>
        <v>0</v>
      </c>
      <c r="T15" s="64">
        <f>SUMIFS(月別入力!$I:$I,月別入力!$E:$E,設定!$C15,月別入力!$D:$D,設定!T$8,月別入力!$B:$B,設定!$B15)</f>
        <v>0</v>
      </c>
      <c r="U15" s="175">
        <f>SUMIFS(月別入力!$I:$I,月別入力!$E:$E,設定!$C15,月別入力!$D:$D,設定!U$8,月別入力!$B:$B,設定!$B15)</f>
        <v>0</v>
      </c>
      <c r="V15" s="175">
        <f>SUMIFS(月別入力!$I:$I,月別入力!$E:$E,設定!$C15,月別入力!$D:$D,設定!V$8,月別入力!$B:$B,設定!$B15)</f>
        <v>0</v>
      </c>
      <c r="W15" s="175">
        <f>SUMIFS(月別入力!$I:$I,月別入力!$E:$E,設定!$C15,月別入力!$D:$D,設定!W$8,月別入力!$B:$B,設定!$B15)</f>
        <v>0</v>
      </c>
      <c r="X15" s="66">
        <f>SUMIFS(月別入力!$I:$I,月別入力!$E:$E,設定!$C15,月別入力!$D:$D,設定!X$8,月別入力!$B:$B,設定!$B15)</f>
        <v>0</v>
      </c>
    </row>
    <row r="16" spans="2:30" s="6" customFormat="1" ht="15" customHeight="1" x14ac:dyDescent="0.2">
      <c r="B16" s="201" t="str">
        <f t="shared" si="1"/>
        <v>&lt;=12</v>
      </c>
      <c r="C16" s="63"/>
      <c r="D16" s="68"/>
      <c r="E16" s="64"/>
      <c r="F16" s="69"/>
      <c r="G16" s="65">
        <f t="shared" si="0"/>
        <v>0</v>
      </c>
      <c r="H16" s="64">
        <f>SUMIFS(月別入力!$I:$I,月別入力!$E:$E,設定!$C16,月別入力!$D:$D,設定!H$8,月別入力!$B:$B,設定!$B16)</f>
        <v>0</v>
      </c>
      <c r="I16" s="64">
        <f>SUMIFS(月別入力!$I:$I,月別入力!$E:$E,設定!$C16,月別入力!$D:$D,設定!I$8,月別入力!$B:$B,設定!$B16)</f>
        <v>0</v>
      </c>
      <c r="J16" s="64">
        <f>SUMIFS(月別入力!$I:$I,月別入力!$E:$E,設定!$C16,月別入力!$D:$D,設定!J$8,月別入力!$B:$B,設定!$B16)</f>
        <v>0</v>
      </c>
      <c r="K16" s="64">
        <f>SUMIFS(月別入力!$I:$I,月別入力!$E:$E,設定!$C16,月別入力!$D:$D,設定!K$8,月別入力!$B:$B,設定!$B16)</f>
        <v>0</v>
      </c>
      <c r="L16" s="64">
        <f>SUMIFS(月別入力!$I:$I,月別入力!$E:$E,設定!$C16,月別入力!$D:$D,設定!L$8,月別入力!$B:$B,設定!$B16)</f>
        <v>0</v>
      </c>
      <c r="M16" s="64">
        <f>SUMIFS(月別入力!$I:$I,月別入力!$E:$E,設定!$C16,月別入力!$D:$D,設定!M$8,月別入力!$B:$B,設定!$B16)</f>
        <v>0</v>
      </c>
      <c r="N16" s="64">
        <f>SUMIFS(月別入力!$I:$I,月別入力!$E:$E,設定!$C16,月別入力!$D:$D,設定!N$8,月別入力!$B:$B,設定!$B16)</f>
        <v>0</v>
      </c>
      <c r="O16" s="64">
        <f>SUMIFS(月別入力!$I:$I,月別入力!$E:$E,設定!$C16,月別入力!$D:$D,設定!O$8,月別入力!$B:$B,設定!$B16)</f>
        <v>0</v>
      </c>
      <c r="P16" s="64">
        <f>SUMIFS(月別入力!$I:$I,月別入力!$E:$E,設定!$C16,月別入力!$D:$D,設定!P$8,月別入力!$B:$B,設定!$B16)</f>
        <v>0</v>
      </c>
      <c r="Q16" s="64">
        <f>SUMIFS(月別入力!$I:$I,月別入力!$E:$E,設定!$C16,月別入力!$D:$D,設定!Q$8,月別入力!$B:$B,設定!$B16)</f>
        <v>0</v>
      </c>
      <c r="R16" s="64">
        <f>SUMIFS(月別入力!$I:$I,月別入力!$E:$E,設定!$C16,月別入力!$D:$D,設定!R$8,月別入力!$B:$B,設定!$B16)</f>
        <v>0</v>
      </c>
      <c r="S16" s="64">
        <f>SUMIFS(月別入力!$I:$I,月別入力!$E:$E,設定!$C16,月別入力!$D:$D,設定!S$8,月別入力!$B:$B,設定!$B16)</f>
        <v>0</v>
      </c>
      <c r="T16" s="64">
        <f>SUMIFS(月別入力!$I:$I,月別入力!$E:$E,設定!$C16,月別入力!$D:$D,設定!T$8,月別入力!$B:$B,設定!$B16)</f>
        <v>0</v>
      </c>
      <c r="U16" s="175">
        <f>SUMIFS(月別入力!$I:$I,月別入力!$E:$E,設定!$C16,月別入力!$D:$D,設定!U$8,月別入力!$B:$B,設定!$B16)</f>
        <v>0</v>
      </c>
      <c r="V16" s="175">
        <f>SUMIFS(月別入力!$I:$I,月別入力!$E:$E,設定!$C16,月別入力!$D:$D,設定!V$8,月別入力!$B:$B,設定!$B16)</f>
        <v>0</v>
      </c>
      <c r="W16" s="175">
        <f>SUMIFS(月別入力!$I:$I,月別入力!$E:$E,設定!$C16,月別入力!$D:$D,設定!W$8,月別入力!$B:$B,設定!$B16)</f>
        <v>0</v>
      </c>
      <c r="X16" s="66">
        <f>SUMIFS(月別入力!$I:$I,月別入力!$E:$E,設定!$C16,月別入力!$D:$D,設定!X$8,月別入力!$B:$B,設定!$B16)</f>
        <v>0</v>
      </c>
    </row>
    <row r="17" spans="2:24" s="6" customFormat="1" ht="15" customHeight="1" x14ac:dyDescent="0.2">
      <c r="B17" s="201" t="str">
        <f t="shared" si="1"/>
        <v>&lt;=12</v>
      </c>
      <c r="C17" s="67"/>
      <c r="D17" s="68"/>
      <c r="E17" s="64"/>
      <c r="F17" s="69"/>
      <c r="G17" s="65">
        <f t="shared" si="0"/>
        <v>0</v>
      </c>
      <c r="H17" s="64">
        <f>SUMIFS(月別入力!$I:$I,月別入力!$E:$E,設定!$C17,月別入力!$D:$D,設定!H$8,月別入力!$B:$B,設定!$B17)</f>
        <v>0</v>
      </c>
      <c r="I17" s="64">
        <f>SUMIFS(月別入力!$I:$I,月別入力!$E:$E,設定!$C17,月別入力!$D:$D,設定!I$8,月別入力!$B:$B,設定!$B17)</f>
        <v>0</v>
      </c>
      <c r="J17" s="64">
        <f>SUMIFS(月別入力!$I:$I,月別入力!$E:$E,設定!$C17,月別入力!$D:$D,設定!J$8,月別入力!$B:$B,設定!$B17)</f>
        <v>0</v>
      </c>
      <c r="K17" s="64">
        <f>SUMIFS(月別入力!$I:$I,月別入力!$E:$E,設定!$C17,月別入力!$D:$D,設定!K$8,月別入力!$B:$B,設定!$B17)</f>
        <v>0</v>
      </c>
      <c r="L17" s="64">
        <f>SUMIFS(月別入力!$I:$I,月別入力!$E:$E,設定!$C17,月別入力!$D:$D,設定!L$8,月別入力!$B:$B,設定!$B17)</f>
        <v>0</v>
      </c>
      <c r="M17" s="64">
        <f>SUMIFS(月別入力!$I:$I,月別入力!$E:$E,設定!$C17,月別入力!$D:$D,設定!M$8,月別入力!$B:$B,設定!$B17)</f>
        <v>0</v>
      </c>
      <c r="N17" s="64">
        <f>SUMIFS(月別入力!$I:$I,月別入力!$E:$E,設定!$C17,月別入力!$D:$D,設定!N$8,月別入力!$B:$B,設定!$B17)</f>
        <v>0</v>
      </c>
      <c r="O17" s="64">
        <f>SUMIFS(月別入力!$I:$I,月別入力!$E:$E,設定!$C17,月別入力!$D:$D,設定!O$8,月別入力!$B:$B,設定!$B17)</f>
        <v>0</v>
      </c>
      <c r="P17" s="64">
        <f>SUMIFS(月別入力!$I:$I,月別入力!$E:$E,設定!$C17,月別入力!$D:$D,設定!P$8,月別入力!$B:$B,設定!$B17)</f>
        <v>0</v>
      </c>
      <c r="Q17" s="64">
        <f>SUMIFS(月別入力!$I:$I,月別入力!$E:$E,設定!$C17,月別入力!$D:$D,設定!Q$8,月別入力!$B:$B,設定!$B17)</f>
        <v>0</v>
      </c>
      <c r="R17" s="64">
        <f>SUMIFS(月別入力!$I:$I,月別入力!$E:$E,設定!$C17,月別入力!$D:$D,設定!R$8,月別入力!$B:$B,設定!$B17)</f>
        <v>0</v>
      </c>
      <c r="S17" s="64">
        <f>SUMIFS(月別入力!$I:$I,月別入力!$E:$E,設定!$C17,月別入力!$D:$D,設定!S$8,月別入力!$B:$B,設定!$B17)</f>
        <v>0</v>
      </c>
      <c r="T17" s="64">
        <f>SUMIFS(月別入力!$I:$I,月別入力!$E:$E,設定!$C17,月別入力!$D:$D,設定!T$8,月別入力!$B:$B,設定!$B17)</f>
        <v>0</v>
      </c>
      <c r="U17" s="175">
        <f>SUMIFS(月別入力!$I:$I,月別入力!$E:$E,設定!$C17,月別入力!$D:$D,設定!U$8,月別入力!$B:$B,設定!$B17)</f>
        <v>0</v>
      </c>
      <c r="V17" s="175">
        <f>SUMIFS(月別入力!$I:$I,月別入力!$E:$E,設定!$C17,月別入力!$D:$D,設定!V$8,月別入力!$B:$B,設定!$B17)</f>
        <v>0</v>
      </c>
      <c r="W17" s="175">
        <f>SUMIFS(月別入力!$I:$I,月別入力!$E:$E,設定!$C17,月別入力!$D:$D,設定!W$8,月別入力!$B:$B,設定!$B17)</f>
        <v>0</v>
      </c>
      <c r="X17" s="66">
        <f>SUMIFS(月別入力!$I:$I,月別入力!$E:$E,設定!$C17,月別入力!$D:$D,設定!X$8,月別入力!$B:$B,設定!$B17)</f>
        <v>0</v>
      </c>
    </row>
    <row r="18" spans="2:24" s="6" customFormat="1" ht="15" customHeight="1" x14ac:dyDescent="0.2">
      <c r="B18" s="201" t="str">
        <f t="shared" si="1"/>
        <v>&lt;=12</v>
      </c>
      <c r="C18" s="67"/>
      <c r="D18" s="68"/>
      <c r="E18" s="64"/>
      <c r="F18" s="69"/>
      <c r="G18" s="65">
        <f t="shared" si="0"/>
        <v>0</v>
      </c>
      <c r="H18" s="64">
        <f>SUMIFS(月別入力!$I:$I,月別入力!$E:$E,設定!$C18,月別入力!$D:$D,設定!H$8,月別入力!$B:$B,設定!$B18)</f>
        <v>0</v>
      </c>
      <c r="I18" s="64">
        <f>SUMIFS(月別入力!$I:$I,月別入力!$E:$E,設定!$C18,月別入力!$D:$D,設定!I$8,月別入力!$B:$B,設定!$B18)</f>
        <v>0</v>
      </c>
      <c r="J18" s="64">
        <f>SUMIFS(月別入力!$I:$I,月別入力!$E:$E,設定!$C18,月別入力!$D:$D,設定!J$8,月別入力!$B:$B,設定!$B18)</f>
        <v>0</v>
      </c>
      <c r="K18" s="64">
        <f>SUMIFS(月別入力!$I:$I,月別入力!$E:$E,設定!$C18,月別入力!$D:$D,設定!K$8,月別入力!$B:$B,設定!$B18)</f>
        <v>0</v>
      </c>
      <c r="L18" s="64">
        <f>SUMIFS(月別入力!$I:$I,月別入力!$E:$E,設定!$C18,月別入力!$D:$D,設定!L$8,月別入力!$B:$B,設定!$B18)</f>
        <v>0</v>
      </c>
      <c r="M18" s="64">
        <f>SUMIFS(月別入力!$I:$I,月別入力!$E:$E,設定!$C18,月別入力!$D:$D,設定!M$8,月別入力!$B:$B,設定!$B18)</f>
        <v>0</v>
      </c>
      <c r="N18" s="64">
        <f>SUMIFS(月別入力!$I:$I,月別入力!$E:$E,設定!$C18,月別入力!$D:$D,設定!N$8,月別入力!$B:$B,設定!$B18)</f>
        <v>0</v>
      </c>
      <c r="O18" s="64">
        <f>SUMIFS(月別入力!$I:$I,月別入力!$E:$E,設定!$C18,月別入力!$D:$D,設定!O$8,月別入力!$B:$B,設定!$B18)</f>
        <v>0</v>
      </c>
      <c r="P18" s="64">
        <f>SUMIFS(月別入力!$I:$I,月別入力!$E:$E,設定!$C18,月別入力!$D:$D,設定!P$8,月別入力!$B:$B,設定!$B18)</f>
        <v>0</v>
      </c>
      <c r="Q18" s="64">
        <f>SUMIFS(月別入力!$I:$I,月別入力!$E:$E,設定!$C18,月別入力!$D:$D,設定!Q$8,月別入力!$B:$B,設定!$B18)</f>
        <v>0</v>
      </c>
      <c r="R18" s="64">
        <f>SUMIFS(月別入力!$I:$I,月別入力!$E:$E,設定!$C18,月別入力!$D:$D,設定!R$8,月別入力!$B:$B,設定!$B18)</f>
        <v>0</v>
      </c>
      <c r="S18" s="64">
        <f>SUMIFS(月別入力!$I:$I,月別入力!$E:$E,設定!$C18,月別入力!$D:$D,設定!S$8,月別入力!$B:$B,設定!$B18)</f>
        <v>0</v>
      </c>
      <c r="T18" s="64">
        <f>SUMIFS(月別入力!$I:$I,月別入力!$E:$E,設定!$C18,月別入力!$D:$D,設定!T$8,月別入力!$B:$B,設定!$B18)</f>
        <v>0</v>
      </c>
      <c r="U18" s="175">
        <f>SUMIFS(月別入力!$I:$I,月別入力!$E:$E,設定!$C18,月別入力!$D:$D,設定!U$8,月別入力!$B:$B,設定!$B18)</f>
        <v>0</v>
      </c>
      <c r="V18" s="175">
        <f>SUMIFS(月別入力!$I:$I,月別入力!$E:$E,設定!$C18,月別入力!$D:$D,設定!V$8,月別入力!$B:$B,設定!$B18)</f>
        <v>0</v>
      </c>
      <c r="W18" s="175">
        <f>SUMIFS(月別入力!$I:$I,月別入力!$E:$E,設定!$C18,月別入力!$D:$D,設定!W$8,月別入力!$B:$B,設定!$B18)</f>
        <v>0</v>
      </c>
      <c r="X18" s="66">
        <f>SUMIFS(月別入力!$I:$I,月別入力!$E:$E,設定!$C18,月別入力!$D:$D,設定!X$8,月別入力!$B:$B,設定!$B18)</f>
        <v>0</v>
      </c>
    </row>
    <row r="19" spans="2:24" s="6" customFormat="1" ht="15" customHeight="1" x14ac:dyDescent="0.2">
      <c r="B19" s="201" t="str">
        <f t="shared" si="1"/>
        <v>&lt;=12</v>
      </c>
      <c r="C19" s="67"/>
      <c r="D19" s="68"/>
      <c r="E19" s="64"/>
      <c r="F19" s="69"/>
      <c r="G19" s="65">
        <f t="shared" si="0"/>
        <v>0</v>
      </c>
      <c r="H19" s="64">
        <f>SUMIFS(月別入力!$I:$I,月別入力!$E:$E,設定!$C19,月別入力!$D:$D,設定!H$8,月別入力!$B:$B,設定!$B19)</f>
        <v>0</v>
      </c>
      <c r="I19" s="64">
        <f>SUMIFS(月別入力!$I:$I,月別入力!$E:$E,設定!$C19,月別入力!$D:$D,設定!I$8,月別入力!$B:$B,設定!$B19)</f>
        <v>0</v>
      </c>
      <c r="J19" s="64">
        <f>SUMIFS(月別入力!$I:$I,月別入力!$E:$E,設定!$C19,月別入力!$D:$D,設定!J$8,月別入力!$B:$B,設定!$B19)</f>
        <v>0</v>
      </c>
      <c r="K19" s="64">
        <f>SUMIFS(月別入力!$I:$I,月別入力!$E:$E,設定!$C19,月別入力!$D:$D,設定!K$8,月別入力!$B:$B,設定!$B19)</f>
        <v>0</v>
      </c>
      <c r="L19" s="64">
        <f>SUMIFS(月別入力!$I:$I,月別入力!$E:$E,設定!$C19,月別入力!$D:$D,設定!L$8,月別入力!$B:$B,設定!$B19)</f>
        <v>0</v>
      </c>
      <c r="M19" s="64">
        <f>SUMIFS(月別入力!$I:$I,月別入力!$E:$E,設定!$C19,月別入力!$D:$D,設定!M$8,月別入力!$B:$B,設定!$B19)</f>
        <v>0</v>
      </c>
      <c r="N19" s="64">
        <f>SUMIFS(月別入力!$I:$I,月別入力!$E:$E,設定!$C19,月別入力!$D:$D,設定!N$8,月別入力!$B:$B,設定!$B19)</f>
        <v>0</v>
      </c>
      <c r="O19" s="64">
        <f>SUMIFS(月別入力!$I:$I,月別入力!$E:$E,設定!$C19,月別入力!$D:$D,設定!O$8,月別入力!$B:$B,設定!$B19)</f>
        <v>0</v>
      </c>
      <c r="P19" s="64">
        <f>SUMIFS(月別入力!$I:$I,月別入力!$E:$E,設定!$C19,月別入力!$D:$D,設定!P$8,月別入力!$B:$B,設定!$B19)</f>
        <v>0</v>
      </c>
      <c r="Q19" s="64">
        <f>SUMIFS(月別入力!$I:$I,月別入力!$E:$E,設定!$C19,月別入力!$D:$D,設定!Q$8,月別入力!$B:$B,設定!$B19)</f>
        <v>0</v>
      </c>
      <c r="R19" s="64">
        <f>SUMIFS(月別入力!$I:$I,月別入力!$E:$E,設定!$C19,月別入力!$D:$D,設定!R$8,月別入力!$B:$B,設定!$B19)</f>
        <v>0</v>
      </c>
      <c r="S19" s="64">
        <f>SUMIFS(月別入力!$I:$I,月別入力!$E:$E,設定!$C19,月別入力!$D:$D,設定!S$8,月別入力!$B:$B,設定!$B19)</f>
        <v>0</v>
      </c>
      <c r="T19" s="64">
        <f>SUMIFS(月別入力!$I:$I,月別入力!$E:$E,設定!$C19,月別入力!$D:$D,設定!T$8,月別入力!$B:$B,設定!$B19)</f>
        <v>0</v>
      </c>
      <c r="U19" s="175">
        <f>SUMIFS(月別入力!$I:$I,月別入力!$E:$E,設定!$C19,月別入力!$D:$D,設定!U$8,月別入力!$B:$B,設定!$B19)</f>
        <v>0</v>
      </c>
      <c r="V19" s="175">
        <f>SUMIFS(月別入力!$I:$I,月別入力!$E:$E,設定!$C19,月別入力!$D:$D,設定!V$8,月別入力!$B:$B,設定!$B19)</f>
        <v>0</v>
      </c>
      <c r="W19" s="175">
        <f>SUMIFS(月別入力!$I:$I,月別入力!$E:$E,設定!$C19,月別入力!$D:$D,設定!W$8,月別入力!$B:$B,設定!$B19)</f>
        <v>0</v>
      </c>
      <c r="X19" s="66">
        <f>SUMIFS(月別入力!$I:$I,月別入力!$E:$E,設定!$C19,月別入力!$D:$D,設定!X$8,月別入力!$B:$B,設定!$B19)</f>
        <v>0</v>
      </c>
    </row>
    <row r="20" spans="2:24" s="6" customFormat="1" ht="15" customHeight="1" x14ac:dyDescent="0.2">
      <c r="B20" s="201" t="str">
        <f t="shared" si="1"/>
        <v>&lt;=12</v>
      </c>
      <c r="C20" s="67"/>
      <c r="D20" s="68"/>
      <c r="E20" s="64"/>
      <c r="F20" s="69"/>
      <c r="G20" s="65">
        <f t="shared" si="0"/>
        <v>0</v>
      </c>
      <c r="H20" s="64">
        <f>SUMIFS(月別入力!$I:$I,月別入力!$E:$E,設定!$C20,月別入力!$D:$D,設定!H$8,月別入力!$B:$B,設定!$B20)</f>
        <v>0</v>
      </c>
      <c r="I20" s="64">
        <f>SUMIFS(月別入力!$I:$I,月別入力!$E:$E,設定!$C20,月別入力!$D:$D,設定!I$8,月別入力!$B:$B,設定!$B20)</f>
        <v>0</v>
      </c>
      <c r="J20" s="64">
        <f>SUMIFS(月別入力!$I:$I,月別入力!$E:$E,設定!$C20,月別入力!$D:$D,設定!J$8,月別入力!$B:$B,設定!$B20)</f>
        <v>0</v>
      </c>
      <c r="K20" s="64">
        <f>SUMIFS(月別入力!$I:$I,月別入力!$E:$E,設定!$C20,月別入力!$D:$D,設定!K$8,月別入力!$B:$B,設定!$B20)</f>
        <v>0</v>
      </c>
      <c r="L20" s="64">
        <f>SUMIFS(月別入力!$I:$I,月別入力!$E:$E,設定!$C20,月別入力!$D:$D,設定!L$8,月別入力!$B:$B,設定!$B20)</f>
        <v>0</v>
      </c>
      <c r="M20" s="64">
        <f>SUMIFS(月別入力!$I:$I,月別入力!$E:$E,設定!$C20,月別入力!$D:$D,設定!M$8,月別入力!$B:$B,設定!$B20)</f>
        <v>0</v>
      </c>
      <c r="N20" s="64">
        <f>SUMIFS(月別入力!$I:$I,月別入力!$E:$E,設定!$C20,月別入力!$D:$D,設定!N$8,月別入力!$B:$B,設定!$B20)</f>
        <v>0</v>
      </c>
      <c r="O20" s="64">
        <f>SUMIFS(月別入力!$I:$I,月別入力!$E:$E,設定!$C20,月別入力!$D:$D,設定!O$8,月別入力!$B:$B,設定!$B20)</f>
        <v>0</v>
      </c>
      <c r="P20" s="64">
        <f>SUMIFS(月別入力!$I:$I,月別入力!$E:$E,設定!$C20,月別入力!$D:$D,設定!P$8,月別入力!$B:$B,設定!$B20)</f>
        <v>0</v>
      </c>
      <c r="Q20" s="64">
        <f>SUMIFS(月別入力!$I:$I,月別入力!$E:$E,設定!$C20,月別入力!$D:$D,設定!Q$8,月別入力!$B:$B,設定!$B20)</f>
        <v>0</v>
      </c>
      <c r="R20" s="64">
        <f>SUMIFS(月別入力!$I:$I,月別入力!$E:$E,設定!$C20,月別入力!$D:$D,設定!R$8,月別入力!$B:$B,設定!$B20)</f>
        <v>0</v>
      </c>
      <c r="S20" s="64">
        <f>SUMIFS(月別入力!$I:$I,月別入力!$E:$E,設定!$C20,月別入力!$D:$D,設定!S$8,月別入力!$B:$B,設定!$B20)</f>
        <v>0</v>
      </c>
      <c r="T20" s="64">
        <f>SUMIFS(月別入力!$I:$I,月別入力!$E:$E,設定!$C20,月別入力!$D:$D,設定!T$8,月別入力!$B:$B,設定!$B20)</f>
        <v>0</v>
      </c>
      <c r="U20" s="175">
        <f>SUMIFS(月別入力!$I:$I,月別入力!$E:$E,設定!$C20,月別入力!$D:$D,設定!U$8,月別入力!$B:$B,設定!$B20)</f>
        <v>0</v>
      </c>
      <c r="V20" s="175">
        <f>SUMIFS(月別入力!$I:$I,月別入力!$E:$E,設定!$C20,月別入力!$D:$D,設定!V$8,月別入力!$B:$B,設定!$B20)</f>
        <v>0</v>
      </c>
      <c r="W20" s="175">
        <f>SUMIFS(月別入力!$I:$I,月別入力!$E:$E,設定!$C20,月別入力!$D:$D,設定!W$8,月別入力!$B:$B,設定!$B20)</f>
        <v>0</v>
      </c>
      <c r="X20" s="66">
        <f>SUMIFS(月別入力!$I:$I,月別入力!$E:$E,設定!$C20,月別入力!$D:$D,設定!X$8,月別入力!$B:$B,設定!$B20)</f>
        <v>0</v>
      </c>
    </row>
    <row r="21" spans="2:24" s="6" customFormat="1" ht="15" customHeight="1" x14ac:dyDescent="0.2">
      <c r="B21" s="201" t="str">
        <f t="shared" si="1"/>
        <v>&lt;=12</v>
      </c>
      <c r="C21" s="67"/>
      <c r="D21" s="68"/>
      <c r="E21" s="64"/>
      <c r="F21" s="69"/>
      <c r="G21" s="65">
        <f t="shared" si="0"/>
        <v>0</v>
      </c>
      <c r="H21" s="64">
        <f>SUMIFS(月別入力!$I:$I,月別入力!$E:$E,設定!$C21,月別入力!$D:$D,設定!H$8,月別入力!$B:$B,設定!$B21)</f>
        <v>0</v>
      </c>
      <c r="I21" s="64">
        <f>SUMIFS(月別入力!$I:$I,月別入力!$E:$E,設定!$C21,月別入力!$D:$D,設定!I$8,月別入力!$B:$B,設定!$B21)</f>
        <v>0</v>
      </c>
      <c r="J21" s="64">
        <f>SUMIFS(月別入力!$I:$I,月別入力!$E:$E,設定!$C21,月別入力!$D:$D,設定!J$8,月別入力!$B:$B,設定!$B21)</f>
        <v>0</v>
      </c>
      <c r="K21" s="64">
        <f>SUMIFS(月別入力!$I:$I,月別入力!$E:$E,設定!$C21,月別入力!$D:$D,設定!K$8,月別入力!$B:$B,設定!$B21)</f>
        <v>0</v>
      </c>
      <c r="L21" s="64">
        <f>SUMIFS(月別入力!$I:$I,月別入力!$E:$E,設定!$C21,月別入力!$D:$D,設定!L$8,月別入力!$B:$B,設定!$B21)</f>
        <v>0</v>
      </c>
      <c r="M21" s="64">
        <f>SUMIFS(月別入力!$I:$I,月別入力!$E:$E,設定!$C21,月別入力!$D:$D,設定!M$8,月別入力!$B:$B,設定!$B21)</f>
        <v>0</v>
      </c>
      <c r="N21" s="64">
        <f>SUMIFS(月別入力!$I:$I,月別入力!$E:$E,設定!$C21,月別入力!$D:$D,設定!N$8,月別入力!$B:$B,設定!$B21)</f>
        <v>0</v>
      </c>
      <c r="O21" s="64">
        <f>SUMIFS(月別入力!$I:$I,月別入力!$E:$E,設定!$C21,月別入力!$D:$D,設定!O$8,月別入力!$B:$B,設定!$B21)</f>
        <v>0</v>
      </c>
      <c r="P21" s="64">
        <f>SUMIFS(月別入力!$I:$I,月別入力!$E:$E,設定!$C21,月別入力!$D:$D,設定!P$8,月別入力!$B:$B,設定!$B21)</f>
        <v>0</v>
      </c>
      <c r="Q21" s="64">
        <f>SUMIFS(月別入力!$I:$I,月別入力!$E:$E,設定!$C21,月別入力!$D:$D,設定!Q$8,月別入力!$B:$B,設定!$B21)</f>
        <v>0</v>
      </c>
      <c r="R21" s="64">
        <f>SUMIFS(月別入力!$I:$I,月別入力!$E:$E,設定!$C21,月別入力!$D:$D,設定!R$8,月別入力!$B:$B,設定!$B21)</f>
        <v>0</v>
      </c>
      <c r="S21" s="64">
        <f>SUMIFS(月別入力!$I:$I,月別入力!$E:$E,設定!$C21,月別入力!$D:$D,設定!S$8,月別入力!$B:$B,設定!$B21)</f>
        <v>0</v>
      </c>
      <c r="T21" s="64">
        <f>SUMIFS(月別入力!$I:$I,月別入力!$E:$E,設定!$C21,月別入力!$D:$D,設定!T$8,月別入力!$B:$B,設定!$B21)</f>
        <v>0</v>
      </c>
      <c r="U21" s="175">
        <f>SUMIFS(月別入力!$I:$I,月別入力!$E:$E,設定!$C21,月別入力!$D:$D,設定!U$8,月別入力!$B:$B,設定!$B21)</f>
        <v>0</v>
      </c>
      <c r="V21" s="175">
        <f>SUMIFS(月別入力!$I:$I,月別入力!$E:$E,設定!$C21,月別入力!$D:$D,設定!V$8,月別入力!$B:$B,設定!$B21)</f>
        <v>0</v>
      </c>
      <c r="W21" s="175">
        <f>SUMIFS(月別入力!$I:$I,月別入力!$E:$E,設定!$C21,月別入力!$D:$D,設定!W$8,月別入力!$B:$B,設定!$B21)</f>
        <v>0</v>
      </c>
      <c r="X21" s="66">
        <f>SUMIFS(月別入力!$I:$I,月別入力!$E:$E,設定!$C21,月別入力!$D:$D,設定!X$8,月別入力!$B:$B,設定!$B21)</f>
        <v>0</v>
      </c>
    </row>
    <row r="22" spans="2:24" s="6" customFormat="1" ht="15" customHeight="1" x14ac:dyDescent="0.2">
      <c r="B22" s="201" t="str">
        <f t="shared" si="1"/>
        <v>&lt;=12</v>
      </c>
      <c r="C22" s="67"/>
      <c r="D22" s="68"/>
      <c r="E22" s="64"/>
      <c r="F22" s="69"/>
      <c r="G22" s="65">
        <f t="shared" si="0"/>
        <v>0</v>
      </c>
      <c r="H22" s="64">
        <f>SUMIFS(月別入力!$I:$I,月別入力!$E:$E,設定!$C22,月別入力!$D:$D,設定!H$8,月別入力!$B:$B,設定!$B22)</f>
        <v>0</v>
      </c>
      <c r="I22" s="64">
        <f>SUMIFS(月別入力!$I:$I,月別入力!$E:$E,設定!$C22,月別入力!$D:$D,設定!I$8,月別入力!$B:$B,設定!$B22)</f>
        <v>0</v>
      </c>
      <c r="J22" s="64">
        <f>SUMIFS(月別入力!$I:$I,月別入力!$E:$E,設定!$C22,月別入力!$D:$D,設定!J$8,月別入力!$B:$B,設定!$B22)</f>
        <v>0</v>
      </c>
      <c r="K22" s="64">
        <f>SUMIFS(月別入力!$I:$I,月別入力!$E:$E,設定!$C22,月別入力!$D:$D,設定!K$8,月別入力!$B:$B,設定!$B22)</f>
        <v>0</v>
      </c>
      <c r="L22" s="64">
        <f>SUMIFS(月別入力!$I:$I,月別入力!$E:$E,設定!$C22,月別入力!$D:$D,設定!L$8,月別入力!$B:$B,設定!$B22)</f>
        <v>0</v>
      </c>
      <c r="M22" s="64">
        <f>SUMIFS(月別入力!$I:$I,月別入力!$E:$E,設定!$C22,月別入力!$D:$D,設定!M$8,月別入力!$B:$B,設定!$B22)</f>
        <v>0</v>
      </c>
      <c r="N22" s="64">
        <f>SUMIFS(月別入力!$I:$I,月別入力!$E:$E,設定!$C22,月別入力!$D:$D,設定!N$8,月別入力!$B:$B,設定!$B22)</f>
        <v>0</v>
      </c>
      <c r="O22" s="64">
        <f>SUMIFS(月別入力!$I:$I,月別入力!$E:$E,設定!$C22,月別入力!$D:$D,設定!O$8,月別入力!$B:$B,設定!$B22)</f>
        <v>0</v>
      </c>
      <c r="P22" s="64">
        <f>SUMIFS(月別入力!$I:$I,月別入力!$E:$E,設定!$C22,月別入力!$D:$D,設定!P$8,月別入力!$B:$B,設定!$B22)</f>
        <v>0</v>
      </c>
      <c r="Q22" s="64">
        <f>SUMIFS(月別入力!$I:$I,月別入力!$E:$E,設定!$C22,月別入力!$D:$D,設定!Q$8,月別入力!$B:$B,設定!$B22)</f>
        <v>0</v>
      </c>
      <c r="R22" s="64">
        <f>SUMIFS(月別入力!$I:$I,月別入力!$E:$E,設定!$C22,月別入力!$D:$D,設定!R$8,月別入力!$B:$B,設定!$B22)</f>
        <v>0</v>
      </c>
      <c r="S22" s="64">
        <f>SUMIFS(月別入力!$I:$I,月別入力!$E:$E,設定!$C22,月別入力!$D:$D,設定!S$8,月別入力!$B:$B,設定!$B22)</f>
        <v>0</v>
      </c>
      <c r="T22" s="64">
        <f>SUMIFS(月別入力!$I:$I,月別入力!$E:$E,設定!$C22,月別入力!$D:$D,設定!T$8,月別入力!$B:$B,設定!$B22)</f>
        <v>0</v>
      </c>
      <c r="U22" s="175">
        <f>SUMIFS(月別入力!$I:$I,月別入力!$E:$E,設定!$C22,月別入力!$D:$D,設定!U$8,月別入力!$B:$B,設定!$B22)</f>
        <v>0</v>
      </c>
      <c r="V22" s="175">
        <f>SUMIFS(月別入力!$I:$I,月別入力!$E:$E,設定!$C22,月別入力!$D:$D,設定!V$8,月別入力!$B:$B,設定!$B22)</f>
        <v>0</v>
      </c>
      <c r="W22" s="175">
        <f>SUMIFS(月別入力!$I:$I,月別入力!$E:$E,設定!$C22,月別入力!$D:$D,設定!W$8,月別入力!$B:$B,設定!$B22)</f>
        <v>0</v>
      </c>
      <c r="X22" s="66">
        <f>SUMIFS(月別入力!$I:$I,月別入力!$E:$E,設定!$C22,月別入力!$D:$D,設定!X$8,月別入力!$B:$B,設定!$B22)</f>
        <v>0</v>
      </c>
    </row>
    <row r="23" spans="2:24" s="6" customFormat="1" ht="15" customHeight="1" x14ac:dyDescent="0.2">
      <c r="B23" s="201" t="str">
        <f t="shared" si="1"/>
        <v>&lt;=12</v>
      </c>
      <c r="C23" s="67"/>
      <c r="D23" s="68"/>
      <c r="E23" s="64"/>
      <c r="F23" s="69"/>
      <c r="G23" s="65">
        <f t="shared" si="0"/>
        <v>0</v>
      </c>
      <c r="H23" s="64">
        <f>SUMIFS(月別入力!$I:$I,月別入力!$E:$E,設定!$C23,月別入力!$D:$D,設定!H$8,月別入力!$B:$B,設定!$B23)</f>
        <v>0</v>
      </c>
      <c r="I23" s="64">
        <f>SUMIFS(月別入力!$I:$I,月別入力!$E:$E,設定!$C23,月別入力!$D:$D,設定!I$8,月別入力!$B:$B,設定!$B23)</f>
        <v>0</v>
      </c>
      <c r="J23" s="64">
        <f>SUMIFS(月別入力!$I:$I,月別入力!$E:$E,設定!$C23,月別入力!$D:$D,設定!J$8,月別入力!$B:$B,設定!$B23)</f>
        <v>0</v>
      </c>
      <c r="K23" s="64">
        <f>SUMIFS(月別入力!$I:$I,月別入力!$E:$E,設定!$C23,月別入力!$D:$D,設定!K$8,月別入力!$B:$B,設定!$B23)</f>
        <v>0</v>
      </c>
      <c r="L23" s="64">
        <f>SUMIFS(月別入力!$I:$I,月別入力!$E:$E,設定!$C23,月別入力!$D:$D,設定!L$8,月別入力!$B:$B,設定!$B23)</f>
        <v>0</v>
      </c>
      <c r="M23" s="64">
        <f>SUMIFS(月別入力!$I:$I,月別入力!$E:$E,設定!$C23,月別入力!$D:$D,設定!M$8,月別入力!$B:$B,設定!$B23)</f>
        <v>0</v>
      </c>
      <c r="N23" s="64">
        <f>SUMIFS(月別入力!$I:$I,月別入力!$E:$E,設定!$C23,月別入力!$D:$D,設定!N$8,月別入力!$B:$B,設定!$B23)</f>
        <v>0</v>
      </c>
      <c r="O23" s="64">
        <f>SUMIFS(月別入力!$I:$I,月別入力!$E:$E,設定!$C23,月別入力!$D:$D,設定!O$8,月別入力!$B:$B,設定!$B23)</f>
        <v>0</v>
      </c>
      <c r="P23" s="64">
        <f>SUMIFS(月別入力!$I:$I,月別入力!$E:$E,設定!$C23,月別入力!$D:$D,設定!P$8,月別入力!$B:$B,設定!$B23)</f>
        <v>0</v>
      </c>
      <c r="Q23" s="64">
        <f>SUMIFS(月別入力!$I:$I,月別入力!$E:$E,設定!$C23,月別入力!$D:$D,設定!Q$8,月別入力!$B:$B,設定!$B23)</f>
        <v>0</v>
      </c>
      <c r="R23" s="64">
        <f>SUMIFS(月別入力!$I:$I,月別入力!$E:$E,設定!$C23,月別入力!$D:$D,設定!R$8,月別入力!$B:$B,設定!$B23)</f>
        <v>0</v>
      </c>
      <c r="S23" s="64">
        <f>SUMIFS(月別入力!$I:$I,月別入力!$E:$E,設定!$C23,月別入力!$D:$D,設定!S$8,月別入力!$B:$B,設定!$B23)</f>
        <v>0</v>
      </c>
      <c r="T23" s="64">
        <f>SUMIFS(月別入力!$I:$I,月別入力!$E:$E,設定!$C23,月別入力!$D:$D,設定!T$8,月別入力!$B:$B,設定!$B23)</f>
        <v>0</v>
      </c>
      <c r="U23" s="175">
        <f>SUMIFS(月別入力!$I:$I,月別入力!$E:$E,設定!$C23,月別入力!$D:$D,設定!U$8,月別入力!$B:$B,設定!$B23)</f>
        <v>0</v>
      </c>
      <c r="V23" s="175">
        <f>SUMIFS(月別入力!$I:$I,月別入力!$E:$E,設定!$C23,月別入力!$D:$D,設定!V$8,月別入力!$B:$B,設定!$B23)</f>
        <v>0</v>
      </c>
      <c r="W23" s="175">
        <f>SUMIFS(月別入力!$I:$I,月別入力!$E:$E,設定!$C23,月別入力!$D:$D,設定!W$8,月別入力!$B:$B,設定!$B23)</f>
        <v>0</v>
      </c>
      <c r="X23" s="66">
        <f>SUMIFS(月別入力!$I:$I,月別入力!$E:$E,設定!$C23,月別入力!$D:$D,設定!X$8,月別入力!$B:$B,設定!$B23)</f>
        <v>0</v>
      </c>
    </row>
    <row r="24" spans="2:24" s="6" customFormat="1" ht="15" customHeight="1" x14ac:dyDescent="0.2">
      <c r="B24" s="201" t="str">
        <f t="shared" si="1"/>
        <v>&lt;=12</v>
      </c>
      <c r="C24" s="67"/>
      <c r="D24" s="68"/>
      <c r="E24" s="64"/>
      <c r="F24" s="69"/>
      <c r="G24" s="65">
        <f t="shared" si="0"/>
        <v>0</v>
      </c>
      <c r="H24" s="64">
        <f>SUMIFS(月別入力!$I:$I,月別入力!$E:$E,設定!$C24,月別入力!$D:$D,設定!H$8,月別入力!$B:$B,設定!$B24)</f>
        <v>0</v>
      </c>
      <c r="I24" s="64">
        <f>SUMIFS(月別入力!$I:$I,月別入力!$E:$E,設定!$C24,月別入力!$D:$D,設定!I$8,月別入力!$B:$B,設定!$B24)</f>
        <v>0</v>
      </c>
      <c r="J24" s="64">
        <f>SUMIFS(月別入力!$I:$I,月別入力!$E:$E,設定!$C24,月別入力!$D:$D,設定!J$8,月別入力!$B:$B,設定!$B24)</f>
        <v>0</v>
      </c>
      <c r="K24" s="64">
        <f>SUMIFS(月別入力!$I:$I,月別入力!$E:$E,設定!$C24,月別入力!$D:$D,設定!K$8,月別入力!$B:$B,設定!$B24)</f>
        <v>0</v>
      </c>
      <c r="L24" s="64">
        <f>SUMIFS(月別入力!$I:$I,月別入力!$E:$E,設定!$C24,月別入力!$D:$D,設定!L$8,月別入力!$B:$B,設定!$B24)</f>
        <v>0</v>
      </c>
      <c r="M24" s="64">
        <f>SUMIFS(月別入力!$I:$I,月別入力!$E:$E,設定!$C24,月別入力!$D:$D,設定!M$8,月別入力!$B:$B,設定!$B24)</f>
        <v>0</v>
      </c>
      <c r="N24" s="64">
        <f>SUMIFS(月別入力!$I:$I,月別入力!$E:$E,設定!$C24,月別入力!$D:$D,設定!N$8,月別入力!$B:$B,設定!$B24)</f>
        <v>0</v>
      </c>
      <c r="O24" s="64">
        <f>SUMIFS(月別入力!$I:$I,月別入力!$E:$E,設定!$C24,月別入力!$D:$D,設定!O$8,月別入力!$B:$B,設定!$B24)</f>
        <v>0</v>
      </c>
      <c r="P24" s="64">
        <f>SUMIFS(月別入力!$I:$I,月別入力!$E:$E,設定!$C24,月別入力!$D:$D,設定!P$8,月別入力!$B:$B,設定!$B24)</f>
        <v>0</v>
      </c>
      <c r="Q24" s="64">
        <f>SUMIFS(月別入力!$I:$I,月別入力!$E:$E,設定!$C24,月別入力!$D:$D,設定!Q$8,月別入力!$B:$B,設定!$B24)</f>
        <v>0</v>
      </c>
      <c r="R24" s="64">
        <f>SUMIFS(月別入力!$I:$I,月別入力!$E:$E,設定!$C24,月別入力!$D:$D,設定!R$8,月別入力!$B:$B,設定!$B24)</f>
        <v>0</v>
      </c>
      <c r="S24" s="64">
        <f>SUMIFS(月別入力!$I:$I,月別入力!$E:$E,設定!$C24,月別入力!$D:$D,設定!S$8,月別入力!$B:$B,設定!$B24)</f>
        <v>0</v>
      </c>
      <c r="T24" s="64">
        <f>SUMIFS(月別入力!$I:$I,月別入力!$E:$E,設定!$C24,月別入力!$D:$D,設定!T$8,月別入力!$B:$B,設定!$B24)</f>
        <v>0</v>
      </c>
      <c r="U24" s="175">
        <f>SUMIFS(月別入力!$I:$I,月別入力!$E:$E,設定!$C24,月別入力!$D:$D,設定!U$8,月別入力!$B:$B,設定!$B24)</f>
        <v>0</v>
      </c>
      <c r="V24" s="175">
        <f>SUMIFS(月別入力!$I:$I,月別入力!$E:$E,設定!$C24,月別入力!$D:$D,設定!V$8,月別入力!$B:$B,設定!$B24)</f>
        <v>0</v>
      </c>
      <c r="W24" s="175">
        <f>SUMIFS(月別入力!$I:$I,月別入力!$E:$E,設定!$C24,月別入力!$D:$D,設定!W$8,月別入力!$B:$B,設定!$B24)</f>
        <v>0</v>
      </c>
      <c r="X24" s="66">
        <f>SUMIFS(月別入力!$I:$I,月別入力!$E:$E,設定!$C24,月別入力!$D:$D,設定!X$8,月別入力!$B:$B,設定!$B24)</f>
        <v>0</v>
      </c>
    </row>
    <row r="25" spans="2:24" s="6" customFormat="1" ht="15" customHeight="1" x14ac:dyDescent="0.2">
      <c r="B25" s="201" t="str">
        <f t="shared" si="1"/>
        <v>&lt;=12</v>
      </c>
      <c r="C25" s="67"/>
      <c r="D25" s="68"/>
      <c r="E25" s="64"/>
      <c r="F25" s="69"/>
      <c r="G25" s="65">
        <f t="shared" si="0"/>
        <v>0</v>
      </c>
      <c r="H25" s="64">
        <f>SUMIFS(月別入力!$I:$I,月別入力!$E:$E,設定!$C25,月別入力!$D:$D,設定!H$8,月別入力!$B:$B,設定!$B25)</f>
        <v>0</v>
      </c>
      <c r="I25" s="64">
        <f>SUMIFS(月別入力!$I:$I,月別入力!$E:$E,設定!$C25,月別入力!$D:$D,設定!I$8,月別入力!$B:$B,設定!$B25)</f>
        <v>0</v>
      </c>
      <c r="J25" s="64">
        <f>SUMIFS(月別入力!$I:$I,月別入力!$E:$E,設定!$C25,月別入力!$D:$D,設定!J$8,月別入力!$B:$B,設定!$B25)</f>
        <v>0</v>
      </c>
      <c r="K25" s="64">
        <f>SUMIFS(月別入力!$I:$I,月別入力!$E:$E,設定!$C25,月別入力!$D:$D,設定!K$8,月別入力!$B:$B,設定!$B25)</f>
        <v>0</v>
      </c>
      <c r="L25" s="64">
        <f>SUMIFS(月別入力!$I:$I,月別入力!$E:$E,設定!$C25,月別入力!$D:$D,設定!L$8,月別入力!$B:$B,設定!$B25)</f>
        <v>0</v>
      </c>
      <c r="M25" s="64">
        <f>SUMIFS(月別入力!$I:$I,月別入力!$E:$E,設定!$C25,月別入力!$D:$D,設定!M$8,月別入力!$B:$B,設定!$B25)</f>
        <v>0</v>
      </c>
      <c r="N25" s="64">
        <f>SUMIFS(月別入力!$I:$I,月別入力!$E:$E,設定!$C25,月別入力!$D:$D,設定!N$8,月別入力!$B:$B,設定!$B25)</f>
        <v>0</v>
      </c>
      <c r="O25" s="64">
        <f>SUMIFS(月別入力!$I:$I,月別入力!$E:$E,設定!$C25,月別入力!$D:$D,設定!O$8,月別入力!$B:$B,設定!$B25)</f>
        <v>0</v>
      </c>
      <c r="P25" s="64">
        <f>SUMIFS(月別入力!$I:$I,月別入力!$E:$E,設定!$C25,月別入力!$D:$D,設定!P$8,月別入力!$B:$B,設定!$B25)</f>
        <v>0</v>
      </c>
      <c r="Q25" s="64">
        <f>SUMIFS(月別入力!$I:$I,月別入力!$E:$E,設定!$C25,月別入力!$D:$D,設定!Q$8,月別入力!$B:$B,設定!$B25)</f>
        <v>0</v>
      </c>
      <c r="R25" s="64">
        <f>SUMIFS(月別入力!$I:$I,月別入力!$E:$E,設定!$C25,月別入力!$D:$D,設定!R$8,月別入力!$B:$B,設定!$B25)</f>
        <v>0</v>
      </c>
      <c r="S25" s="64">
        <f>SUMIFS(月別入力!$I:$I,月別入力!$E:$E,設定!$C25,月別入力!$D:$D,設定!S$8,月別入力!$B:$B,設定!$B25)</f>
        <v>0</v>
      </c>
      <c r="T25" s="64">
        <f>SUMIFS(月別入力!$I:$I,月別入力!$E:$E,設定!$C25,月別入力!$D:$D,設定!T$8,月別入力!$B:$B,設定!$B25)</f>
        <v>0</v>
      </c>
      <c r="U25" s="175">
        <f>SUMIFS(月別入力!$I:$I,月別入力!$E:$E,設定!$C25,月別入力!$D:$D,設定!U$8,月別入力!$B:$B,設定!$B25)</f>
        <v>0</v>
      </c>
      <c r="V25" s="175">
        <f>SUMIFS(月別入力!$I:$I,月別入力!$E:$E,設定!$C25,月別入力!$D:$D,設定!V$8,月別入力!$B:$B,設定!$B25)</f>
        <v>0</v>
      </c>
      <c r="W25" s="175">
        <f>SUMIFS(月別入力!$I:$I,月別入力!$E:$E,設定!$C25,月別入力!$D:$D,設定!W$8,月別入力!$B:$B,設定!$B25)</f>
        <v>0</v>
      </c>
      <c r="X25" s="66">
        <f>SUMIFS(月別入力!$I:$I,月別入力!$E:$E,設定!$C25,月別入力!$D:$D,設定!X$8,月別入力!$B:$B,設定!$B25)</f>
        <v>0</v>
      </c>
    </row>
    <row r="26" spans="2:24" s="6" customFormat="1" ht="15" customHeight="1" x14ac:dyDescent="0.2">
      <c r="B26" s="201" t="str">
        <f t="shared" si="1"/>
        <v>&lt;=12</v>
      </c>
      <c r="C26" s="67"/>
      <c r="D26" s="68"/>
      <c r="E26" s="64"/>
      <c r="F26" s="69"/>
      <c r="G26" s="65">
        <f t="shared" si="0"/>
        <v>0</v>
      </c>
      <c r="H26" s="64">
        <f>SUMIFS(月別入力!$I:$I,月別入力!$E:$E,設定!$C26,月別入力!$D:$D,設定!H$8,月別入力!$B:$B,設定!$B26)</f>
        <v>0</v>
      </c>
      <c r="I26" s="64">
        <f>SUMIFS(月別入力!$I:$I,月別入力!$E:$E,設定!$C26,月別入力!$D:$D,設定!I$8,月別入力!$B:$B,設定!$B26)</f>
        <v>0</v>
      </c>
      <c r="J26" s="64">
        <f>SUMIFS(月別入力!$I:$I,月別入力!$E:$E,設定!$C26,月別入力!$D:$D,設定!J$8,月別入力!$B:$B,設定!$B26)</f>
        <v>0</v>
      </c>
      <c r="K26" s="64">
        <f>SUMIFS(月別入力!$I:$I,月別入力!$E:$E,設定!$C26,月別入力!$D:$D,設定!K$8,月別入力!$B:$B,設定!$B26)</f>
        <v>0</v>
      </c>
      <c r="L26" s="64">
        <f>SUMIFS(月別入力!$I:$I,月別入力!$E:$E,設定!$C26,月別入力!$D:$D,設定!L$8,月別入力!$B:$B,設定!$B26)</f>
        <v>0</v>
      </c>
      <c r="M26" s="64">
        <f>SUMIFS(月別入力!$I:$I,月別入力!$E:$E,設定!$C26,月別入力!$D:$D,設定!M$8,月別入力!$B:$B,設定!$B26)</f>
        <v>0</v>
      </c>
      <c r="N26" s="64">
        <f>SUMIFS(月別入力!$I:$I,月別入力!$E:$E,設定!$C26,月別入力!$D:$D,設定!N$8,月別入力!$B:$B,設定!$B26)</f>
        <v>0</v>
      </c>
      <c r="O26" s="64">
        <f>SUMIFS(月別入力!$I:$I,月別入力!$E:$E,設定!$C26,月別入力!$D:$D,設定!O$8,月別入力!$B:$B,設定!$B26)</f>
        <v>0</v>
      </c>
      <c r="P26" s="64">
        <f>SUMIFS(月別入力!$I:$I,月別入力!$E:$E,設定!$C26,月別入力!$D:$D,設定!P$8,月別入力!$B:$B,設定!$B26)</f>
        <v>0</v>
      </c>
      <c r="Q26" s="64">
        <f>SUMIFS(月別入力!$I:$I,月別入力!$E:$E,設定!$C26,月別入力!$D:$D,設定!Q$8,月別入力!$B:$B,設定!$B26)</f>
        <v>0</v>
      </c>
      <c r="R26" s="64">
        <f>SUMIFS(月別入力!$I:$I,月別入力!$E:$E,設定!$C26,月別入力!$D:$D,設定!R$8,月別入力!$B:$B,設定!$B26)</f>
        <v>0</v>
      </c>
      <c r="S26" s="64">
        <f>SUMIFS(月別入力!$I:$I,月別入力!$E:$E,設定!$C26,月別入力!$D:$D,設定!S$8,月別入力!$B:$B,設定!$B26)</f>
        <v>0</v>
      </c>
      <c r="T26" s="64">
        <f>SUMIFS(月別入力!$I:$I,月別入力!$E:$E,設定!$C26,月別入力!$D:$D,設定!T$8,月別入力!$B:$B,設定!$B26)</f>
        <v>0</v>
      </c>
      <c r="U26" s="175">
        <f>SUMIFS(月別入力!$I:$I,月別入力!$E:$E,設定!$C26,月別入力!$D:$D,設定!U$8,月別入力!$B:$B,設定!$B26)</f>
        <v>0</v>
      </c>
      <c r="V26" s="175">
        <f>SUMIFS(月別入力!$I:$I,月別入力!$E:$E,設定!$C26,月別入力!$D:$D,設定!V$8,月別入力!$B:$B,設定!$B26)</f>
        <v>0</v>
      </c>
      <c r="W26" s="175">
        <f>SUMIFS(月別入力!$I:$I,月別入力!$E:$E,設定!$C26,月別入力!$D:$D,設定!W$8,月別入力!$B:$B,設定!$B26)</f>
        <v>0</v>
      </c>
      <c r="X26" s="66">
        <f>SUMIFS(月別入力!$I:$I,月別入力!$E:$E,設定!$C26,月別入力!$D:$D,設定!X$8,月別入力!$B:$B,設定!$B26)</f>
        <v>0</v>
      </c>
    </row>
    <row r="27" spans="2:24" s="6" customFormat="1" ht="15" customHeight="1" x14ac:dyDescent="0.2">
      <c r="B27" s="201" t="str">
        <f t="shared" si="1"/>
        <v>&lt;=12</v>
      </c>
      <c r="C27" s="67"/>
      <c r="D27" s="68"/>
      <c r="E27" s="64"/>
      <c r="F27" s="69"/>
      <c r="G27" s="65">
        <f t="shared" si="0"/>
        <v>0</v>
      </c>
      <c r="H27" s="64">
        <f>SUMIFS(月別入力!$I:$I,月別入力!$E:$E,設定!$C27,月別入力!$D:$D,設定!H$8,月別入力!$B:$B,設定!$B27)</f>
        <v>0</v>
      </c>
      <c r="I27" s="64">
        <f>SUMIFS(月別入力!$I:$I,月別入力!$E:$E,設定!$C27,月別入力!$D:$D,設定!I$8,月別入力!$B:$B,設定!$B27)</f>
        <v>0</v>
      </c>
      <c r="J27" s="64">
        <f>SUMIFS(月別入力!$I:$I,月別入力!$E:$E,設定!$C27,月別入力!$D:$D,設定!J$8,月別入力!$B:$B,設定!$B27)</f>
        <v>0</v>
      </c>
      <c r="K27" s="64">
        <f>SUMIFS(月別入力!$I:$I,月別入力!$E:$E,設定!$C27,月別入力!$D:$D,設定!K$8,月別入力!$B:$B,設定!$B27)</f>
        <v>0</v>
      </c>
      <c r="L27" s="64">
        <f>SUMIFS(月別入力!$I:$I,月別入力!$E:$E,設定!$C27,月別入力!$D:$D,設定!L$8,月別入力!$B:$B,設定!$B27)</f>
        <v>0</v>
      </c>
      <c r="M27" s="64">
        <f>SUMIFS(月別入力!$I:$I,月別入力!$E:$E,設定!$C27,月別入力!$D:$D,設定!M$8,月別入力!$B:$B,設定!$B27)</f>
        <v>0</v>
      </c>
      <c r="N27" s="64">
        <f>SUMIFS(月別入力!$I:$I,月別入力!$E:$E,設定!$C27,月別入力!$D:$D,設定!N$8,月別入力!$B:$B,設定!$B27)</f>
        <v>0</v>
      </c>
      <c r="O27" s="64">
        <f>SUMIFS(月別入力!$I:$I,月別入力!$E:$E,設定!$C27,月別入力!$D:$D,設定!O$8,月別入力!$B:$B,設定!$B27)</f>
        <v>0</v>
      </c>
      <c r="P27" s="64">
        <f>SUMIFS(月別入力!$I:$I,月別入力!$E:$E,設定!$C27,月別入力!$D:$D,設定!P$8,月別入力!$B:$B,設定!$B27)</f>
        <v>0</v>
      </c>
      <c r="Q27" s="64">
        <f>SUMIFS(月別入力!$I:$I,月別入力!$E:$E,設定!$C27,月別入力!$D:$D,設定!Q$8,月別入力!$B:$B,設定!$B27)</f>
        <v>0</v>
      </c>
      <c r="R27" s="64">
        <f>SUMIFS(月別入力!$I:$I,月別入力!$E:$E,設定!$C27,月別入力!$D:$D,設定!R$8,月別入力!$B:$B,設定!$B27)</f>
        <v>0</v>
      </c>
      <c r="S27" s="64">
        <f>SUMIFS(月別入力!$I:$I,月別入力!$E:$E,設定!$C27,月別入力!$D:$D,設定!S$8,月別入力!$B:$B,設定!$B27)</f>
        <v>0</v>
      </c>
      <c r="T27" s="64">
        <f>SUMIFS(月別入力!$I:$I,月別入力!$E:$E,設定!$C27,月別入力!$D:$D,設定!T$8,月別入力!$B:$B,設定!$B27)</f>
        <v>0</v>
      </c>
      <c r="U27" s="175">
        <f>SUMIFS(月別入力!$I:$I,月別入力!$E:$E,設定!$C27,月別入力!$D:$D,設定!U$8,月別入力!$B:$B,設定!$B27)</f>
        <v>0</v>
      </c>
      <c r="V27" s="175">
        <f>SUMIFS(月別入力!$I:$I,月別入力!$E:$E,設定!$C27,月別入力!$D:$D,設定!V$8,月別入力!$B:$B,設定!$B27)</f>
        <v>0</v>
      </c>
      <c r="W27" s="175">
        <f>SUMIFS(月別入力!$I:$I,月別入力!$E:$E,設定!$C27,月別入力!$D:$D,設定!W$8,月別入力!$B:$B,設定!$B27)</f>
        <v>0</v>
      </c>
      <c r="X27" s="66">
        <f>SUMIFS(月別入力!$I:$I,月別入力!$E:$E,設定!$C27,月別入力!$D:$D,設定!X$8,月別入力!$B:$B,設定!$B27)</f>
        <v>0</v>
      </c>
    </row>
    <row r="28" spans="2:24" s="6" customFormat="1" ht="15" customHeight="1" x14ac:dyDescent="0.2">
      <c r="B28" s="201" t="str">
        <f t="shared" si="1"/>
        <v>&lt;=12</v>
      </c>
      <c r="C28" s="67"/>
      <c r="D28" s="68"/>
      <c r="E28" s="64"/>
      <c r="F28" s="69"/>
      <c r="G28" s="65">
        <f t="shared" si="0"/>
        <v>0</v>
      </c>
      <c r="H28" s="64">
        <f>SUMIFS(月別入力!$I:$I,月別入力!$E:$E,設定!$C28,月別入力!$D:$D,設定!H$8,月別入力!$B:$B,設定!$B28)</f>
        <v>0</v>
      </c>
      <c r="I28" s="64">
        <f>SUMIFS(月別入力!$I:$I,月別入力!$E:$E,設定!$C28,月別入力!$D:$D,設定!I$8,月別入力!$B:$B,設定!$B28)</f>
        <v>0</v>
      </c>
      <c r="J28" s="64">
        <f>SUMIFS(月別入力!$I:$I,月別入力!$E:$E,設定!$C28,月別入力!$D:$D,設定!J$8,月別入力!$B:$B,設定!$B28)</f>
        <v>0</v>
      </c>
      <c r="K28" s="64">
        <f>SUMIFS(月別入力!$I:$I,月別入力!$E:$E,設定!$C28,月別入力!$D:$D,設定!K$8,月別入力!$B:$B,設定!$B28)</f>
        <v>0</v>
      </c>
      <c r="L28" s="64">
        <f>SUMIFS(月別入力!$I:$I,月別入力!$E:$E,設定!$C28,月別入力!$D:$D,設定!L$8,月別入力!$B:$B,設定!$B28)</f>
        <v>0</v>
      </c>
      <c r="M28" s="64">
        <f>SUMIFS(月別入力!$I:$I,月別入力!$E:$E,設定!$C28,月別入力!$D:$D,設定!M$8,月別入力!$B:$B,設定!$B28)</f>
        <v>0</v>
      </c>
      <c r="N28" s="64">
        <f>SUMIFS(月別入力!$I:$I,月別入力!$E:$E,設定!$C28,月別入力!$D:$D,設定!N$8,月別入力!$B:$B,設定!$B28)</f>
        <v>0</v>
      </c>
      <c r="O28" s="64">
        <f>SUMIFS(月別入力!$I:$I,月別入力!$E:$E,設定!$C28,月別入力!$D:$D,設定!O$8,月別入力!$B:$B,設定!$B28)</f>
        <v>0</v>
      </c>
      <c r="P28" s="64">
        <f>SUMIFS(月別入力!$I:$I,月別入力!$E:$E,設定!$C28,月別入力!$D:$D,設定!P$8,月別入力!$B:$B,設定!$B28)</f>
        <v>0</v>
      </c>
      <c r="Q28" s="64">
        <f>SUMIFS(月別入力!$I:$I,月別入力!$E:$E,設定!$C28,月別入力!$D:$D,設定!Q$8,月別入力!$B:$B,設定!$B28)</f>
        <v>0</v>
      </c>
      <c r="R28" s="64">
        <f>SUMIFS(月別入力!$I:$I,月別入力!$E:$E,設定!$C28,月別入力!$D:$D,設定!R$8,月別入力!$B:$B,設定!$B28)</f>
        <v>0</v>
      </c>
      <c r="S28" s="64">
        <f>SUMIFS(月別入力!$I:$I,月別入力!$E:$E,設定!$C28,月別入力!$D:$D,設定!S$8,月別入力!$B:$B,設定!$B28)</f>
        <v>0</v>
      </c>
      <c r="T28" s="64">
        <f>SUMIFS(月別入力!$I:$I,月別入力!$E:$E,設定!$C28,月別入力!$D:$D,設定!T$8,月別入力!$B:$B,設定!$B28)</f>
        <v>0</v>
      </c>
      <c r="U28" s="175">
        <f>SUMIFS(月別入力!$I:$I,月別入力!$E:$E,設定!$C28,月別入力!$D:$D,設定!U$8,月別入力!$B:$B,設定!$B28)</f>
        <v>0</v>
      </c>
      <c r="V28" s="175">
        <f>SUMIFS(月別入力!$I:$I,月別入力!$E:$E,設定!$C28,月別入力!$D:$D,設定!V$8,月別入力!$B:$B,設定!$B28)</f>
        <v>0</v>
      </c>
      <c r="W28" s="175">
        <f>SUMIFS(月別入力!$I:$I,月別入力!$E:$E,設定!$C28,月別入力!$D:$D,設定!W$8,月別入力!$B:$B,設定!$B28)</f>
        <v>0</v>
      </c>
      <c r="X28" s="66">
        <f>SUMIFS(月別入力!$I:$I,月別入力!$E:$E,設定!$C28,月別入力!$D:$D,設定!X$8,月別入力!$B:$B,設定!$B28)</f>
        <v>0</v>
      </c>
    </row>
    <row r="29" spans="2:24" s="6" customFormat="1" ht="15" customHeight="1" x14ac:dyDescent="0.2">
      <c r="B29" s="201" t="str">
        <f t="shared" si="1"/>
        <v>&lt;=12</v>
      </c>
      <c r="C29" s="67"/>
      <c r="D29" s="68"/>
      <c r="E29" s="64"/>
      <c r="F29" s="69"/>
      <c r="G29" s="65">
        <f t="shared" si="0"/>
        <v>0</v>
      </c>
      <c r="H29" s="64">
        <f>SUMIFS(月別入力!$I:$I,月別入力!$E:$E,設定!$C29,月別入力!$D:$D,設定!H$8,月別入力!$B:$B,設定!$B29)</f>
        <v>0</v>
      </c>
      <c r="I29" s="64">
        <f>SUMIFS(月別入力!$I:$I,月別入力!$E:$E,設定!$C29,月別入力!$D:$D,設定!I$8,月別入力!$B:$B,設定!$B29)</f>
        <v>0</v>
      </c>
      <c r="J29" s="64">
        <f>SUMIFS(月別入力!$I:$I,月別入力!$E:$E,設定!$C29,月別入力!$D:$D,設定!J$8,月別入力!$B:$B,設定!$B29)</f>
        <v>0</v>
      </c>
      <c r="K29" s="64">
        <f>SUMIFS(月別入力!$I:$I,月別入力!$E:$E,設定!$C29,月別入力!$D:$D,設定!K$8,月別入力!$B:$B,設定!$B29)</f>
        <v>0</v>
      </c>
      <c r="L29" s="64">
        <f>SUMIFS(月別入力!$I:$I,月別入力!$E:$E,設定!$C29,月別入力!$D:$D,設定!L$8,月別入力!$B:$B,設定!$B29)</f>
        <v>0</v>
      </c>
      <c r="M29" s="64">
        <f>SUMIFS(月別入力!$I:$I,月別入力!$E:$E,設定!$C29,月別入力!$D:$D,設定!M$8,月別入力!$B:$B,設定!$B29)</f>
        <v>0</v>
      </c>
      <c r="N29" s="64">
        <f>SUMIFS(月別入力!$I:$I,月別入力!$E:$E,設定!$C29,月別入力!$D:$D,設定!N$8,月別入力!$B:$B,設定!$B29)</f>
        <v>0</v>
      </c>
      <c r="O29" s="64">
        <f>SUMIFS(月別入力!$I:$I,月別入力!$E:$E,設定!$C29,月別入力!$D:$D,設定!O$8,月別入力!$B:$B,設定!$B29)</f>
        <v>0</v>
      </c>
      <c r="P29" s="64">
        <f>SUMIFS(月別入力!$I:$I,月別入力!$E:$E,設定!$C29,月別入力!$D:$D,設定!P$8,月別入力!$B:$B,設定!$B29)</f>
        <v>0</v>
      </c>
      <c r="Q29" s="64">
        <f>SUMIFS(月別入力!$I:$I,月別入力!$E:$E,設定!$C29,月別入力!$D:$D,設定!Q$8,月別入力!$B:$B,設定!$B29)</f>
        <v>0</v>
      </c>
      <c r="R29" s="64">
        <f>SUMIFS(月別入力!$I:$I,月別入力!$E:$E,設定!$C29,月別入力!$D:$D,設定!R$8,月別入力!$B:$B,設定!$B29)</f>
        <v>0</v>
      </c>
      <c r="S29" s="64">
        <f>SUMIFS(月別入力!$I:$I,月別入力!$E:$E,設定!$C29,月別入力!$D:$D,設定!S$8,月別入力!$B:$B,設定!$B29)</f>
        <v>0</v>
      </c>
      <c r="T29" s="64">
        <f>SUMIFS(月別入力!$I:$I,月別入力!$E:$E,設定!$C29,月別入力!$D:$D,設定!T$8,月別入力!$B:$B,設定!$B29)</f>
        <v>0</v>
      </c>
      <c r="U29" s="175">
        <f>SUMIFS(月別入力!$I:$I,月別入力!$E:$E,設定!$C29,月別入力!$D:$D,設定!U$8,月別入力!$B:$B,設定!$B29)</f>
        <v>0</v>
      </c>
      <c r="V29" s="175">
        <f>SUMIFS(月別入力!$I:$I,月別入力!$E:$E,設定!$C29,月別入力!$D:$D,設定!V$8,月別入力!$B:$B,設定!$B29)</f>
        <v>0</v>
      </c>
      <c r="W29" s="175">
        <f>SUMIFS(月別入力!$I:$I,月別入力!$E:$E,設定!$C29,月別入力!$D:$D,設定!W$8,月別入力!$B:$B,設定!$B29)</f>
        <v>0</v>
      </c>
      <c r="X29" s="66">
        <f>SUMIFS(月別入力!$I:$I,月別入力!$E:$E,設定!$C29,月別入力!$D:$D,設定!X$8,月別入力!$B:$B,設定!$B29)</f>
        <v>0</v>
      </c>
    </row>
    <row r="30" spans="2:24" s="6" customFormat="1" ht="15" customHeight="1" x14ac:dyDescent="0.2">
      <c r="B30" s="201" t="str">
        <f t="shared" si="1"/>
        <v>&lt;=12</v>
      </c>
      <c r="C30" s="67"/>
      <c r="D30" s="68"/>
      <c r="E30" s="64"/>
      <c r="F30" s="69"/>
      <c r="G30" s="65">
        <f t="shared" si="0"/>
        <v>0</v>
      </c>
      <c r="H30" s="64">
        <f>SUMIFS(月別入力!$I:$I,月別入力!$E:$E,設定!$C30,月別入力!$D:$D,設定!H$8,月別入力!$B:$B,設定!$B30)</f>
        <v>0</v>
      </c>
      <c r="I30" s="64">
        <f>SUMIFS(月別入力!$I:$I,月別入力!$E:$E,設定!$C30,月別入力!$D:$D,設定!I$8,月別入力!$B:$B,設定!$B30)</f>
        <v>0</v>
      </c>
      <c r="J30" s="64">
        <f>SUMIFS(月別入力!$I:$I,月別入力!$E:$E,設定!$C30,月別入力!$D:$D,設定!J$8,月別入力!$B:$B,設定!$B30)</f>
        <v>0</v>
      </c>
      <c r="K30" s="64">
        <f>SUMIFS(月別入力!$I:$I,月別入力!$E:$E,設定!$C30,月別入力!$D:$D,設定!K$8,月別入力!$B:$B,設定!$B30)</f>
        <v>0</v>
      </c>
      <c r="L30" s="64">
        <f>SUMIFS(月別入力!$I:$I,月別入力!$E:$E,設定!$C30,月別入力!$D:$D,設定!L$8,月別入力!$B:$B,設定!$B30)</f>
        <v>0</v>
      </c>
      <c r="M30" s="64">
        <f>SUMIFS(月別入力!$I:$I,月別入力!$E:$E,設定!$C30,月別入力!$D:$D,設定!M$8,月別入力!$B:$B,設定!$B30)</f>
        <v>0</v>
      </c>
      <c r="N30" s="64">
        <f>SUMIFS(月別入力!$I:$I,月別入力!$E:$E,設定!$C30,月別入力!$D:$D,設定!N$8,月別入力!$B:$B,設定!$B30)</f>
        <v>0</v>
      </c>
      <c r="O30" s="64">
        <f>SUMIFS(月別入力!$I:$I,月別入力!$E:$E,設定!$C30,月別入力!$D:$D,設定!O$8,月別入力!$B:$B,設定!$B30)</f>
        <v>0</v>
      </c>
      <c r="P30" s="64">
        <f>SUMIFS(月別入力!$I:$I,月別入力!$E:$E,設定!$C30,月別入力!$D:$D,設定!P$8,月別入力!$B:$B,設定!$B30)</f>
        <v>0</v>
      </c>
      <c r="Q30" s="64">
        <f>SUMIFS(月別入力!$I:$I,月別入力!$E:$E,設定!$C30,月別入力!$D:$D,設定!Q$8,月別入力!$B:$B,設定!$B30)</f>
        <v>0</v>
      </c>
      <c r="R30" s="64">
        <f>SUMIFS(月別入力!$I:$I,月別入力!$E:$E,設定!$C30,月別入力!$D:$D,設定!R$8,月別入力!$B:$B,設定!$B30)</f>
        <v>0</v>
      </c>
      <c r="S30" s="64">
        <f>SUMIFS(月別入力!$I:$I,月別入力!$E:$E,設定!$C30,月別入力!$D:$D,設定!S$8,月別入力!$B:$B,設定!$B30)</f>
        <v>0</v>
      </c>
      <c r="T30" s="64">
        <f>SUMIFS(月別入力!$I:$I,月別入力!$E:$E,設定!$C30,月別入力!$D:$D,設定!T$8,月別入力!$B:$B,設定!$B30)</f>
        <v>0</v>
      </c>
      <c r="U30" s="175">
        <f>SUMIFS(月別入力!$I:$I,月別入力!$E:$E,設定!$C30,月別入力!$D:$D,設定!U$8,月別入力!$B:$B,設定!$B30)</f>
        <v>0</v>
      </c>
      <c r="V30" s="175">
        <f>SUMIFS(月別入力!$I:$I,月別入力!$E:$E,設定!$C30,月別入力!$D:$D,設定!V$8,月別入力!$B:$B,設定!$B30)</f>
        <v>0</v>
      </c>
      <c r="W30" s="175">
        <f>SUMIFS(月別入力!$I:$I,月別入力!$E:$E,設定!$C30,月別入力!$D:$D,設定!W$8,月別入力!$B:$B,設定!$B30)</f>
        <v>0</v>
      </c>
      <c r="X30" s="66">
        <f>SUMIFS(月別入力!$I:$I,月別入力!$E:$E,設定!$C30,月別入力!$D:$D,設定!X$8,月別入力!$B:$B,設定!$B30)</f>
        <v>0</v>
      </c>
    </row>
    <row r="31" spans="2:24" s="6" customFormat="1" ht="15" customHeight="1" x14ac:dyDescent="0.2">
      <c r="B31" s="201" t="str">
        <f t="shared" si="1"/>
        <v>&lt;=12</v>
      </c>
      <c r="C31" s="67"/>
      <c r="D31" s="68"/>
      <c r="E31" s="64"/>
      <c r="F31" s="69"/>
      <c r="G31" s="65">
        <f t="shared" si="0"/>
        <v>0</v>
      </c>
      <c r="H31" s="64">
        <f>SUMIFS(月別入力!$I:$I,月別入力!$E:$E,設定!$C31,月別入力!$D:$D,設定!H$8,月別入力!$B:$B,設定!$B31)</f>
        <v>0</v>
      </c>
      <c r="I31" s="64">
        <f>SUMIFS(月別入力!$I:$I,月別入力!$E:$E,設定!$C31,月別入力!$D:$D,設定!I$8,月別入力!$B:$B,設定!$B31)</f>
        <v>0</v>
      </c>
      <c r="J31" s="64">
        <f>SUMIFS(月別入力!$I:$I,月別入力!$E:$E,設定!$C31,月別入力!$D:$D,設定!J$8,月別入力!$B:$B,設定!$B31)</f>
        <v>0</v>
      </c>
      <c r="K31" s="64">
        <f>SUMIFS(月別入力!$I:$I,月別入力!$E:$E,設定!$C31,月別入力!$D:$D,設定!K$8,月別入力!$B:$B,設定!$B31)</f>
        <v>0</v>
      </c>
      <c r="L31" s="64">
        <f>SUMIFS(月別入力!$I:$I,月別入力!$E:$E,設定!$C31,月別入力!$D:$D,設定!L$8,月別入力!$B:$B,設定!$B31)</f>
        <v>0</v>
      </c>
      <c r="M31" s="64">
        <f>SUMIFS(月別入力!$I:$I,月別入力!$E:$E,設定!$C31,月別入力!$D:$D,設定!M$8,月別入力!$B:$B,設定!$B31)</f>
        <v>0</v>
      </c>
      <c r="N31" s="64">
        <f>SUMIFS(月別入力!$I:$I,月別入力!$E:$E,設定!$C31,月別入力!$D:$D,設定!N$8,月別入力!$B:$B,設定!$B31)</f>
        <v>0</v>
      </c>
      <c r="O31" s="64">
        <f>SUMIFS(月別入力!$I:$I,月別入力!$E:$E,設定!$C31,月別入力!$D:$D,設定!O$8,月別入力!$B:$B,設定!$B31)</f>
        <v>0</v>
      </c>
      <c r="P31" s="64">
        <f>SUMIFS(月別入力!$I:$I,月別入力!$E:$E,設定!$C31,月別入力!$D:$D,設定!P$8,月別入力!$B:$B,設定!$B31)</f>
        <v>0</v>
      </c>
      <c r="Q31" s="64">
        <f>SUMIFS(月別入力!$I:$I,月別入力!$E:$E,設定!$C31,月別入力!$D:$D,設定!Q$8,月別入力!$B:$B,設定!$B31)</f>
        <v>0</v>
      </c>
      <c r="R31" s="64">
        <f>SUMIFS(月別入力!$I:$I,月別入力!$E:$E,設定!$C31,月別入力!$D:$D,設定!R$8,月別入力!$B:$B,設定!$B31)</f>
        <v>0</v>
      </c>
      <c r="S31" s="64">
        <f>SUMIFS(月別入力!$I:$I,月別入力!$E:$E,設定!$C31,月別入力!$D:$D,設定!S$8,月別入力!$B:$B,設定!$B31)</f>
        <v>0</v>
      </c>
      <c r="T31" s="64">
        <f>SUMIFS(月別入力!$I:$I,月別入力!$E:$E,設定!$C31,月別入力!$D:$D,設定!T$8,月別入力!$B:$B,設定!$B31)</f>
        <v>0</v>
      </c>
      <c r="U31" s="175">
        <f>SUMIFS(月別入力!$I:$I,月別入力!$E:$E,設定!$C31,月別入力!$D:$D,設定!U$8,月別入力!$B:$B,設定!$B31)</f>
        <v>0</v>
      </c>
      <c r="V31" s="175">
        <f>SUMIFS(月別入力!$I:$I,月別入力!$E:$E,設定!$C31,月別入力!$D:$D,設定!V$8,月別入力!$B:$B,設定!$B31)</f>
        <v>0</v>
      </c>
      <c r="W31" s="175">
        <f>SUMIFS(月別入力!$I:$I,月別入力!$E:$E,設定!$C31,月別入力!$D:$D,設定!W$8,月別入力!$B:$B,設定!$B31)</f>
        <v>0</v>
      </c>
      <c r="X31" s="66">
        <f>SUMIFS(月別入力!$I:$I,月別入力!$E:$E,設定!$C31,月別入力!$D:$D,設定!X$8,月別入力!$B:$B,設定!$B31)</f>
        <v>0</v>
      </c>
    </row>
    <row r="32" spans="2:24" s="6" customFormat="1" ht="15" customHeight="1" x14ac:dyDescent="0.2">
      <c r="B32" s="201" t="str">
        <f t="shared" si="1"/>
        <v>&lt;=12</v>
      </c>
      <c r="C32" s="67"/>
      <c r="D32" s="68"/>
      <c r="E32" s="64"/>
      <c r="F32" s="69"/>
      <c r="G32" s="65">
        <f t="shared" si="0"/>
        <v>0</v>
      </c>
      <c r="H32" s="64">
        <f>SUMIFS(月別入力!$I:$I,月別入力!$E:$E,設定!$C32,月別入力!$D:$D,設定!H$8,月別入力!$B:$B,設定!$B32)</f>
        <v>0</v>
      </c>
      <c r="I32" s="64">
        <f>SUMIFS(月別入力!$I:$I,月別入力!$E:$E,設定!$C32,月別入力!$D:$D,設定!I$8,月別入力!$B:$B,設定!$B32)</f>
        <v>0</v>
      </c>
      <c r="J32" s="64">
        <f>SUMIFS(月別入力!$I:$I,月別入力!$E:$E,設定!$C32,月別入力!$D:$D,設定!J$8,月別入力!$B:$B,設定!$B32)</f>
        <v>0</v>
      </c>
      <c r="K32" s="64">
        <f>SUMIFS(月別入力!$I:$I,月別入力!$E:$E,設定!$C32,月別入力!$D:$D,設定!K$8,月別入力!$B:$B,設定!$B32)</f>
        <v>0</v>
      </c>
      <c r="L32" s="64">
        <f>SUMIFS(月別入力!$I:$I,月別入力!$E:$E,設定!$C32,月別入力!$D:$D,設定!L$8,月別入力!$B:$B,設定!$B32)</f>
        <v>0</v>
      </c>
      <c r="M32" s="64">
        <f>SUMIFS(月別入力!$I:$I,月別入力!$E:$E,設定!$C32,月別入力!$D:$D,設定!M$8,月別入力!$B:$B,設定!$B32)</f>
        <v>0</v>
      </c>
      <c r="N32" s="64">
        <f>SUMIFS(月別入力!$I:$I,月別入力!$E:$E,設定!$C32,月別入力!$D:$D,設定!N$8,月別入力!$B:$B,設定!$B32)</f>
        <v>0</v>
      </c>
      <c r="O32" s="64">
        <f>SUMIFS(月別入力!$I:$I,月別入力!$E:$E,設定!$C32,月別入力!$D:$D,設定!O$8,月別入力!$B:$B,設定!$B32)</f>
        <v>0</v>
      </c>
      <c r="P32" s="64">
        <f>SUMIFS(月別入力!$I:$I,月別入力!$E:$E,設定!$C32,月別入力!$D:$D,設定!P$8,月別入力!$B:$B,設定!$B32)</f>
        <v>0</v>
      </c>
      <c r="Q32" s="64">
        <f>SUMIFS(月別入力!$I:$I,月別入力!$E:$E,設定!$C32,月別入力!$D:$D,設定!Q$8,月別入力!$B:$B,設定!$B32)</f>
        <v>0</v>
      </c>
      <c r="R32" s="64">
        <f>SUMIFS(月別入力!$I:$I,月別入力!$E:$E,設定!$C32,月別入力!$D:$D,設定!R$8,月別入力!$B:$B,設定!$B32)</f>
        <v>0</v>
      </c>
      <c r="S32" s="64">
        <f>SUMIFS(月別入力!$I:$I,月別入力!$E:$E,設定!$C32,月別入力!$D:$D,設定!S$8,月別入力!$B:$B,設定!$B32)</f>
        <v>0</v>
      </c>
      <c r="T32" s="64">
        <f>SUMIFS(月別入力!$I:$I,月別入力!$E:$E,設定!$C32,月別入力!$D:$D,設定!T$8,月別入力!$B:$B,設定!$B32)</f>
        <v>0</v>
      </c>
      <c r="U32" s="175">
        <f>SUMIFS(月別入力!$I:$I,月別入力!$E:$E,設定!$C32,月別入力!$D:$D,設定!U$8,月別入力!$B:$B,設定!$B32)</f>
        <v>0</v>
      </c>
      <c r="V32" s="175">
        <f>SUMIFS(月別入力!$I:$I,月別入力!$E:$E,設定!$C32,月別入力!$D:$D,設定!V$8,月別入力!$B:$B,設定!$B32)</f>
        <v>0</v>
      </c>
      <c r="W32" s="175">
        <f>SUMIFS(月別入力!$I:$I,月別入力!$E:$E,設定!$C32,月別入力!$D:$D,設定!W$8,月別入力!$B:$B,設定!$B32)</f>
        <v>0</v>
      </c>
      <c r="X32" s="66">
        <f>SUMIFS(月別入力!$I:$I,月別入力!$E:$E,設定!$C32,月別入力!$D:$D,設定!X$8,月別入力!$B:$B,設定!$B32)</f>
        <v>0</v>
      </c>
    </row>
    <row r="33" spans="2:24" s="6" customFormat="1" ht="15" customHeight="1" x14ac:dyDescent="0.2">
      <c r="B33" s="201" t="str">
        <f t="shared" si="1"/>
        <v>&lt;=12</v>
      </c>
      <c r="C33" s="67"/>
      <c r="D33" s="68"/>
      <c r="E33" s="64"/>
      <c r="F33" s="69"/>
      <c r="G33" s="65">
        <f t="shared" si="0"/>
        <v>0</v>
      </c>
      <c r="H33" s="64">
        <f>SUMIFS(月別入力!$I:$I,月別入力!$E:$E,設定!$C33,月別入力!$D:$D,設定!H$8,月別入力!$B:$B,設定!$B33)</f>
        <v>0</v>
      </c>
      <c r="I33" s="64">
        <f>SUMIFS(月別入力!$I:$I,月別入力!$E:$E,設定!$C33,月別入力!$D:$D,設定!I$8,月別入力!$B:$B,設定!$B33)</f>
        <v>0</v>
      </c>
      <c r="J33" s="64">
        <f>SUMIFS(月別入力!$I:$I,月別入力!$E:$E,設定!$C33,月別入力!$D:$D,設定!J$8,月別入力!$B:$B,設定!$B33)</f>
        <v>0</v>
      </c>
      <c r="K33" s="64">
        <f>SUMIFS(月別入力!$I:$I,月別入力!$E:$E,設定!$C33,月別入力!$D:$D,設定!K$8,月別入力!$B:$B,設定!$B33)</f>
        <v>0</v>
      </c>
      <c r="L33" s="64">
        <f>SUMIFS(月別入力!$I:$I,月別入力!$E:$E,設定!$C33,月別入力!$D:$D,設定!L$8,月別入力!$B:$B,設定!$B33)</f>
        <v>0</v>
      </c>
      <c r="M33" s="64">
        <f>SUMIFS(月別入力!$I:$I,月別入力!$E:$E,設定!$C33,月別入力!$D:$D,設定!M$8,月別入力!$B:$B,設定!$B33)</f>
        <v>0</v>
      </c>
      <c r="N33" s="64">
        <f>SUMIFS(月別入力!$I:$I,月別入力!$E:$E,設定!$C33,月別入力!$D:$D,設定!N$8,月別入力!$B:$B,設定!$B33)</f>
        <v>0</v>
      </c>
      <c r="O33" s="64">
        <f>SUMIFS(月別入力!$I:$I,月別入力!$E:$E,設定!$C33,月別入力!$D:$D,設定!O$8,月別入力!$B:$B,設定!$B33)</f>
        <v>0</v>
      </c>
      <c r="P33" s="64">
        <f>SUMIFS(月別入力!$I:$I,月別入力!$E:$E,設定!$C33,月別入力!$D:$D,設定!P$8,月別入力!$B:$B,設定!$B33)</f>
        <v>0</v>
      </c>
      <c r="Q33" s="64">
        <f>SUMIFS(月別入力!$I:$I,月別入力!$E:$E,設定!$C33,月別入力!$D:$D,設定!Q$8,月別入力!$B:$B,設定!$B33)</f>
        <v>0</v>
      </c>
      <c r="R33" s="64">
        <f>SUMIFS(月別入力!$I:$I,月別入力!$E:$E,設定!$C33,月別入力!$D:$D,設定!R$8,月別入力!$B:$B,設定!$B33)</f>
        <v>0</v>
      </c>
      <c r="S33" s="64">
        <f>SUMIFS(月別入力!$I:$I,月別入力!$E:$E,設定!$C33,月別入力!$D:$D,設定!S$8,月別入力!$B:$B,設定!$B33)</f>
        <v>0</v>
      </c>
      <c r="T33" s="64">
        <f>SUMIFS(月別入力!$I:$I,月別入力!$E:$E,設定!$C33,月別入力!$D:$D,設定!T$8,月別入力!$B:$B,設定!$B33)</f>
        <v>0</v>
      </c>
      <c r="U33" s="175">
        <f>SUMIFS(月別入力!$I:$I,月別入力!$E:$E,設定!$C33,月別入力!$D:$D,設定!U$8,月別入力!$B:$B,設定!$B33)</f>
        <v>0</v>
      </c>
      <c r="V33" s="175">
        <f>SUMIFS(月別入力!$I:$I,月別入力!$E:$E,設定!$C33,月別入力!$D:$D,設定!V$8,月別入力!$B:$B,設定!$B33)</f>
        <v>0</v>
      </c>
      <c r="W33" s="175">
        <f>SUMIFS(月別入力!$I:$I,月別入力!$E:$E,設定!$C33,月別入力!$D:$D,設定!W$8,月別入力!$B:$B,設定!$B33)</f>
        <v>0</v>
      </c>
      <c r="X33" s="66">
        <f>SUMIFS(月別入力!$I:$I,月別入力!$E:$E,設定!$C33,月別入力!$D:$D,設定!X$8,月別入力!$B:$B,設定!$B33)</f>
        <v>0</v>
      </c>
    </row>
    <row r="34" spans="2:24" s="6" customFormat="1" ht="15" customHeight="1" x14ac:dyDescent="0.2">
      <c r="B34" s="201" t="str">
        <f t="shared" si="1"/>
        <v>&lt;=12</v>
      </c>
      <c r="C34" s="67"/>
      <c r="D34" s="68"/>
      <c r="E34" s="64"/>
      <c r="F34" s="69"/>
      <c r="G34" s="65">
        <f t="shared" si="0"/>
        <v>0</v>
      </c>
      <c r="H34" s="64">
        <f>SUMIFS(月別入力!$I:$I,月別入力!$E:$E,設定!$C34,月別入力!$D:$D,設定!H$8,月別入力!$B:$B,設定!$B34)</f>
        <v>0</v>
      </c>
      <c r="I34" s="64">
        <f>SUMIFS(月別入力!$I:$I,月別入力!$E:$E,設定!$C34,月別入力!$D:$D,設定!I$8,月別入力!$B:$B,設定!$B34)</f>
        <v>0</v>
      </c>
      <c r="J34" s="64">
        <f>SUMIFS(月別入力!$I:$I,月別入力!$E:$E,設定!$C34,月別入力!$D:$D,設定!J$8,月別入力!$B:$B,設定!$B34)</f>
        <v>0</v>
      </c>
      <c r="K34" s="64">
        <f>SUMIFS(月別入力!$I:$I,月別入力!$E:$E,設定!$C34,月別入力!$D:$D,設定!K$8,月別入力!$B:$B,設定!$B34)</f>
        <v>0</v>
      </c>
      <c r="L34" s="64">
        <f>SUMIFS(月別入力!$I:$I,月別入力!$E:$E,設定!$C34,月別入力!$D:$D,設定!L$8,月別入力!$B:$B,設定!$B34)</f>
        <v>0</v>
      </c>
      <c r="M34" s="64">
        <f>SUMIFS(月別入力!$I:$I,月別入力!$E:$E,設定!$C34,月別入力!$D:$D,設定!M$8,月別入力!$B:$B,設定!$B34)</f>
        <v>0</v>
      </c>
      <c r="N34" s="64">
        <f>SUMIFS(月別入力!$I:$I,月別入力!$E:$E,設定!$C34,月別入力!$D:$D,設定!N$8,月別入力!$B:$B,設定!$B34)</f>
        <v>0</v>
      </c>
      <c r="O34" s="64">
        <f>SUMIFS(月別入力!$I:$I,月別入力!$E:$E,設定!$C34,月別入力!$D:$D,設定!O$8,月別入力!$B:$B,設定!$B34)</f>
        <v>0</v>
      </c>
      <c r="P34" s="64">
        <f>SUMIFS(月別入力!$I:$I,月別入力!$E:$E,設定!$C34,月別入力!$D:$D,設定!P$8,月別入力!$B:$B,設定!$B34)</f>
        <v>0</v>
      </c>
      <c r="Q34" s="64">
        <f>SUMIFS(月別入力!$I:$I,月別入力!$E:$E,設定!$C34,月別入力!$D:$D,設定!Q$8,月別入力!$B:$B,設定!$B34)</f>
        <v>0</v>
      </c>
      <c r="R34" s="64">
        <f>SUMIFS(月別入力!$I:$I,月別入力!$E:$E,設定!$C34,月別入力!$D:$D,設定!R$8,月別入力!$B:$B,設定!$B34)</f>
        <v>0</v>
      </c>
      <c r="S34" s="64">
        <f>SUMIFS(月別入力!$I:$I,月別入力!$E:$E,設定!$C34,月別入力!$D:$D,設定!S$8,月別入力!$B:$B,設定!$B34)</f>
        <v>0</v>
      </c>
      <c r="T34" s="64">
        <f>SUMIFS(月別入力!$I:$I,月別入力!$E:$E,設定!$C34,月別入力!$D:$D,設定!T$8,月別入力!$B:$B,設定!$B34)</f>
        <v>0</v>
      </c>
      <c r="U34" s="175">
        <f>SUMIFS(月別入力!$I:$I,月別入力!$E:$E,設定!$C34,月別入力!$D:$D,設定!U$8,月別入力!$B:$B,設定!$B34)</f>
        <v>0</v>
      </c>
      <c r="V34" s="175">
        <f>SUMIFS(月別入力!$I:$I,月別入力!$E:$E,設定!$C34,月別入力!$D:$D,設定!V$8,月別入力!$B:$B,設定!$B34)</f>
        <v>0</v>
      </c>
      <c r="W34" s="175">
        <f>SUMIFS(月別入力!$I:$I,月別入力!$E:$E,設定!$C34,月別入力!$D:$D,設定!W$8,月別入力!$B:$B,設定!$B34)</f>
        <v>0</v>
      </c>
      <c r="X34" s="66">
        <f>SUMIFS(月別入力!$I:$I,月別入力!$E:$E,設定!$C34,月別入力!$D:$D,設定!X$8,月別入力!$B:$B,設定!$B34)</f>
        <v>0</v>
      </c>
    </row>
    <row r="35" spans="2:24" s="6" customFormat="1" ht="15" customHeight="1" x14ac:dyDescent="0.2">
      <c r="B35" s="201" t="str">
        <f t="shared" si="1"/>
        <v>&lt;=12</v>
      </c>
      <c r="C35" s="67"/>
      <c r="D35" s="68"/>
      <c r="E35" s="64"/>
      <c r="F35" s="69"/>
      <c r="G35" s="65">
        <f t="shared" si="0"/>
        <v>0</v>
      </c>
      <c r="H35" s="64">
        <f>SUMIFS(月別入力!$I:$I,月別入力!$E:$E,設定!$C35,月別入力!$D:$D,設定!H$8,月別入力!$B:$B,設定!$B35)</f>
        <v>0</v>
      </c>
      <c r="I35" s="64">
        <f>SUMIFS(月別入力!$I:$I,月別入力!$E:$E,設定!$C35,月別入力!$D:$D,設定!I$8,月別入力!$B:$B,設定!$B35)</f>
        <v>0</v>
      </c>
      <c r="J35" s="64">
        <f>SUMIFS(月別入力!$I:$I,月別入力!$E:$E,設定!$C35,月別入力!$D:$D,設定!J$8,月別入力!$B:$B,設定!$B35)</f>
        <v>0</v>
      </c>
      <c r="K35" s="64">
        <f>SUMIFS(月別入力!$I:$I,月別入力!$E:$E,設定!$C35,月別入力!$D:$D,設定!K$8,月別入力!$B:$B,設定!$B35)</f>
        <v>0</v>
      </c>
      <c r="L35" s="64">
        <f>SUMIFS(月別入力!$I:$I,月別入力!$E:$E,設定!$C35,月別入力!$D:$D,設定!L$8,月別入力!$B:$B,設定!$B35)</f>
        <v>0</v>
      </c>
      <c r="M35" s="64">
        <f>SUMIFS(月別入力!$I:$I,月別入力!$E:$E,設定!$C35,月別入力!$D:$D,設定!M$8,月別入力!$B:$B,設定!$B35)</f>
        <v>0</v>
      </c>
      <c r="N35" s="64">
        <f>SUMIFS(月別入力!$I:$I,月別入力!$E:$E,設定!$C35,月別入力!$D:$D,設定!N$8,月別入力!$B:$B,設定!$B35)</f>
        <v>0</v>
      </c>
      <c r="O35" s="64">
        <f>SUMIFS(月別入力!$I:$I,月別入力!$E:$E,設定!$C35,月別入力!$D:$D,設定!O$8,月別入力!$B:$B,設定!$B35)</f>
        <v>0</v>
      </c>
      <c r="P35" s="64">
        <f>SUMIFS(月別入力!$I:$I,月別入力!$E:$E,設定!$C35,月別入力!$D:$D,設定!P$8,月別入力!$B:$B,設定!$B35)</f>
        <v>0</v>
      </c>
      <c r="Q35" s="64">
        <f>SUMIFS(月別入力!$I:$I,月別入力!$E:$E,設定!$C35,月別入力!$D:$D,設定!Q$8,月別入力!$B:$B,設定!$B35)</f>
        <v>0</v>
      </c>
      <c r="R35" s="64">
        <f>SUMIFS(月別入力!$I:$I,月別入力!$E:$E,設定!$C35,月別入力!$D:$D,設定!R$8,月別入力!$B:$B,設定!$B35)</f>
        <v>0</v>
      </c>
      <c r="S35" s="64">
        <f>SUMIFS(月別入力!$I:$I,月別入力!$E:$E,設定!$C35,月別入力!$D:$D,設定!S$8,月別入力!$B:$B,設定!$B35)</f>
        <v>0</v>
      </c>
      <c r="T35" s="64">
        <f>SUMIFS(月別入力!$I:$I,月別入力!$E:$E,設定!$C35,月別入力!$D:$D,設定!T$8,月別入力!$B:$B,設定!$B35)</f>
        <v>0</v>
      </c>
      <c r="U35" s="175">
        <f>SUMIFS(月別入力!$I:$I,月別入力!$E:$E,設定!$C35,月別入力!$D:$D,設定!U$8,月別入力!$B:$B,設定!$B35)</f>
        <v>0</v>
      </c>
      <c r="V35" s="175">
        <f>SUMIFS(月別入力!$I:$I,月別入力!$E:$E,設定!$C35,月別入力!$D:$D,設定!V$8,月別入力!$B:$B,設定!$B35)</f>
        <v>0</v>
      </c>
      <c r="W35" s="175">
        <f>SUMIFS(月別入力!$I:$I,月別入力!$E:$E,設定!$C35,月別入力!$D:$D,設定!W$8,月別入力!$B:$B,設定!$B35)</f>
        <v>0</v>
      </c>
      <c r="X35" s="66">
        <f>SUMIFS(月別入力!$I:$I,月別入力!$E:$E,設定!$C35,月別入力!$D:$D,設定!X$8,月別入力!$B:$B,設定!$B35)</f>
        <v>0</v>
      </c>
    </row>
    <row r="36" spans="2:24" s="6" customFormat="1" ht="15" customHeight="1" x14ac:dyDescent="0.2">
      <c r="B36" s="201" t="str">
        <f t="shared" si="1"/>
        <v>&lt;=12</v>
      </c>
      <c r="C36" s="67"/>
      <c r="D36" s="68"/>
      <c r="E36" s="64"/>
      <c r="F36" s="69"/>
      <c r="G36" s="65">
        <f t="shared" si="0"/>
        <v>0</v>
      </c>
      <c r="H36" s="64">
        <f>SUMIFS(月別入力!$I:$I,月別入力!$E:$E,設定!$C36,月別入力!$D:$D,設定!H$8,月別入力!$B:$B,設定!$B36)</f>
        <v>0</v>
      </c>
      <c r="I36" s="64">
        <f>SUMIFS(月別入力!$I:$I,月別入力!$E:$E,設定!$C36,月別入力!$D:$D,設定!I$8,月別入力!$B:$B,設定!$B36)</f>
        <v>0</v>
      </c>
      <c r="J36" s="64">
        <f>SUMIFS(月別入力!$I:$I,月別入力!$E:$E,設定!$C36,月別入力!$D:$D,設定!J$8,月別入力!$B:$B,設定!$B36)</f>
        <v>0</v>
      </c>
      <c r="K36" s="64">
        <f>SUMIFS(月別入力!$I:$I,月別入力!$E:$E,設定!$C36,月別入力!$D:$D,設定!K$8,月別入力!$B:$B,設定!$B36)</f>
        <v>0</v>
      </c>
      <c r="L36" s="64">
        <f>SUMIFS(月別入力!$I:$I,月別入力!$E:$E,設定!$C36,月別入力!$D:$D,設定!L$8,月別入力!$B:$B,設定!$B36)</f>
        <v>0</v>
      </c>
      <c r="M36" s="64">
        <f>SUMIFS(月別入力!$I:$I,月別入力!$E:$E,設定!$C36,月別入力!$D:$D,設定!M$8,月別入力!$B:$B,設定!$B36)</f>
        <v>0</v>
      </c>
      <c r="N36" s="64">
        <f>SUMIFS(月別入力!$I:$I,月別入力!$E:$E,設定!$C36,月別入力!$D:$D,設定!N$8,月別入力!$B:$B,設定!$B36)</f>
        <v>0</v>
      </c>
      <c r="O36" s="64">
        <f>SUMIFS(月別入力!$I:$I,月別入力!$E:$E,設定!$C36,月別入力!$D:$D,設定!O$8,月別入力!$B:$B,設定!$B36)</f>
        <v>0</v>
      </c>
      <c r="P36" s="64">
        <f>SUMIFS(月別入力!$I:$I,月別入力!$E:$E,設定!$C36,月別入力!$D:$D,設定!P$8,月別入力!$B:$B,設定!$B36)</f>
        <v>0</v>
      </c>
      <c r="Q36" s="64">
        <f>SUMIFS(月別入力!$I:$I,月別入力!$E:$E,設定!$C36,月別入力!$D:$D,設定!Q$8,月別入力!$B:$B,設定!$B36)</f>
        <v>0</v>
      </c>
      <c r="R36" s="64">
        <f>SUMIFS(月別入力!$I:$I,月別入力!$E:$E,設定!$C36,月別入力!$D:$D,設定!R$8,月別入力!$B:$B,設定!$B36)</f>
        <v>0</v>
      </c>
      <c r="S36" s="64">
        <f>SUMIFS(月別入力!$I:$I,月別入力!$E:$E,設定!$C36,月別入力!$D:$D,設定!S$8,月別入力!$B:$B,設定!$B36)</f>
        <v>0</v>
      </c>
      <c r="T36" s="64">
        <f>SUMIFS(月別入力!$I:$I,月別入力!$E:$E,設定!$C36,月別入力!$D:$D,設定!T$8,月別入力!$B:$B,設定!$B36)</f>
        <v>0</v>
      </c>
      <c r="U36" s="175">
        <f>SUMIFS(月別入力!$I:$I,月別入力!$E:$E,設定!$C36,月別入力!$D:$D,設定!U$8,月別入力!$B:$B,設定!$B36)</f>
        <v>0</v>
      </c>
      <c r="V36" s="175">
        <f>SUMIFS(月別入力!$I:$I,月別入力!$E:$E,設定!$C36,月別入力!$D:$D,設定!V$8,月別入力!$B:$B,設定!$B36)</f>
        <v>0</v>
      </c>
      <c r="W36" s="175">
        <f>SUMIFS(月別入力!$I:$I,月別入力!$E:$E,設定!$C36,月別入力!$D:$D,設定!W$8,月別入力!$B:$B,設定!$B36)</f>
        <v>0</v>
      </c>
      <c r="X36" s="66">
        <f>SUMIFS(月別入力!$I:$I,月別入力!$E:$E,設定!$C36,月別入力!$D:$D,設定!X$8,月別入力!$B:$B,設定!$B36)</f>
        <v>0</v>
      </c>
    </row>
    <row r="37" spans="2:24" s="6" customFormat="1" ht="15" customHeight="1" x14ac:dyDescent="0.2">
      <c r="B37" s="201" t="str">
        <f t="shared" si="1"/>
        <v>&lt;=12</v>
      </c>
      <c r="C37" s="67"/>
      <c r="D37" s="68"/>
      <c r="E37" s="64"/>
      <c r="F37" s="69"/>
      <c r="G37" s="65">
        <f t="shared" si="0"/>
        <v>0</v>
      </c>
      <c r="H37" s="64">
        <f>SUMIFS(月別入力!$I:$I,月別入力!$E:$E,設定!$C37,月別入力!$D:$D,設定!H$8,月別入力!$B:$B,設定!$B37)</f>
        <v>0</v>
      </c>
      <c r="I37" s="64">
        <f>SUMIFS(月別入力!$I:$I,月別入力!$E:$E,設定!$C37,月別入力!$D:$D,設定!I$8,月別入力!$B:$B,設定!$B37)</f>
        <v>0</v>
      </c>
      <c r="J37" s="64">
        <f>SUMIFS(月別入力!$I:$I,月別入力!$E:$E,設定!$C37,月別入力!$D:$D,設定!J$8,月別入力!$B:$B,設定!$B37)</f>
        <v>0</v>
      </c>
      <c r="K37" s="64">
        <f>SUMIFS(月別入力!$I:$I,月別入力!$E:$E,設定!$C37,月別入力!$D:$D,設定!K$8,月別入力!$B:$B,設定!$B37)</f>
        <v>0</v>
      </c>
      <c r="L37" s="64">
        <f>SUMIFS(月別入力!$I:$I,月別入力!$E:$E,設定!$C37,月別入力!$D:$D,設定!L$8,月別入力!$B:$B,設定!$B37)</f>
        <v>0</v>
      </c>
      <c r="M37" s="64">
        <f>SUMIFS(月別入力!$I:$I,月別入力!$E:$E,設定!$C37,月別入力!$D:$D,設定!M$8,月別入力!$B:$B,設定!$B37)</f>
        <v>0</v>
      </c>
      <c r="N37" s="64">
        <f>SUMIFS(月別入力!$I:$I,月別入力!$E:$E,設定!$C37,月別入力!$D:$D,設定!N$8,月別入力!$B:$B,設定!$B37)</f>
        <v>0</v>
      </c>
      <c r="O37" s="64">
        <f>SUMIFS(月別入力!$I:$I,月別入力!$E:$E,設定!$C37,月別入力!$D:$D,設定!O$8,月別入力!$B:$B,設定!$B37)</f>
        <v>0</v>
      </c>
      <c r="P37" s="64">
        <f>SUMIFS(月別入力!$I:$I,月別入力!$E:$E,設定!$C37,月別入力!$D:$D,設定!P$8,月別入力!$B:$B,設定!$B37)</f>
        <v>0</v>
      </c>
      <c r="Q37" s="64">
        <f>SUMIFS(月別入力!$I:$I,月別入力!$E:$E,設定!$C37,月別入力!$D:$D,設定!Q$8,月別入力!$B:$B,設定!$B37)</f>
        <v>0</v>
      </c>
      <c r="R37" s="64">
        <f>SUMIFS(月別入力!$I:$I,月別入力!$E:$E,設定!$C37,月別入力!$D:$D,設定!R$8,月別入力!$B:$B,設定!$B37)</f>
        <v>0</v>
      </c>
      <c r="S37" s="64">
        <f>SUMIFS(月別入力!$I:$I,月別入力!$E:$E,設定!$C37,月別入力!$D:$D,設定!S$8,月別入力!$B:$B,設定!$B37)</f>
        <v>0</v>
      </c>
      <c r="T37" s="64">
        <f>SUMIFS(月別入力!$I:$I,月別入力!$E:$E,設定!$C37,月別入力!$D:$D,設定!T$8,月別入力!$B:$B,設定!$B37)</f>
        <v>0</v>
      </c>
      <c r="U37" s="175">
        <f>SUMIFS(月別入力!$I:$I,月別入力!$E:$E,設定!$C37,月別入力!$D:$D,設定!U$8,月別入力!$B:$B,設定!$B37)</f>
        <v>0</v>
      </c>
      <c r="V37" s="175">
        <f>SUMIFS(月別入力!$I:$I,月別入力!$E:$E,設定!$C37,月別入力!$D:$D,設定!V$8,月別入力!$B:$B,設定!$B37)</f>
        <v>0</v>
      </c>
      <c r="W37" s="175">
        <f>SUMIFS(月別入力!$I:$I,月別入力!$E:$E,設定!$C37,月別入力!$D:$D,設定!W$8,月別入力!$B:$B,設定!$B37)</f>
        <v>0</v>
      </c>
      <c r="X37" s="66">
        <f>SUMIFS(月別入力!$I:$I,月別入力!$E:$E,設定!$C37,月別入力!$D:$D,設定!X$8,月別入力!$B:$B,設定!$B37)</f>
        <v>0</v>
      </c>
    </row>
    <row r="38" spans="2:24" s="6" customFormat="1" ht="15" customHeight="1" x14ac:dyDescent="0.2">
      <c r="B38" s="201" t="str">
        <f t="shared" si="1"/>
        <v>&lt;=12</v>
      </c>
      <c r="C38" s="67"/>
      <c r="D38" s="68"/>
      <c r="E38" s="64"/>
      <c r="F38" s="69"/>
      <c r="G38" s="65">
        <f t="shared" si="0"/>
        <v>0</v>
      </c>
      <c r="H38" s="64">
        <f>SUMIFS(月別入力!$I:$I,月別入力!$E:$E,設定!$C38,月別入力!$D:$D,設定!H$8,月別入力!$B:$B,設定!$B38)</f>
        <v>0</v>
      </c>
      <c r="I38" s="64">
        <f>SUMIFS(月別入力!$I:$I,月別入力!$E:$E,設定!$C38,月別入力!$D:$D,設定!I$8,月別入力!$B:$B,設定!$B38)</f>
        <v>0</v>
      </c>
      <c r="J38" s="64">
        <f>SUMIFS(月別入力!$I:$I,月別入力!$E:$E,設定!$C38,月別入力!$D:$D,設定!J$8,月別入力!$B:$B,設定!$B38)</f>
        <v>0</v>
      </c>
      <c r="K38" s="64">
        <f>SUMIFS(月別入力!$I:$I,月別入力!$E:$E,設定!$C38,月別入力!$D:$D,設定!K$8,月別入力!$B:$B,設定!$B38)</f>
        <v>0</v>
      </c>
      <c r="L38" s="64">
        <f>SUMIFS(月別入力!$I:$I,月別入力!$E:$E,設定!$C38,月別入力!$D:$D,設定!L$8,月別入力!$B:$B,設定!$B38)</f>
        <v>0</v>
      </c>
      <c r="M38" s="64">
        <f>SUMIFS(月別入力!$I:$I,月別入力!$E:$E,設定!$C38,月別入力!$D:$D,設定!M$8,月別入力!$B:$B,設定!$B38)</f>
        <v>0</v>
      </c>
      <c r="N38" s="64">
        <f>SUMIFS(月別入力!$I:$I,月別入力!$E:$E,設定!$C38,月別入力!$D:$D,設定!N$8,月別入力!$B:$B,設定!$B38)</f>
        <v>0</v>
      </c>
      <c r="O38" s="64">
        <f>SUMIFS(月別入力!$I:$I,月別入力!$E:$E,設定!$C38,月別入力!$D:$D,設定!O$8,月別入力!$B:$B,設定!$B38)</f>
        <v>0</v>
      </c>
      <c r="P38" s="64">
        <f>SUMIFS(月別入力!$I:$I,月別入力!$E:$E,設定!$C38,月別入力!$D:$D,設定!P$8,月別入力!$B:$B,設定!$B38)</f>
        <v>0</v>
      </c>
      <c r="Q38" s="64">
        <f>SUMIFS(月別入力!$I:$I,月別入力!$E:$E,設定!$C38,月別入力!$D:$D,設定!Q$8,月別入力!$B:$B,設定!$B38)</f>
        <v>0</v>
      </c>
      <c r="R38" s="64">
        <f>SUMIFS(月別入力!$I:$I,月別入力!$E:$E,設定!$C38,月別入力!$D:$D,設定!R$8,月別入力!$B:$B,設定!$B38)</f>
        <v>0</v>
      </c>
      <c r="S38" s="64">
        <f>SUMIFS(月別入力!$I:$I,月別入力!$E:$E,設定!$C38,月別入力!$D:$D,設定!S$8,月別入力!$B:$B,設定!$B38)</f>
        <v>0</v>
      </c>
      <c r="T38" s="64">
        <f>SUMIFS(月別入力!$I:$I,月別入力!$E:$E,設定!$C38,月別入力!$D:$D,設定!T$8,月別入力!$B:$B,設定!$B38)</f>
        <v>0</v>
      </c>
      <c r="U38" s="175">
        <f>SUMIFS(月別入力!$I:$I,月別入力!$E:$E,設定!$C38,月別入力!$D:$D,設定!U$8,月別入力!$B:$B,設定!$B38)</f>
        <v>0</v>
      </c>
      <c r="V38" s="175">
        <f>SUMIFS(月別入力!$I:$I,月別入力!$E:$E,設定!$C38,月別入力!$D:$D,設定!V$8,月別入力!$B:$B,設定!$B38)</f>
        <v>0</v>
      </c>
      <c r="W38" s="175">
        <f>SUMIFS(月別入力!$I:$I,月別入力!$E:$E,設定!$C38,月別入力!$D:$D,設定!W$8,月別入力!$B:$B,設定!$B38)</f>
        <v>0</v>
      </c>
      <c r="X38" s="66">
        <f>SUMIFS(月別入力!$I:$I,月別入力!$E:$E,設定!$C38,月別入力!$D:$D,設定!X$8,月別入力!$B:$B,設定!$B38)</f>
        <v>0</v>
      </c>
    </row>
    <row r="39" spans="2:24" s="6" customFormat="1" ht="15" customHeight="1" x14ac:dyDescent="0.2">
      <c r="B39" s="201" t="str">
        <f t="shared" si="1"/>
        <v>&lt;=12</v>
      </c>
      <c r="C39" s="63"/>
      <c r="D39" s="68"/>
      <c r="E39" s="64"/>
      <c r="F39" s="69"/>
      <c r="G39" s="65">
        <f t="shared" si="0"/>
        <v>0</v>
      </c>
      <c r="H39" s="64">
        <f>SUMIFS(月別入力!$I:$I,月別入力!$E:$E,設定!$C39,月別入力!$D:$D,設定!H$8,月別入力!$B:$B,設定!$B39)</f>
        <v>0</v>
      </c>
      <c r="I39" s="64">
        <f>SUMIFS(月別入力!$I:$I,月別入力!$E:$E,設定!$C39,月別入力!$D:$D,設定!I$8,月別入力!$B:$B,設定!$B39)</f>
        <v>0</v>
      </c>
      <c r="J39" s="64">
        <f>SUMIFS(月別入力!$I:$I,月別入力!$E:$E,設定!$C39,月別入力!$D:$D,設定!J$8,月別入力!$B:$B,設定!$B39)</f>
        <v>0</v>
      </c>
      <c r="K39" s="64">
        <f>SUMIFS(月別入力!$I:$I,月別入力!$E:$E,設定!$C39,月別入力!$D:$D,設定!K$8,月別入力!$B:$B,設定!$B39)</f>
        <v>0</v>
      </c>
      <c r="L39" s="64">
        <f>SUMIFS(月別入力!$I:$I,月別入力!$E:$E,設定!$C39,月別入力!$D:$D,設定!L$8,月別入力!$B:$B,設定!$B39)</f>
        <v>0</v>
      </c>
      <c r="M39" s="64">
        <f>SUMIFS(月別入力!$I:$I,月別入力!$E:$E,設定!$C39,月別入力!$D:$D,設定!M$8,月別入力!$B:$B,設定!$B39)</f>
        <v>0</v>
      </c>
      <c r="N39" s="64">
        <f>SUMIFS(月別入力!$I:$I,月別入力!$E:$E,設定!$C39,月別入力!$D:$D,設定!N$8,月別入力!$B:$B,設定!$B39)</f>
        <v>0</v>
      </c>
      <c r="O39" s="64">
        <f>SUMIFS(月別入力!$I:$I,月別入力!$E:$E,設定!$C39,月別入力!$D:$D,設定!O$8,月別入力!$B:$B,設定!$B39)</f>
        <v>0</v>
      </c>
      <c r="P39" s="64">
        <f>SUMIFS(月別入力!$I:$I,月別入力!$E:$E,設定!$C39,月別入力!$D:$D,設定!P$8,月別入力!$B:$B,設定!$B39)</f>
        <v>0</v>
      </c>
      <c r="Q39" s="64">
        <f>SUMIFS(月別入力!$I:$I,月別入力!$E:$E,設定!$C39,月別入力!$D:$D,設定!Q$8,月別入力!$B:$B,設定!$B39)</f>
        <v>0</v>
      </c>
      <c r="R39" s="64">
        <f>SUMIFS(月別入力!$I:$I,月別入力!$E:$E,設定!$C39,月別入力!$D:$D,設定!R$8,月別入力!$B:$B,設定!$B39)</f>
        <v>0</v>
      </c>
      <c r="S39" s="64">
        <f>SUMIFS(月別入力!$I:$I,月別入力!$E:$E,設定!$C39,月別入力!$D:$D,設定!S$8,月別入力!$B:$B,設定!$B39)</f>
        <v>0</v>
      </c>
      <c r="T39" s="64">
        <f>SUMIFS(月別入力!$I:$I,月別入力!$E:$E,設定!$C39,月別入力!$D:$D,設定!T$8,月別入力!$B:$B,設定!$B39)</f>
        <v>0</v>
      </c>
      <c r="U39" s="175">
        <f>SUMIFS(月別入力!$I:$I,月別入力!$E:$E,設定!$C39,月別入力!$D:$D,設定!U$8,月別入力!$B:$B,設定!$B39)</f>
        <v>0</v>
      </c>
      <c r="V39" s="175">
        <f>SUMIFS(月別入力!$I:$I,月別入力!$E:$E,設定!$C39,月別入力!$D:$D,設定!V$8,月別入力!$B:$B,設定!$B39)</f>
        <v>0</v>
      </c>
      <c r="W39" s="175">
        <f>SUMIFS(月別入力!$I:$I,月別入力!$E:$E,設定!$C39,月別入力!$D:$D,設定!W$8,月別入力!$B:$B,設定!$B39)</f>
        <v>0</v>
      </c>
      <c r="X39" s="66">
        <f>SUMIFS(月別入力!$I:$I,月別入力!$E:$E,設定!$C39,月別入力!$D:$D,設定!X$8,月別入力!$B:$B,設定!$B39)</f>
        <v>0</v>
      </c>
    </row>
    <row r="40" spans="2:24" s="6" customFormat="1" ht="15" customHeight="1" x14ac:dyDescent="0.2">
      <c r="B40" s="201" t="str">
        <f t="shared" si="1"/>
        <v>&lt;=12</v>
      </c>
      <c r="C40" s="63"/>
      <c r="D40" s="68"/>
      <c r="E40" s="64"/>
      <c r="F40" s="69"/>
      <c r="G40" s="65">
        <f t="shared" si="0"/>
        <v>0</v>
      </c>
      <c r="H40" s="64">
        <f>SUMIFS(月別入力!$I:$I,月別入力!$E:$E,設定!$C40,月別入力!$D:$D,設定!H$8,月別入力!$B:$B,設定!$B40)</f>
        <v>0</v>
      </c>
      <c r="I40" s="64">
        <f>SUMIFS(月別入力!$I:$I,月別入力!$E:$E,設定!$C40,月別入力!$D:$D,設定!I$8,月別入力!$B:$B,設定!$B40)</f>
        <v>0</v>
      </c>
      <c r="J40" s="64">
        <f>SUMIFS(月別入力!$I:$I,月別入力!$E:$E,設定!$C40,月別入力!$D:$D,設定!J$8,月別入力!$B:$B,設定!$B40)</f>
        <v>0</v>
      </c>
      <c r="K40" s="64">
        <f>SUMIFS(月別入力!$I:$I,月別入力!$E:$E,設定!$C40,月別入力!$D:$D,設定!K$8,月別入力!$B:$B,設定!$B40)</f>
        <v>0</v>
      </c>
      <c r="L40" s="64">
        <f>SUMIFS(月別入力!$I:$I,月別入力!$E:$E,設定!$C40,月別入力!$D:$D,設定!L$8,月別入力!$B:$B,設定!$B40)</f>
        <v>0</v>
      </c>
      <c r="M40" s="64">
        <f>SUMIFS(月別入力!$I:$I,月別入力!$E:$E,設定!$C40,月別入力!$D:$D,設定!M$8,月別入力!$B:$B,設定!$B40)</f>
        <v>0</v>
      </c>
      <c r="N40" s="64">
        <f>SUMIFS(月別入力!$I:$I,月別入力!$E:$E,設定!$C40,月別入力!$D:$D,設定!N$8,月別入力!$B:$B,設定!$B40)</f>
        <v>0</v>
      </c>
      <c r="O40" s="64">
        <f>SUMIFS(月別入力!$I:$I,月別入力!$E:$E,設定!$C40,月別入力!$D:$D,設定!O$8,月別入力!$B:$B,設定!$B40)</f>
        <v>0</v>
      </c>
      <c r="P40" s="64">
        <f>SUMIFS(月別入力!$I:$I,月別入力!$E:$E,設定!$C40,月別入力!$D:$D,設定!P$8,月別入力!$B:$B,設定!$B40)</f>
        <v>0</v>
      </c>
      <c r="Q40" s="64">
        <f>SUMIFS(月別入力!$I:$I,月別入力!$E:$E,設定!$C40,月別入力!$D:$D,設定!Q$8,月別入力!$B:$B,設定!$B40)</f>
        <v>0</v>
      </c>
      <c r="R40" s="64">
        <f>SUMIFS(月別入力!$I:$I,月別入力!$E:$E,設定!$C40,月別入力!$D:$D,設定!R$8,月別入力!$B:$B,設定!$B40)</f>
        <v>0</v>
      </c>
      <c r="S40" s="64">
        <f>SUMIFS(月別入力!$I:$I,月別入力!$E:$E,設定!$C40,月別入力!$D:$D,設定!S$8,月別入力!$B:$B,設定!$B40)</f>
        <v>0</v>
      </c>
      <c r="T40" s="64">
        <f>SUMIFS(月別入力!$I:$I,月別入力!$E:$E,設定!$C40,月別入力!$D:$D,設定!T$8,月別入力!$B:$B,設定!$B40)</f>
        <v>0</v>
      </c>
      <c r="U40" s="175">
        <f>SUMIFS(月別入力!$I:$I,月別入力!$E:$E,設定!$C40,月別入力!$D:$D,設定!U$8,月別入力!$B:$B,設定!$B40)</f>
        <v>0</v>
      </c>
      <c r="V40" s="175">
        <f>SUMIFS(月別入力!$I:$I,月別入力!$E:$E,設定!$C40,月別入力!$D:$D,設定!V$8,月別入力!$B:$B,設定!$B40)</f>
        <v>0</v>
      </c>
      <c r="W40" s="175">
        <f>SUMIFS(月別入力!$I:$I,月別入力!$E:$E,設定!$C40,月別入力!$D:$D,設定!W$8,月別入力!$B:$B,設定!$B40)</f>
        <v>0</v>
      </c>
      <c r="X40" s="66">
        <f>SUMIFS(月別入力!$I:$I,月別入力!$E:$E,設定!$C40,月別入力!$D:$D,設定!X$8,月別入力!$B:$B,設定!$B40)</f>
        <v>0</v>
      </c>
    </row>
    <row r="41" spans="2:24" s="6" customFormat="1" ht="15" customHeight="1" x14ac:dyDescent="0.2">
      <c r="B41" s="201" t="str">
        <f t="shared" si="1"/>
        <v>&lt;=12</v>
      </c>
      <c r="C41" s="63"/>
      <c r="D41" s="68"/>
      <c r="E41" s="64"/>
      <c r="F41" s="69"/>
      <c r="G41" s="65">
        <f t="shared" si="0"/>
        <v>0</v>
      </c>
      <c r="H41" s="64">
        <f>SUMIFS(月別入力!$I:$I,月別入力!$E:$E,設定!$C41,月別入力!$D:$D,設定!H$8,月別入力!$B:$B,設定!$B41)</f>
        <v>0</v>
      </c>
      <c r="I41" s="64">
        <f>SUMIFS(月別入力!$I:$I,月別入力!$E:$E,設定!$C41,月別入力!$D:$D,設定!I$8,月別入力!$B:$B,設定!$B41)</f>
        <v>0</v>
      </c>
      <c r="J41" s="64">
        <f>SUMIFS(月別入力!$I:$I,月別入力!$E:$E,設定!$C41,月別入力!$D:$D,設定!J$8,月別入力!$B:$B,設定!$B41)</f>
        <v>0</v>
      </c>
      <c r="K41" s="64">
        <f>SUMIFS(月別入力!$I:$I,月別入力!$E:$E,設定!$C41,月別入力!$D:$D,設定!K$8,月別入力!$B:$B,設定!$B41)</f>
        <v>0</v>
      </c>
      <c r="L41" s="64">
        <f>SUMIFS(月別入力!$I:$I,月別入力!$E:$E,設定!$C41,月別入力!$D:$D,設定!L$8,月別入力!$B:$B,設定!$B41)</f>
        <v>0</v>
      </c>
      <c r="M41" s="64">
        <f>SUMIFS(月別入力!$I:$I,月別入力!$E:$E,設定!$C41,月別入力!$D:$D,設定!M$8,月別入力!$B:$B,設定!$B41)</f>
        <v>0</v>
      </c>
      <c r="N41" s="64">
        <f>SUMIFS(月別入力!$I:$I,月別入力!$E:$E,設定!$C41,月別入力!$D:$D,設定!N$8,月別入力!$B:$B,設定!$B41)</f>
        <v>0</v>
      </c>
      <c r="O41" s="64">
        <f>SUMIFS(月別入力!$I:$I,月別入力!$E:$E,設定!$C41,月別入力!$D:$D,設定!O$8,月別入力!$B:$B,設定!$B41)</f>
        <v>0</v>
      </c>
      <c r="P41" s="64">
        <f>SUMIFS(月別入力!$I:$I,月別入力!$E:$E,設定!$C41,月別入力!$D:$D,設定!P$8,月別入力!$B:$B,設定!$B41)</f>
        <v>0</v>
      </c>
      <c r="Q41" s="64">
        <f>SUMIFS(月別入力!$I:$I,月別入力!$E:$E,設定!$C41,月別入力!$D:$D,設定!Q$8,月別入力!$B:$B,設定!$B41)</f>
        <v>0</v>
      </c>
      <c r="R41" s="64">
        <f>SUMIFS(月別入力!$I:$I,月別入力!$E:$E,設定!$C41,月別入力!$D:$D,設定!R$8,月別入力!$B:$B,設定!$B41)</f>
        <v>0</v>
      </c>
      <c r="S41" s="64">
        <f>SUMIFS(月別入力!$I:$I,月別入力!$E:$E,設定!$C41,月別入力!$D:$D,設定!S$8,月別入力!$B:$B,設定!$B41)</f>
        <v>0</v>
      </c>
      <c r="T41" s="64">
        <f>SUMIFS(月別入力!$I:$I,月別入力!$E:$E,設定!$C41,月別入力!$D:$D,設定!T$8,月別入力!$B:$B,設定!$B41)</f>
        <v>0</v>
      </c>
      <c r="U41" s="175">
        <f>SUMIFS(月別入力!$I:$I,月別入力!$E:$E,設定!$C41,月別入力!$D:$D,設定!U$8,月別入力!$B:$B,設定!$B41)</f>
        <v>0</v>
      </c>
      <c r="V41" s="175">
        <f>SUMIFS(月別入力!$I:$I,月別入力!$E:$E,設定!$C41,月別入力!$D:$D,設定!V$8,月別入力!$B:$B,設定!$B41)</f>
        <v>0</v>
      </c>
      <c r="W41" s="175">
        <f>SUMIFS(月別入力!$I:$I,月別入力!$E:$E,設定!$C41,月別入力!$D:$D,設定!W$8,月別入力!$B:$B,設定!$B41)</f>
        <v>0</v>
      </c>
      <c r="X41" s="66">
        <f>SUMIFS(月別入力!$I:$I,月別入力!$E:$E,設定!$C41,月別入力!$D:$D,設定!X$8,月別入力!$B:$B,設定!$B41)</f>
        <v>0</v>
      </c>
    </row>
    <row r="42" spans="2:24" s="6" customFormat="1" ht="15" customHeight="1" x14ac:dyDescent="0.2">
      <c r="B42" s="201" t="str">
        <f t="shared" si="1"/>
        <v>&lt;=12</v>
      </c>
      <c r="C42" s="63"/>
      <c r="D42" s="68"/>
      <c r="E42" s="64"/>
      <c r="F42" s="69"/>
      <c r="G42" s="65">
        <f t="shared" ref="G42:G73" si="2">SUM(H42:X42)</f>
        <v>0</v>
      </c>
      <c r="H42" s="64">
        <f>SUMIFS(月別入力!$I:$I,月別入力!$E:$E,設定!$C42,月別入力!$D:$D,設定!H$8,月別入力!$B:$B,設定!$B42)</f>
        <v>0</v>
      </c>
      <c r="I42" s="64">
        <f>SUMIFS(月別入力!$I:$I,月別入力!$E:$E,設定!$C42,月別入力!$D:$D,設定!I$8,月別入力!$B:$B,設定!$B42)</f>
        <v>0</v>
      </c>
      <c r="J42" s="64">
        <f>SUMIFS(月別入力!$I:$I,月別入力!$E:$E,設定!$C42,月別入力!$D:$D,設定!J$8,月別入力!$B:$B,設定!$B42)</f>
        <v>0</v>
      </c>
      <c r="K42" s="64">
        <f>SUMIFS(月別入力!$I:$I,月別入力!$E:$E,設定!$C42,月別入力!$D:$D,設定!K$8,月別入力!$B:$B,設定!$B42)</f>
        <v>0</v>
      </c>
      <c r="L42" s="64">
        <f>SUMIFS(月別入力!$I:$I,月別入力!$E:$E,設定!$C42,月別入力!$D:$D,設定!L$8,月別入力!$B:$B,設定!$B42)</f>
        <v>0</v>
      </c>
      <c r="M42" s="64">
        <f>SUMIFS(月別入力!$I:$I,月別入力!$E:$E,設定!$C42,月別入力!$D:$D,設定!M$8,月別入力!$B:$B,設定!$B42)</f>
        <v>0</v>
      </c>
      <c r="N42" s="64">
        <f>SUMIFS(月別入力!$I:$I,月別入力!$E:$E,設定!$C42,月別入力!$D:$D,設定!N$8,月別入力!$B:$B,設定!$B42)</f>
        <v>0</v>
      </c>
      <c r="O42" s="64">
        <f>SUMIFS(月別入力!$I:$I,月別入力!$E:$E,設定!$C42,月別入力!$D:$D,設定!O$8,月別入力!$B:$B,設定!$B42)</f>
        <v>0</v>
      </c>
      <c r="P42" s="64">
        <f>SUMIFS(月別入力!$I:$I,月別入力!$E:$E,設定!$C42,月別入力!$D:$D,設定!P$8,月別入力!$B:$B,設定!$B42)</f>
        <v>0</v>
      </c>
      <c r="Q42" s="64">
        <f>SUMIFS(月別入力!$I:$I,月別入力!$E:$E,設定!$C42,月別入力!$D:$D,設定!Q$8,月別入力!$B:$B,設定!$B42)</f>
        <v>0</v>
      </c>
      <c r="R42" s="64">
        <f>SUMIFS(月別入力!$I:$I,月別入力!$E:$E,設定!$C42,月別入力!$D:$D,設定!R$8,月別入力!$B:$B,設定!$B42)</f>
        <v>0</v>
      </c>
      <c r="S42" s="64">
        <f>SUMIFS(月別入力!$I:$I,月別入力!$E:$E,設定!$C42,月別入力!$D:$D,設定!S$8,月別入力!$B:$B,設定!$B42)</f>
        <v>0</v>
      </c>
      <c r="T42" s="64">
        <f>SUMIFS(月別入力!$I:$I,月別入力!$E:$E,設定!$C42,月別入力!$D:$D,設定!T$8,月別入力!$B:$B,設定!$B42)</f>
        <v>0</v>
      </c>
      <c r="U42" s="175">
        <f>SUMIFS(月別入力!$I:$I,月別入力!$E:$E,設定!$C42,月別入力!$D:$D,設定!U$8,月別入力!$B:$B,設定!$B42)</f>
        <v>0</v>
      </c>
      <c r="V42" s="175">
        <f>SUMIFS(月別入力!$I:$I,月別入力!$E:$E,設定!$C42,月別入力!$D:$D,設定!V$8,月別入力!$B:$B,設定!$B42)</f>
        <v>0</v>
      </c>
      <c r="W42" s="175">
        <f>SUMIFS(月別入力!$I:$I,月別入力!$E:$E,設定!$C42,月別入力!$D:$D,設定!W$8,月別入力!$B:$B,設定!$B42)</f>
        <v>0</v>
      </c>
      <c r="X42" s="66">
        <f>SUMIFS(月別入力!$I:$I,月別入力!$E:$E,設定!$C42,月別入力!$D:$D,設定!X$8,月別入力!$B:$B,設定!$B42)</f>
        <v>0</v>
      </c>
    </row>
    <row r="43" spans="2:24" s="6" customFormat="1" ht="15" customHeight="1" x14ac:dyDescent="0.2">
      <c r="B43" s="201" t="str">
        <f t="shared" si="1"/>
        <v>&lt;=12</v>
      </c>
      <c r="C43" s="63"/>
      <c r="D43" s="68"/>
      <c r="E43" s="64"/>
      <c r="F43" s="69"/>
      <c r="G43" s="65">
        <f t="shared" si="2"/>
        <v>0</v>
      </c>
      <c r="H43" s="64">
        <f>SUMIFS(月別入力!$I:$I,月別入力!$E:$E,設定!$C43,月別入力!$D:$D,設定!H$8,月別入力!$B:$B,設定!$B43)</f>
        <v>0</v>
      </c>
      <c r="I43" s="64">
        <f>SUMIFS(月別入力!$I:$I,月別入力!$E:$E,設定!$C43,月別入力!$D:$D,設定!I$8,月別入力!$B:$B,設定!$B43)</f>
        <v>0</v>
      </c>
      <c r="J43" s="64">
        <f>SUMIFS(月別入力!$I:$I,月別入力!$E:$E,設定!$C43,月別入力!$D:$D,設定!J$8,月別入力!$B:$B,設定!$B43)</f>
        <v>0</v>
      </c>
      <c r="K43" s="64">
        <f>SUMIFS(月別入力!$I:$I,月別入力!$E:$E,設定!$C43,月別入力!$D:$D,設定!K$8,月別入力!$B:$B,設定!$B43)</f>
        <v>0</v>
      </c>
      <c r="L43" s="64">
        <f>SUMIFS(月別入力!$I:$I,月別入力!$E:$E,設定!$C43,月別入力!$D:$D,設定!L$8,月別入力!$B:$B,設定!$B43)</f>
        <v>0</v>
      </c>
      <c r="M43" s="64">
        <f>SUMIFS(月別入力!$I:$I,月別入力!$E:$E,設定!$C43,月別入力!$D:$D,設定!M$8,月別入力!$B:$B,設定!$B43)</f>
        <v>0</v>
      </c>
      <c r="N43" s="64">
        <f>SUMIFS(月別入力!$I:$I,月別入力!$E:$E,設定!$C43,月別入力!$D:$D,設定!N$8,月別入力!$B:$B,設定!$B43)</f>
        <v>0</v>
      </c>
      <c r="O43" s="64">
        <f>SUMIFS(月別入力!$I:$I,月別入力!$E:$E,設定!$C43,月別入力!$D:$D,設定!O$8,月別入力!$B:$B,設定!$B43)</f>
        <v>0</v>
      </c>
      <c r="P43" s="64">
        <f>SUMIFS(月別入力!$I:$I,月別入力!$E:$E,設定!$C43,月別入力!$D:$D,設定!P$8,月別入力!$B:$B,設定!$B43)</f>
        <v>0</v>
      </c>
      <c r="Q43" s="64">
        <f>SUMIFS(月別入力!$I:$I,月別入力!$E:$E,設定!$C43,月別入力!$D:$D,設定!Q$8,月別入力!$B:$B,設定!$B43)</f>
        <v>0</v>
      </c>
      <c r="R43" s="64">
        <f>SUMIFS(月別入力!$I:$I,月別入力!$E:$E,設定!$C43,月別入力!$D:$D,設定!R$8,月別入力!$B:$B,設定!$B43)</f>
        <v>0</v>
      </c>
      <c r="S43" s="64">
        <f>SUMIFS(月別入力!$I:$I,月別入力!$E:$E,設定!$C43,月別入力!$D:$D,設定!S$8,月別入力!$B:$B,設定!$B43)</f>
        <v>0</v>
      </c>
      <c r="T43" s="64">
        <f>SUMIFS(月別入力!$I:$I,月別入力!$E:$E,設定!$C43,月別入力!$D:$D,設定!T$8,月別入力!$B:$B,設定!$B43)</f>
        <v>0</v>
      </c>
      <c r="U43" s="175">
        <f>SUMIFS(月別入力!$I:$I,月別入力!$E:$E,設定!$C43,月別入力!$D:$D,設定!U$8,月別入力!$B:$B,設定!$B43)</f>
        <v>0</v>
      </c>
      <c r="V43" s="175">
        <f>SUMIFS(月別入力!$I:$I,月別入力!$E:$E,設定!$C43,月別入力!$D:$D,設定!V$8,月別入力!$B:$B,設定!$B43)</f>
        <v>0</v>
      </c>
      <c r="W43" s="175">
        <f>SUMIFS(月別入力!$I:$I,月別入力!$E:$E,設定!$C43,月別入力!$D:$D,設定!W$8,月別入力!$B:$B,設定!$B43)</f>
        <v>0</v>
      </c>
      <c r="X43" s="66">
        <f>SUMIFS(月別入力!$I:$I,月別入力!$E:$E,設定!$C43,月別入力!$D:$D,設定!X$8,月別入力!$B:$B,設定!$B43)</f>
        <v>0</v>
      </c>
    </row>
    <row r="44" spans="2:24" s="6" customFormat="1" ht="15" customHeight="1" x14ac:dyDescent="0.2">
      <c r="B44" s="201" t="str">
        <f t="shared" si="1"/>
        <v>&lt;=12</v>
      </c>
      <c r="C44" s="63"/>
      <c r="D44" s="68"/>
      <c r="E44" s="64"/>
      <c r="F44" s="69"/>
      <c r="G44" s="65">
        <f t="shared" si="2"/>
        <v>0</v>
      </c>
      <c r="H44" s="64">
        <f>SUMIFS(月別入力!$I:$I,月別入力!$E:$E,設定!$C44,月別入力!$D:$D,設定!H$8,月別入力!$B:$B,設定!$B44)</f>
        <v>0</v>
      </c>
      <c r="I44" s="64">
        <f>SUMIFS(月別入力!$I:$I,月別入力!$E:$E,設定!$C44,月別入力!$D:$D,設定!I$8,月別入力!$B:$B,設定!$B44)</f>
        <v>0</v>
      </c>
      <c r="J44" s="64">
        <f>SUMIFS(月別入力!$I:$I,月別入力!$E:$E,設定!$C44,月別入力!$D:$D,設定!J$8,月別入力!$B:$B,設定!$B44)</f>
        <v>0</v>
      </c>
      <c r="K44" s="64">
        <f>SUMIFS(月別入力!$I:$I,月別入力!$E:$E,設定!$C44,月別入力!$D:$D,設定!K$8,月別入力!$B:$B,設定!$B44)</f>
        <v>0</v>
      </c>
      <c r="L44" s="64">
        <f>SUMIFS(月別入力!$I:$I,月別入力!$E:$E,設定!$C44,月別入力!$D:$D,設定!L$8,月別入力!$B:$B,設定!$B44)</f>
        <v>0</v>
      </c>
      <c r="M44" s="64">
        <f>SUMIFS(月別入力!$I:$I,月別入力!$E:$E,設定!$C44,月別入力!$D:$D,設定!M$8,月別入力!$B:$B,設定!$B44)</f>
        <v>0</v>
      </c>
      <c r="N44" s="64">
        <f>SUMIFS(月別入力!$I:$I,月別入力!$E:$E,設定!$C44,月別入力!$D:$D,設定!N$8,月別入力!$B:$B,設定!$B44)</f>
        <v>0</v>
      </c>
      <c r="O44" s="64">
        <f>SUMIFS(月別入力!$I:$I,月別入力!$E:$E,設定!$C44,月別入力!$D:$D,設定!O$8,月別入力!$B:$B,設定!$B44)</f>
        <v>0</v>
      </c>
      <c r="P44" s="64">
        <f>SUMIFS(月別入力!$I:$I,月別入力!$E:$E,設定!$C44,月別入力!$D:$D,設定!P$8,月別入力!$B:$B,設定!$B44)</f>
        <v>0</v>
      </c>
      <c r="Q44" s="64">
        <f>SUMIFS(月別入力!$I:$I,月別入力!$E:$E,設定!$C44,月別入力!$D:$D,設定!Q$8,月別入力!$B:$B,設定!$B44)</f>
        <v>0</v>
      </c>
      <c r="R44" s="64">
        <f>SUMIFS(月別入力!$I:$I,月別入力!$E:$E,設定!$C44,月別入力!$D:$D,設定!R$8,月別入力!$B:$B,設定!$B44)</f>
        <v>0</v>
      </c>
      <c r="S44" s="64">
        <f>SUMIFS(月別入力!$I:$I,月別入力!$E:$E,設定!$C44,月別入力!$D:$D,設定!S$8,月別入力!$B:$B,設定!$B44)</f>
        <v>0</v>
      </c>
      <c r="T44" s="64">
        <f>SUMIFS(月別入力!$I:$I,月別入力!$E:$E,設定!$C44,月別入力!$D:$D,設定!T$8,月別入力!$B:$B,設定!$B44)</f>
        <v>0</v>
      </c>
      <c r="U44" s="175">
        <f>SUMIFS(月別入力!$I:$I,月別入力!$E:$E,設定!$C44,月別入力!$D:$D,設定!U$8,月別入力!$B:$B,設定!$B44)</f>
        <v>0</v>
      </c>
      <c r="V44" s="175">
        <f>SUMIFS(月別入力!$I:$I,月別入力!$E:$E,設定!$C44,月別入力!$D:$D,設定!V$8,月別入力!$B:$B,設定!$B44)</f>
        <v>0</v>
      </c>
      <c r="W44" s="175">
        <f>SUMIFS(月別入力!$I:$I,月別入力!$E:$E,設定!$C44,月別入力!$D:$D,設定!W$8,月別入力!$B:$B,設定!$B44)</f>
        <v>0</v>
      </c>
      <c r="X44" s="66">
        <f>SUMIFS(月別入力!$I:$I,月別入力!$E:$E,設定!$C44,月別入力!$D:$D,設定!X$8,月別入力!$B:$B,設定!$B44)</f>
        <v>0</v>
      </c>
    </row>
    <row r="45" spans="2:24" s="6" customFormat="1" ht="15" customHeight="1" x14ac:dyDescent="0.2">
      <c r="B45" s="201" t="str">
        <f t="shared" si="1"/>
        <v>&lt;=12</v>
      </c>
      <c r="C45" s="63"/>
      <c r="D45" s="68"/>
      <c r="E45" s="64"/>
      <c r="F45" s="69"/>
      <c r="G45" s="65">
        <f t="shared" si="2"/>
        <v>0</v>
      </c>
      <c r="H45" s="64">
        <f>SUMIFS(月別入力!$I:$I,月別入力!$E:$E,設定!$C45,月別入力!$D:$D,設定!H$8,月別入力!$B:$B,設定!$B45)</f>
        <v>0</v>
      </c>
      <c r="I45" s="64">
        <f>SUMIFS(月別入力!$I:$I,月別入力!$E:$E,設定!$C45,月別入力!$D:$D,設定!I$8,月別入力!$B:$B,設定!$B45)</f>
        <v>0</v>
      </c>
      <c r="J45" s="64">
        <f>SUMIFS(月別入力!$I:$I,月別入力!$E:$E,設定!$C45,月別入力!$D:$D,設定!J$8,月別入力!$B:$B,設定!$B45)</f>
        <v>0</v>
      </c>
      <c r="K45" s="64">
        <f>SUMIFS(月別入力!$I:$I,月別入力!$E:$E,設定!$C45,月別入力!$D:$D,設定!K$8,月別入力!$B:$B,設定!$B45)</f>
        <v>0</v>
      </c>
      <c r="L45" s="64">
        <f>SUMIFS(月別入力!$I:$I,月別入力!$E:$E,設定!$C45,月別入力!$D:$D,設定!L$8,月別入力!$B:$B,設定!$B45)</f>
        <v>0</v>
      </c>
      <c r="M45" s="64">
        <f>SUMIFS(月別入力!$I:$I,月別入力!$E:$E,設定!$C45,月別入力!$D:$D,設定!M$8,月別入力!$B:$B,設定!$B45)</f>
        <v>0</v>
      </c>
      <c r="N45" s="64">
        <f>SUMIFS(月別入力!$I:$I,月別入力!$E:$E,設定!$C45,月別入力!$D:$D,設定!N$8,月別入力!$B:$B,設定!$B45)</f>
        <v>0</v>
      </c>
      <c r="O45" s="64">
        <f>SUMIFS(月別入力!$I:$I,月別入力!$E:$E,設定!$C45,月別入力!$D:$D,設定!O$8,月別入力!$B:$B,設定!$B45)</f>
        <v>0</v>
      </c>
      <c r="P45" s="64">
        <f>SUMIFS(月別入力!$I:$I,月別入力!$E:$E,設定!$C45,月別入力!$D:$D,設定!P$8,月別入力!$B:$B,設定!$B45)</f>
        <v>0</v>
      </c>
      <c r="Q45" s="64">
        <f>SUMIFS(月別入力!$I:$I,月別入力!$E:$E,設定!$C45,月別入力!$D:$D,設定!Q$8,月別入力!$B:$B,設定!$B45)</f>
        <v>0</v>
      </c>
      <c r="R45" s="64">
        <f>SUMIFS(月別入力!$I:$I,月別入力!$E:$E,設定!$C45,月別入力!$D:$D,設定!R$8,月別入力!$B:$B,設定!$B45)</f>
        <v>0</v>
      </c>
      <c r="S45" s="64">
        <f>SUMIFS(月別入力!$I:$I,月別入力!$E:$E,設定!$C45,月別入力!$D:$D,設定!S$8,月別入力!$B:$B,設定!$B45)</f>
        <v>0</v>
      </c>
      <c r="T45" s="64">
        <f>SUMIFS(月別入力!$I:$I,月別入力!$E:$E,設定!$C45,月別入力!$D:$D,設定!T$8,月別入力!$B:$B,設定!$B45)</f>
        <v>0</v>
      </c>
      <c r="U45" s="175">
        <f>SUMIFS(月別入力!$I:$I,月別入力!$E:$E,設定!$C45,月別入力!$D:$D,設定!U$8,月別入力!$B:$B,設定!$B45)</f>
        <v>0</v>
      </c>
      <c r="V45" s="175">
        <f>SUMIFS(月別入力!$I:$I,月別入力!$E:$E,設定!$C45,月別入力!$D:$D,設定!V$8,月別入力!$B:$B,設定!$B45)</f>
        <v>0</v>
      </c>
      <c r="W45" s="175">
        <f>SUMIFS(月別入力!$I:$I,月別入力!$E:$E,設定!$C45,月別入力!$D:$D,設定!W$8,月別入力!$B:$B,設定!$B45)</f>
        <v>0</v>
      </c>
      <c r="X45" s="66">
        <f>SUMIFS(月別入力!$I:$I,月別入力!$E:$E,設定!$C45,月別入力!$D:$D,設定!X$8,月別入力!$B:$B,設定!$B45)</f>
        <v>0</v>
      </c>
    </row>
    <row r="46" spans="2:24" s="6" customFormat="1" ht="15" customHeight="1" x14ac:dyDescent="0.2">
      <c r="B46" s="201" t="str">
        <f t="shared" si="1"/>
        <v>&lt;=12</v>
      </c>
      <c r="C46" s="63"/>
      <c r="D46" s="68"/>
      <c r="E46" s="64"/>
      <c r="F46" s="69"/>
      <c r="G46" s="65">
        <f t="shared" si="2"/>
        <v>0</v>
      </c>
      <c r="H46" s="64">
        <f>SUMIFS(月別入力!$I:$I,月別入力!$E:$E,設定!$C46,月別入力!$D:$D,設定!H$8,月別入力!$B:$B,設定!$B46)</f>
        <v>0</v>
      </c>
      <c r="I46" s="64">
        <f>SUMIFS(月別入力!$I:$I,月別入力!$E:$E,設定!$C46,月別入力!$D:$D,設定!I$8,月別入力!$B:$B,設定!$B46)</f>
        <v>0</v>
      </c>
      <c r="J46" s="64">
        <f>SUMIFS(月別入力!$I:$I,月別入力!$E:$E,設定!$C46,月別入力!$D:$D,設定!J$8,月別入力!$B:$B,設定!$B46)</f>
        <v>0</v>
      </c>
      <c r="K46" s="64">
        <f>SUMIFS(月別入力!$I:$I,月別入力!$E:$E,設定!$C46,月別入力!$D:$D,設定!K$8,月別入力!$B:$B,設定!$B46)</f>
        <v>0</v>
      </c>
      <c r="L46" s="64">
        <f>SUMIFS(月別入力!$I:$I,月別入力!$E:$E,設定!$C46,月別入力!$D:$D,設定!L$8,月別入力!$B:$B,設定!$B46)</f>
        <v>0</v>
      </c>
      <c r="M46" s="64">
        <f>SUMIFS(月別入力!$I:$I,月別入力!$E:$E,設定!$C46,月別入力!$D:$D,設定!M$8,月別入力!$B:$B,設定!$B46)</f>
        <v>0</v>
      </c>
      <c r="N46" s="64">
        <f>SUMIFS(月別入力!$I:$I,月別入力!$E:$E,設定!$C46,月別入力!$D:$D,設定!N$8,月別入力!$B:$B,設定!$B46)</f>
        <v>0</v>
      </c>
      <c r="O46" s="64">
        <f>SUMIFS(月別入力!$I:$I,月別入力!$E:$E,設定!$C46,月別入力!$D:$D,設定!O$8,月別入力!$B:$B,設定!$B46)</f>
        <v>0</v>
      </c>
      <c r="P46" s="64">
        <f>SUMIFS(月別入力!$I:$I,月別入力!$E:$E,設定!$C46,月別入力!$D:$D,設定!P$8,月別入力!$B:$B,設定!$B46)</f>
        <v>0</v>
      </c>
      <c r="Q46" s="64">
        <f>SUMIFS(月別入力!$I:$I,月別入力!$E:$E,設定!$C46,月別入力!$D:$D,設定!Q$8,月別入力!$B:$B,設定!$B46)</f>
        <v>0</v>
      </c>
      <c r="R46" s="64">
        <f>SUMIFS(月別入力!$I:$I,月別入力!$E:$E,設定!$C46,月別入力!$D:$D,設定!R$8,月別入力!$B:$B,設定!$B46)</f>
        <v>0</v>
      </c>
      <c r="S46" s="64">
        <f>SUMIFS(月別入力!$I:$I,月別入力!$E:$E,設定!$C46,月別入力!$D:$D,設定!S$8,月別入力!$B:$B,設定!$B46)</f>
        <v>0</v>
      </c>
      <c r="T46" s="64">
        <f>SUMIFS(月別入力!$I:$I,月別入力!$E:$E,設定!$C46,月別入力!$D:$D,設定!T$8,月別入力!$B:$B,設定!$B46)</f>
        <v>0</v>
      </c>
      <c r="U46" s="175">
        <f>SUMIFS(月別入力!$I:$I,月別入力!$E:$E,設定!$C46,月別入力!$D:$D,設定!U$8,月別入力!$B:$B,設定!$B46)</f>
        <v>0</v>
      </c>
      <c r="V46" s="175">
        <f>SUMIFS(月別入力!$I:$I,月別入力!$E:$E,設定!$C46,月別入力!$D:$D,設定!V$8,月別入力!$B:$B,設定!$B46)</f>
        <v>0</v>
      </c>
      <c r="W46" s="175">
        <f>SUMIFS(月別入力!$I:$I,月別入力!$E:$E,設定!$C46,月別入力!$D:$D,設定!W$8,月別入力!$B:$B,設定!$B46)</f>
        <v>0</v>
      </c>
      <c r="X46" s="66">
        <f>SUMIFS(月別入力!$I:$I,月別入力!$E:$E,設定!$C46,月別入力!$D:$D,設定!X$8,月別入力!$B:$B,設定!$B46)</f>
        <v>0</v>
      </c>
    </row>
    <row r="47" spans="2:24" s="6" customFormat="1" ht="15" customHeight="1" x14ac:dyDescent="0.2">
      <c r="B47" s="201" t="str">
        <f t="shared" si="1"/>
        <v>&lt;=12</v>
      </c>
      <c r="C47" s="63"/>
      <c r="D47" s="68"/>
      <c r="E47" s="64"/>
      <c r="F47" s="69"/>
      <c r="G47" s="65">
        <f t="shared" si="2"/>
        <v>0</v>
      </c>
      <c r="H47" s="64">
        <f>SUMIFS(月別入力!$I:$I,月別入力!$E:$E,設定!$C47,月別入力!$D:$D,設定!H$8,月別入力!$B:$B,設定!$B47)</f>
        <v>0</v>
      </c>
      <c r="I47" s="64">
        <f>SUMIFS(月別入力!$I:$I,月別入力!$E:$E,設定!$C47,月別入力!$D:$D,設定!I$8,月別入力!$B:$B,設定!$B47)</f>
        <v>0</v>
      </c>
      <c r="J47" s="64">
        <f>SUMIFS(月別入力!$I:$I,月別入力!$E:$E,設定!$C47,月別入力!$D:$D,設定!J$8,月別入力!$B:$B,設定!$B47)</f>
        <v>0</v>
      </c>
      <c r="K47" s="64">
        <f>SUMIFS(月別入力!$I:$I,月別入力!$E:$E,設定!$C47,月別入力!$D:$D,設定!K$8,月別入力!$B:$B,設定!$B47)</f>
        <v>0</v>
      </c>
      <c r="L47" s="64">
        <f>SUMIFS(月別入力!$I:$I,月別入力!$E:$E,設定!$C47,月別入力!$D:$D,設定!L$8,月別入力!$B:$B,設定!$B47)</f>
        <v>0</v>
      </c>
      <c r="M47" s="64">
        <f>SUMIFS(月別入力!$I:$I,月別入力!$E:$E,設定!$C47,月別入力!$D:$D,設定!M$8,月別入力!$B:$B,設定!$B47)</f>
        <v>0</v>
      </c>
      <c r="N47" s="64">
        <f>SUMIFS(月別入力!$I:$I,月別入力!$E:$E,設定!$C47,月別入力!$D:$D,設定!N$8,月別入力!$B:$B,設定!$B47)</f>
        <v>0</v>
      </c>
      <c r="O47" s="64">
        <f>SUMIFS(月別入力!$I:$I,月別入力!$E:$E,設定!$C47,月別入力!$D:$D,設定!O$8,月別入力!$B:$B,設定!$B47)</f>
        <v>0</v>
      </c>
      <c r="P47" s="64">
        <f>SUMIFS(月別入力!$I:$I,月別入力!$E:$E,設定!$C47,月別入力!$D:$D,設定!P$8,月別入力!$B:$B,設定!$B47)</f>
        <v>0</v>
      </c>
      <c r="Q47" s="64">
        <f>SUMIFS(月別入力!$I:$I,月別入力!$E:$E,設定!$C47,月別入力!$D:$D,設定!Q$8,月別入力!$B:$B,設定!$B47)</f>
        <v>0</v>
      </c>
      <c r="R47" s="64">
        <f>SUMIFS(月別入力!$I:$I,月別入力!$E:$E,設定!$C47,月別入力!$D:$D,設定!R$8,月別入力!$B:$B,設定!$B47)</f>
        <v>0</v>
      </c>
      <c r="S47" s="64">
        <f>SUMIFS(月別入力!$I:$I,月別入力!$E:$E,設定!$C47,月別入力!$D:$D,設定!S$8,月別入力!$B:$B,設定!$B47)</f>
        <v>0</v>
      </c>
      <c r="T47" s="64">
        <f>SUMIFS(月別入力!$I:$I,月別入力!$E:$E,設定!$C47,月別入力!$D:$D,設定!T$8,月別入力!$B:$B,設定!$B47)</f>
        <v>0</v>
      </c>
      <c r="U47" s="175">
        <f>SUMIFS(月別入力!$I:$I,月別入力!$E:$E,設定!$C47,月別入力!$D:$D,設定!U$8,月別入力!$B:$B,設定!$B47)</f>
        <v>0</v>
      </c>
      <c r="V47" s="175">
        <f>SUMIFS(月別入力!$I:$I,月別入力!$E:$E,設定!$C47,月別入力!$D:$D,設定!V$8,月別入力!$B:$B,設定!$B47)</f>
        <v>0</v>
      </c>
      <c r="W47" s="175">
        <f>SUMIFS(月別入力!$I:$I,月別入力!$E:$E,設定!$C47,月別入力!$D:$D,設定!W$8,月別入力!$B:$B,設定!$B47)</f>
        <v>0</v>
      </c>
      <c r="X47" s="66">
        <f>SUMIFS(月別入力!$I:$I,月別入力!$E:$E,設定!$C47,月別入力!$D:$D,設定!X$8,月別入力!$B:$B,設定!$B47)</f>
        <v>0</v>
      </c>
    </row>
    <row r="48" spans="2:24" s="6" customFormat="1" ht="15" customHeight="1" x14ac:dyDescent="0.2">
      <c r="B48" s="201" t="str">
        <f t="shared" si="1"/>
        <v>&lt;=12</v>
      </c>
      <c r="C48" s="63"/>
      <c r="D48" s="68"/>
      <c r="E48" s="64"/>
      <c r="F48" s="69"/>
      <c r="G48" s="65">
        <f t="shared" si="2"/>
        <v>0</v>
      </c>
      <c r="H48" s="64">
        <f>SUMIFS(月別入力!$I:$I,月別入力!$E:$E,設定!$C48,月別入力!$D:$D,設定!H$8,月別入力!$B:$B,設定!$B48)</f>
        <v>0</v>
      </c>
      <c r="I48" s="64">
        <f>SUMIFS(月別入力!$I:$I,月別入力!$E:$E,設定!$C48,月別入力!$D:$D,設定!I$8,月別入力!$B:$B,設定!$B48)</f>
        <v>0</v>
      </c>
      <c r="J48" s="64">
        <f>SUMIFS(月別入力!$I:$I,月別入力!$E:$E,設定!$C48,月別入力!$D:$D,設定!J$8,月別入力!$B:$B,設定!$B48)</f>
        <v>0</v>
      </c>
      <c r="K48" s="64">
        <f>SUMIFS(月別入力!$I:$I,月別入力!$E:$E,設定!$C48,月別入力!$D:$D,設定!K$8,月別入力!$B:$B,設定!$B48)</f>
        <v>0</v>
      </c>
      <c r="L48" s="64">
        <f>SUMIFS(月別入力!$I:$I,月別入力!$E:$E,設定!$C48,月別入力!$D:$D,設定!L$8,月別入力!$B:$B,設定!$B48)</f>
        <v>0</v>
      </c>
      <c r="M48" s="64">
        <f>SUMIFS(月別入力!$I:$I,月別入力!$E:$E,設定!$C48,月別入力!$D:$D,設定!M$8,月別入力!$B:$B,設定!$B48)</f>
        <v>0</v>
      </c>
      <c r="N48" s="64">
        <f>SUMIFS(月別入力!$I:$I,月別入力!$E:$E,設定!$C48,月別入力!$D:$D,設定!N$8,月別入力!$B:$B,設定!$B48)</f>
        <v>0</v>
      </c>
      <c r="O48" s="64">
        <f>SUMIFS(月別入力!$I:$I,月別入力!$E:$E,設定!$C48,月別入力!$D:$D,設定!O$8,月別入力!$B:$B,設定!$B48)</f>
        <v>0</v>
      </c>
      <c r="P48" s="64">
        <f>SUMIFS(月別入力!$I:$I,月別入力!$E:$E,設定!$C48,月別入力!$D:$D,設定!P$8,月別入力!$B:$B,設定!$B48)</f>
        <v>0</v>
      </c>
      <c r="Q48" s="64">
        <f>SUMIFS(月別入力!$I:$I,月別入力!$E:$E,設定!$C48,月別入力!$D:$D,設定!Q$8,月別入力!$B:$B,設定!$B48)</f>
        <v>0</v>
      </c>
      <c r="R48" s="64">
        <f>SUMIFS(月別入力!$I:$I,月別入力!$E:$E,設定!$C48,月別入力!$D:$D,設定!R$8,月別入力!$B:$B,設定!$B48)</f>
        <v>0</v>
      </c>
      <c r="S48" s="64">
        <f>SUMIFS(月別入力!$I:$I,月別入力!$E:$E,設定!$C48,月別入力!$D:$D,設定!S$8,月別入力!$B:$B,設定!$B48)</f>
        <v>0</v>
      </c>
      <c r="T48" s="64">
        <f>SUMIFS(月別入力!$I:$I,月別入力!$E:$E,設定!$C48,月別入力!$D:$D,設定!T$8,月別入力!$B:$B,設定!$B48)</f>
        <v>0</v>
      </c>
      <c r="U48" s="175">
        <f>SUMIFS(月別入力!$I:$I,月別入力!$E:$E,設定!$C48,月別入力!$D:$D,設定!U$8,月別入力!$B:$B,設定!$B48)</f>
        <v>0</v>
      </c>
      <c r="V48" s="175">
        <f>SUMIFS(月別入力!$I:$I,月別入力!$E:$E,設定!$C48,月別入力!$D:$D,設定!V$8,月別入力!$B:$B,設定!$B48)</f>
        <v>0</v>
      </c>
      <c r="W48" s="175">
        <f>SUMIFS(月別入力!$I:$I,月別入力!$E:$E,設定!$C48,月別入力!$D:$D,設定!W$8,月別入力!$B:$B,設定!$B48)</f>
        <v>0</v>
      </c>
      <c r="X48" s="66">
        <f>SUMIFS(月別入力!$I:$I,月別入力!$E:$E,設定!$C48,月別入力!$D:$D,設定!X$8,月別入力!$B:$B,設定!$B48)</f>
        <v>0</v>
      </c>
    </row>
    <row r="49" spans="2:24" s="6" customFormat="1" ht="15" customHeight="1" x14ac:dyDescent="0.2">
      <c r="B49" s="201" t="str">
        <f t="shared" si="1"/>
        <v>&lt;=12</v>
      </c>
      <c r="C49" s="63"/>
      <c r="D49" s="68"/>
      <c r="E49" s="64"/>
      <c r="F49" s="69"/>
      <c r="G49" s="65">
        <f t="shared" si="2"/>
        <v>0</v>
      </c>
      <c r="H49" s="64">
        <f>SUMIFS(月別入力!$I:$I,月別入力!$E:$E,設定!$C49,月別入力!$D:$D,設定!H$8,月別入力!$B:$B,設定!$B49)</f>
        <v>0</v>
      </c>
      <c r="I49" s="64">
        <f>SUMIFS(月別入力!$I:$I,月別入力!$E:$E,設定!$C49,月別入力!$D:$D,設定!I$8,月別入力!$B:$B,設定!$B49)</f>
        <v>0</v>
      </c>
      <c r="J49" s="64">
        <f>SUMIFS(月別入力!$I:$I,月別入力!$E:$E,設定!$C49,月別入力!$D:$D,設定!J$8,月別入力!$B:$B,設定!$B49)</f>
        <v>0</v>
      </c>
      <c r="K49" s="64">
        <f>SUMIFS(月別入力!$I:$I,月別入力!$E:$E,設定!$C49,月別入力!$D:$D,設定!K$8,月別入力!$B:$B,設定!$B49)</f>
        <v>0</v>
      </c>
      <c r="L49" s="64">
        <f>SUMIFS(月別入力!$I:$I,月別入力!$E:$E,設定!$C49,月別入力!$D:$D,設定!L$8,月別入力!$B:$B,設定!$B49)</f>
        <v>0</v>
      </c>
      <c r="M49" s="64">
        <f>SUMIFS(月別入力!$I:$I,月別入力!$E:$E,設定!$C49,月別入力!$D:$D,設定!M$8,月別入力!$B:$B,設定!$B49)</f>
        <v>0</v>
      </c>
      <c r="N49" s="64">
        <f>SUMIFS(月別入力!$I:$I,月別入力!$E:$E,設定!$C49,月別入力!$D:$D,設定!N$8,月別入力!$B:$B,設定!$B49)</f>
        <v>0</v>
      </c>
      <c r="O49" s="64">
        <f>SUMIFS(月別入力!$I:$I,月別入力!$E:$E,設定!$C49,月別入力!$D:$D,設定!O$8,月別入力!$B:$B,設定!$B49)</f>
        <v>0</v>
      </c>
      <c r="P49" s="64">
        <f>SUMIFS(月別入力!$I:$I,月別入力!$E:$E,設定!$C49,月別入力!$D:$D,設定!P$8,月別入力!$B:$B,設定!$B49)</f>
        <v>0</v>
      </c>
      <c r="Q49" s="64">
        <f>SUMIFS(月別入力!$I:$I,月別入力!$E:$E,設定!$C49,月別入力!$D:$D,設定!Q$8,月別入力!$B:$B,設定!$B49)</f>
        <v>0</v>
      </c>
      <c r="R49" s="64">
        <f>SUMIFS(月別入力!$I:$I,月別入力!$E:$E,設定!$C49,月別入力!$D:$D,設定!R$8,月別入力!$B:$B,設定!$B49)</f>
        <v>0</v>
      </c>
      <c r="S49" s="64">
        <f>SUMIFS(月別入力!$I:$I,月別入力!$E:$E,設定!$C49,月別入力!$D:$D,設定!S$8,月別入力!$B:$B,設定!$B49)</f>
        <v>0</v>
      </c>
      <c r="T49" s="64">
        <f>SUMIFS(月別入力!$I:$I,月別入力!$E:$E,設定!$C49,月別入力!$D:$D,設定!T$8,月別入力!$B:$B,設定!$B49)</f>
        <v>0</v>
      </c>
      <c r="U49" s="175">
        <f>SUMIFS(月別入力!$I:$I,月別入力!$E:$E,設定!$C49,月別入力!$D:$D,設定!U$8,月別入力!$B:$B,設定!$B49)</f>
        <v>0</v>
      </c>
      <c r="V49" s="175">
        <f>SUMIFS(月別入力!$I:$I,月別入力!$E:$E,設定!$C49,月別入力!$D:$D,設定!V$8,月別入力!$B:$B,設定!$B49)</f>
        <v>0</v>
      </c>
      <c r="W49" s="175">
        <f>SUMIFS(月別入力!$I:$I,月別入力!$E:$E,設定!$C49,月別入力!$D:$D,設定!W$8,月別入力!$B:$B,設定!$B49)</f>
        <v>0</v>
      </c>
      <c r="X49" s="66">
        <f>SUMIFS(月別入力!$I:$I,月別入力!$E:$E,設定!$C49,月別入力!$D:$D,設定!X$8,月別入力!$B:$B,設定!$B49)</f>
        <v>0</v>
      </c>
    </row>
    <row r="50" spans="2:24" s="6" customFormat="1" ht="15" customHeight="1" x14ac:dyDescent="0.2">
      <c r="B50" s="201" t="str">
        <f t="shared" si="1"/>
        <v>&lt;=12</v>
      </c>
      <c r="C50" s="63"/>
      <c r="D50" s="68"/>
      <c r="E50" s="64"/>
      <c r="F50" s="69"/>
      <c r="G50" s="65">
        <f t="shared" si="2"/>
        <v>0</v>
      </c>
      <c r="H50" s="64">
        <f>SUMIFS(月別入力!$I:$I,月別入力!$E:$E,設定!$C50,月別入力!$D:$D,設定!H$8,月別入力!$B:$B,設定!$B50)</f>
        <v>0</v>
      </c>
      <c r="I50" s="64">
        <f>SUMIFS(月別入力!$I:$I,月別入力!$E:$E,設定!$C50,月別入力!$D:$D,設定!I$8,月別入力!$B:$B,設定!$B50)</f>
        <v>0</v>
      </c>
      <c r="J50" s="64">
        <f>SUMIFS(月別入力!$I:$I,月別入力!$E:$E,設定!$C50,月別入力!$D:$D,設定!J$8,月別入力!$B:$B,設定!$B50)</f>
        <v>0</v>
      </c>
      <c r="K50" s="64">
        <f>SUMIFS(月別入力!$I:$I,月別入力!$E:$E,設定!$C50,月別入力!$D:$D,設定!K$8,月別入力!$B:$B,設定!$B50)</f>
        <v>0</v>
      </c>
      <c r="L50" s="64">
        <f>SUMIFS(月別入力!$I:$I,月別入力!$E:$E,設定!$C50,月別入力!$D:$D,設定!L$8,月別入力!$B:$B,設定!$B50)</f>
        <v>0</v>
      </c>
      <c r="M50" s="64">
        <f>SUMIFS(月別入力!$I:$I,月別入力!$E:$E,設定!$C50,月別入力!$D:$D,設定!M$8,月別入力!$B:$B,設定!$B50)</f>
        <v>0</v>
      </c>
      <c r="N50" s="64">
        <f>SUMIFS(月別入力!$I:$I,月別入力!$E:$E,設定!$C50,月別入力!$D:$D,設定!N$8,月別入力!$B:$B,設定!$B50)</f>
        <v>0</v>
      </c>
      <c r="O50" s="64">
        <f>SUMIFS(月別入力!$I:$I,月別入力!$E:$E,設定!$C50,月別入力!$D:$D,設定!O$8,月別入力!$B:$B,設定!$B50)</f>
        <v>0</v>
      </c>
      <c r="P50" s="64">
        <f>SUMIFS(月別入力!$I:$I,月別入力!$E:$E,設定!$C50,月別入力!$D:$D,設定!P$8,月別入力!$B:$B,設定!$B50)</f>
        <v>0</v>
      </c>
      <c r="Q50" s="64">
        <f>SUMIFS(月別入力!$I:$I,月別入力!$E:$E,設定!$C50,月別入力!$D:$D,設定!Q$8,月別入力!$B:$B,設定!$B50)</f>
        <v>0</v>
      </c>
      <c r="R50" s="64">
        <f>SUMIFS(月別入力!$I:$I,月別入力!$E:$E,設定!$C50,月別入力!$D:$D,設定!R$8,月別入力!$B:$B,設定!$B50)</f>
        <v>0</v>
      </c>
      <c r="S50" s="64">
        <f>SUMIFS(月別入力!$I:$I,月別入力!$E:$E,設定!$C50,月別入力!$D:$D,設定!S$8,月別入力!$B:$B,設定!$B50)</f>
        <v>0</v>
      </c>
      <c r="T50" s="64">
        <f>SUMIFS(月別入力!$I:$I,月別入力!$E:$E,設定!$C50,月別入力!$D:$D,設定!T$8,月別入力!$B:$B,設定!$B50)</f>
        <v>0</v>
      </c>
      <c r="U50" s="175">
        <f>SUMIFS(月別入力!$I:$I,月別入力!$E:$E,設定!$C50,月別入力!$D:$D,設定!U$8,月別入力!$B:$B,設定!$B50)</f>
        <v>0</v>
      </c>
      <c r="V50" s="175">
        <f>SUMIFS(月別入力!$I:$I,月別入力!$E:$E,設定!$C50,月別入力!$D:$D,設定!V$8,月別入力!$B:$B,設定!$B50)</f>
        <v>0</v>
      </c>
      <c r="W50" s="175">
        <f>SUMIFS(月別入力!$I:$I,月別入力!$E:$E,設定!$C50,月別入力!$D:$D,設定!W$8,月別入力!$B:$B,設定!$B50)</f>
        <v>0</v>
      </c>
      <c r="X50" s="66">
        <f>SUMIFS(月別入力!$I:$I,月別入力!$E:$E,設定!$C50,月別入力!$D:$D,設定!X$8,月別入力!$B:$B,設定!$B50)</f>
        <v>0</v>
      </c>
    </row>
    <row r="51" spans="2:24" s="6" customFormat="1" ht="15" customHeight="1" x14ac:dyDescent="0.2">
      <c r="B51" s="201" t="str">
        <f t="shared" si="1"/>
        <v>&lt;=12</v>
      </c>
      <c r="C51" s="63"/>
      <c r="D51" s="68"/>
      <c r="E51" s="64"/>
      <c r="F51" s="69"/>
      <c r="G51" s="65">
        <f t="shared" si="2"/>
        <v>0</v>
      </c>
      <c r="H51" s="64">
        <f>SUMIFS(月別入力!$I:$I,月別入力!$E:$E,設定!$C51,月別入力!$D:$D,設定!H$8,月別入力!$B:$B,設定!$B51)</f>
        <v>0</v>
      </c>
      <c r="I51" s="64">
        <f>SUMIFS(月別入力!$I:$I,月別入力!$E:$E,設定!$C51,月別入力!$D:$D,設定!I$8,月別入力!$B:$B,設定!$B51)</f>
        <v>0</v>
      </c>
      <c r="J51" s="64">
        <f>SUMIFS(月別入力!$I:$I,月別入力!$E:$E,設定!$C51,月別入力!$D:$D,設定!J$8,月別入力!$B:$B,設定!$B51)</f>
        <v>0</v>
      </c>
      <c r="K51" s="64">
        <f>SUMIFS(月別入力!$I:$I,月別入力!$E:$E,設定!$C51,月別入力!$D:$D,設定!K$8,月別入力!$B:$B,設定!$B51)</f>
        <v>0</v>
      </c>
      <c r="L51" s="64">
        <f>SUMIFS(月別入力!$I:$I,月別入力!$E:$E,設定!$C51,月別入力!$D:$D,設定!L$8,月別入力!$B:$B,設定!$B51)</f>
        <v>0</v>
      </c>
      <c r="M51" s="64">
        <f>SUMIFS(月別入力!$I:$I,月別入力!$E:$E,設定!$C51,月別入力!$D:$D,設定!M$8,月別入力!$B:$B,設定!$B51)</f>
        <v>0</v>
      </c>
      <c r="N51" s="64">
        <f>SUMIFS(月別入力!$I:$I,月別入力!$E:$E,設定!$C51,月別入力!$D:$D,設定!N$8,月別入力!$B:$B,設定!$B51)</f>
        <v>0</v>
      </c>
      <c r="O51" s="64">
        <f>SUMIFS(月別入力!$I:$I,月別入力!$E:$E,設定!$C51,月別入力!$D:$D,設定!O$8,月別入力!$B:$B,設定!$B51)</f>
        <v>0</v>
      </c>
      <c r="P51" s="64">
        <f>SUMIFS(月別入力!$I:$I,月別入力!$E:$E,設定!$C51,月別入力!$D:$D,設定!P$8,月別入力!$B:$B,設定!$B51)</f>
        <v>0</v>
      </c>
      <c r="Q51" s="64">
        <f>SUMIFS(月別入力!$I:$I,月別入力!$E:$E,設定!$C51,月別入力!$D:$D,設定!Q$8,月別入力!$B:$B,設定!$B51)</f>
        <v>0</v>
      </c>
      <c r="R51" s="64">
        <f>SUMIFS(月別入力!$I:$I,月別入力!$E:$E,設定!$C51,月別入力!$D:$D,設定!R$8,月別入力!$B:$B,設定!$B51)</f>
        <v>0</v>
      </c>
      <c r="S51" s="64">
        <f>SUMIFS(月別入力!$I:$I,月別入力!$E:$E,設定!$C51,月別入力!$D:$D,設定!S$8,月別入力!$B:$B,設定!$B51)</f>
        <v>0</v>
      </c>
      <c r="T51" s="64">
        <f>SUMIFS(月別入力!$I:$I,月別入力!$E:$E,設定!$C51,月別入力!$D:$D,設定!T$8,月別入力!$B:$B,設定!$B51)</f>
        <v>0</v>
      </c>
      <c r="U51" s="175">
        <f>SUMIFS(月別入力!$I:$I,月別入力!$E:$E,設定!$C51,月別入力!$D:$D,設定!U$8,月別入力!$B:$B,設定!$B51)</f>
        <v>0</v>
      </c>
      <c r="V51" s="175">
        <f>SUMIFS(月別入力!$I:$I,月別入力!$E:$E,設定!$C51,月別入力!$D:$D,設定!V$8,月別入力!$B:$B,設定!$B51)</f>
        <v>0</v>
      </c>
      <c r="W51" s="175">
        <f>SUMIFS(月別入力!$I:$I,月別入力!$E:$E,設定!$C51,月別入力!$D:$D,設定!W$8,月別入力!$B:$B,設定!$B51)</f>
        <v>0</v>
      </c>
      <c r="X51" s="66">
        <f>SUMIFS(月別入力!$I:$I,月別入力!$E:$E,設定!$C51,月別入力!$D:$D,設定!X$8,月別入力!$B:$B,設定!$B51)</f>
        <v>0</v>
      </c>
    </row>
    <row r="52" spans="2:24" s="6" customFormat="1" ht="15" customHeight="1" x14ac:dyDescent="0.2">
      <c r="B52" s="201" t="str">
        <f t="shared" si="1"/>
        <v>&lt;=12</v>
      </c>
      <c r="C52" s="63"/>
      <c r="D52" s="68"/>
      <c r="E52" s="64"/>
      <c r="F52" s="69"/>
      <c r="G52" s="65">
        <f t="shared" si="2"/>
        <v>0</v>
      </c>
      <c r="H52" s="64">
        <f>SUMIFS(月別入力!$I:$I,月別入力!$E:$E,設定!$C52,月別入力!$D:$D,設定!H$8,月別入力!$B:$B,設定!$B52)</f>
        <v>0</v>
      </c>
      <c r="I52" s="64">
        <f>SUMIFS(月別入力!$I:$I,月別入力!$E:$E,設定!$C52,月別入力!$D:$D,設定!I$8,月別入力!$B:$B,設定!$B52)</f>
        <v>0</v>
      </c>
      <c r="J52" s="64">
        <f>SUMIFS(月別入力!$I:$I,月別入力!$E:$E,設定!$C52,月別入力!$D:$D,設定!J$8,月別入力!$B:$B,設定!$B52)</f>
        <v>0</v>
      </c>
      <c r="K52" s="64">
        <f>SUMIFS(月別入力!$I:$I,月別入力!$E:$E,設定!$C52,月別入力!$D:$D,設定!K$8,月別入力!$B:$B,設定!$B52)</f>
        <v>0</v>
      </c>
      <c r="L52" s="64">
        <f>SUMIFS(月別入力!$I:$I,月別入力!$E:$E,設定!$C52,月別入力!$D:$D,設定!L$8,月別入力!$B:$B,設定!$B52)</f>
        <v>0</v>
      </c>
      <c r="M52" s="64">
        <f>SUMIFS(月別入力!$I:$I,月別入力!$E:$E,設定!$C52,月別入力!$D:$D,設定!M$8,月別入力!$B:$B,設定!$B52)</f>
        <v>0</v>
      </c>
      <c r="N52" s="64">
        <f>SUMIFS(月別入力!$I:$I,月別入力!$E:$E,設定!$C52,月別入力!$D:$D,設定!N$8,月別入力!$B:$B,設定!$B52)</f>
        <v>0</v>
      </c>
      <c r="O52" s="64">
        <f>SUMIFS(月別入力!$I:$I,月別入力!$E:$E,設定!$C52,月別入力!$D:$D,設定!O$8,月別入力!$B:$B,設定!$B52)</f>
        <v>0</v>
      </c>
      <c r="P52" s="64">
        <f>SUMIFS(月別入力!$I:$I,月別入力!$E:$E,設定!$C52,月別入力!$D:$D,設定!P$8,月別入力!$B:$B,設定!$B52)</f>
        <v>0</v>
      </c>
      <c r="Q52" s="64">
        <f>SUMIFS(月別入力!$I:$I,月別入力!$E:$E,設定!$C52,月別入力!$D:$D,設定!Q$8,月別入力!$B:$B,設定!$B52)</f>
        <v>0</v>
      </c>
      <c r="R52" s="64">
        <f>SUMIFS(月別入力!$I:$I,月別入力!$E:$E,設定!$C52,月別入力!$D:$D,設定!R$8,月別入力!$B:$B,設定!$B52)</f>
        <v>0</v>
      </c>
      <c r="S52" s="64">
        <f>SUMIFS(月別入力!$I:$I,月別入力!$E:$E,設定!$C52,月別入力!$D:$D,設定!S$8,月別入力!$B:$B,設定!$B52)</f>
        <v>0</v>
      </c>
      <c r="T52" s="64">
        <f>SUMIFS(月別入力!$I:$I,月別入力!$E:$E,設定!$C52,月別入力!$D:$D,設定!T$8,月別入力!$B:$B,設定!$B52)</f>
        <v>0</v>
      </c>
      <c r="U52" s="175">
        <f>SUMIFS(月別入力!$I:$I,月別入力!$E:$E,設定!$C52,月別入力!$D:$D,設定!U$8,月別入力!$B:$B,設定!$B52)</f>
        <v>0</v>
      </c>
      <c r="V52" s="175">
        <f>SUMIFS(月別入力!$I:$I,月別入力!$E:$E,設定!$C52,月別入力!$D:$D,設定!V$8,月別入力!$B:$B,設定!$B52)</f>
        <v>0</v>
      </c>
      <c r="W52" s="175">
        <f>SUMIFS(月別入力!$I:$I,月別入力!$E:$E,設定!$C52,月別入力!$D:$D,設定!W$8,月別入力!$B:$B,設定!$B52)</f>
        <v>0</v>
      </c>
      <c r="X52" s="66">
        <f>SUMIFS(月別入力!$I:$I,月別入力!$E:$E,設定!$C52,月別入力!$D:$D,設定!X$8,月別入力!$B:$B,設定!$B52)</f>
        <v>0</v>
      </c>
    </row>
    <row r="53" spans="2:24" s="6" customFormat="1" ht="15" customHeight="1" x14ac:dyDescent="0.2">
      <c r="B53" s="201" t="str">
        <f t="shared" si="1"/>
        <v>&lt;=12</v>
      </c>
      <c r="C53" s="63"/>
      <c r="D53" s="68"/>
      <c r="E53" s="64"/>
      <c r="F53" s="69"/>
      <c r="G53" s="65">
        <f t="shared" si="2"/>
        <v>0</v>
      </c>
      <c r="H53" s="64">
        <f>SUMIFS(月別入力!$I:$I,月別入力!$E:$E,設定!$C53,月別入力!$D:$D,設定!H$8,月別入力!$B:$B,設定!$B53)</f>
        <v>0</v>
      </c>
      <c r="I53" s="64">
        <f>SUMIFS(月別入力!$I:$I,月別入力!$E:$E,設定!$C53,月別入力!$D:$D,設定!I$8,月別入力!$B:$B,設定!$B53)</f>
        <v>0</v>
      </c>
      <c r="J53" s="64">
        <f>SUMIFS(月別入力!$I:$I,月別入力!$E:$E,設定!$C53,月別入力!$D:$D,設定!J$8,月別入力!$B:$B,設定!$B53)</f>
        <v>0</v>
      </c>
      <c r="K53" s="64">
        <f>SUMIFS(月別入力!$I:$I,月別入力!$E:$E,設定!$C53,月別入力!$D:$D,設定!K$8,月別入力!$B:$B,設定!$B53)</f>
        <v>0</v>
      </c>
      <c r="L53" s="64">
        <f>SUMIFS(月別入力!$I:$I,月別入力!$E:$E,設定!$C53,月別入力!$D:$D,設定!L$8,月別入力!$B:$B,設定!$B53)</f>
        <v>0</v>
      </c>
      <c r="M53" s="64">
        <f>SUMIFS(月別入力!$I:$I,月別入力!$E:$E,設定!$C53,月別入力!$D:$D,設定!M$8,月別入力!$B:$B,設定!$B53)</f>
        <v>0</v>
      </c>
      <c r="N53" s="64">
        <f>SUMIFS(月別入力!$I:$I,月別入力!$E:$E,設定!$C53,月別入力!$D:$D,設定!N$8,月別入力!$B:$B,設定!$B53)</f>
        <v>0</v>
      </c>
      <c r="O53" s="64">
        <f>SUMIFS(月別入力!$I:$I,月別入力!$E:$E,設定!$C53,月別入力!$D:$D,設定!O$8,月別入力!$B:$B,設定!$B53)</f>
        <v>0</v>
      </c>
      <c r="P53" s="64">
        <f>SUMIFS(月別入力!$I:$I,月別入力!$E:$E,設定!$C53,月別入力!$D:$D,設定!P$8,月別入力!$B:$B,設定!$B53)</f>
        <v>0</v>
      </c>
      <c r="Q53" s="64">
        <f>SUMIFS(月別入力!$I:$I,月別入力!$E:$E,設定!$C53,月別入力!$D:$D,設定!Q$8,月別入力!$B:$B,設定!$B53)</f>
        <v>0</v>
      </c>
      <c r="R53" s="64">
        <f>SUMIFS(月別入力!$I:$I,月別入力!$E:$E,設定!$C53,月別入力!$D:$D,設定!R$8,月別入力!$B:$B,設定!$B53)</f>
        <v>0</v>
      </c>
      <c r="S53" s="64">
        <f>SUMIFS(月別入力!$I:$I,月別入力!$E:$E,設定!$C53,月別入力!$D:$D,設定!S$8,月別入力!$B:$B,設定!$B53)</f>
        <v>0</v>
      </c>
      <c r="T53" s="64">
        <f>SUMIFS(月別入力!$I:$I,月別入力!$E:$E,設定!$C53,月別入力!$D:$D,設定!T$8,月別入力!$B:$B,設定!$B53)</f>
        <v>0</v>
      </c>
      <c r="U53" s="175">
        <f>SUMIFS(月別入力!$I:$I,月別入力!$E:$E,設定!$C53,月別入力!$D:$D,設定!U$8,月別入力!$B:$B,設定!$B53)</f>
        <v>0</v>
      </c>
      <c r="V53" s="175">
        <f>SUMIFS(月別入力!$I:$I,月別入力!$E:$E,設定!$C53,月別入力!$D:$D,設定!V$8,月別入力!$B:$B,設定!$B53)</f>
        <v>0</v>
      </c>
      <c r="W53" s="175">
        <f>SUMIFS(月別入力!$I:$I,月別入力!$E:$E,設定!$C53,月別入力!$D:$D,設定!W$8,月別入力!$B:$B,設定!$B53)</f>
        <v>0</v>
      </c>
      <c r="X53" s="66">
        <f>SUMIFS(月別入力!$I:$I,月別入力!$E:$E,設定!$C53,月別入力!$D:$D,設定!X$8,月別入力!$B:$B,設定!$B53)</f>
        <v>0</v>
      </c>
    </row>
    <row r="54" spans="2:24" s="6" customFormat="1" ht="15" customHeight="1" x14ac:dyDescent="0.2">
      <c r="B54" s="201" t="str">
        <f t="shared" si="1"/>
        <v>&lt;=12</v>
      </c>
      <c r="C54" s="63"/>
      <c r="D54" s="68"/>
      <c r="E54" s="64"/>
      <c r="F54" s="69"/>
      <c r="G54" s="65">
        <f t="shared" si="2"/>
        <v>0</v>
      </c>
      <c r="H54" s="64">
        <f>SUMIFS(月別入力!$I:$I,月別入力!$E:$E,設定!$C54,月別入力!$D:$D,設定!H$8,月別入力!$B:$B,設定!$B54)</f>
        <v>0</v>
      </c>
      <c r="I54" s="64">
        <f>SUMIFS(月別入力!$I:$I,月別入力!$E:$E,設定!$C54,月別入力!$D:$D,設定!I$8,月別入力!$B:$B,設定!$B54)</f>
        <v>0</v>
      </c>
      <c r="J54" s="64">
        <f>SUMIFS(月別入力!$I:$I,月別入力!$E:$E,設定!$C54,月別入力!$D:$D,設定!J$8,月別入力!$B:$B,設定!$B54)</f>
        <v>0</v>
      </c>
      <c r="K54" s="64">
        <f>SUMIFS(月別入力!$I:$I,月別入力!$E:$E,設定!$C54,月別入力!$D:$D,設定!K$8,月別入力!$B:$B,設定!$B54)</f>
        <v>0</v>
      </c>
      <c r="L54" s="64">
        <f>SUMIFS(月別入力!$I:$I,月別入力!$E:$E,設定!$C54,月別入力!$D:$D,設定!L$8,月別入力!$B:$B,設定!$B54)</f>
        <v>0</v>
      </c>
      <c r="M54" s="64">
        <f>SUMIFS(月別入力!$I:$I,月別入力!$E:$E,設定!$C54,月別入力!$D:$D,設定!M$8,月別入力!$B:$B,設定!$B54)</f>
        <v>0</v>
      </c>
      <c r="N54" s="64">
        <f>SUMIFS(月別入力!$I:$I,月別入力!$E:$E,設定!$C54,月別入力!$D:$D,設定!N$8,月別入力!$B:$B,設定!$B54)</f>
        <v>0</v>
      </c>
      <c r="O54" s="64">
        <f>SUMIFS(月別入力!$I:$I,月別入力!$E:$E,設定!$C54,月別入力!$D:$D,設定!O$8,月別入力!$B:$B,設定!$B54)</f>
        <v>0</v>
      </c>
      <c r="P54" s="64">
        <f>SUMIFS(月別入力!$I:$I,月別入力!$E:$E,設定!$C54,月別入力!$D:$D,設定!P$8,月別入力!$B:$B,設定!$B54)</f>
        <v>0</v>
      </c>
      <c r="Q54" s="64">
        <f>SUMIFS(月別入力!$I:$I,月別入力!$E:$E,設定!$C54,月別入力!$D:$D,設定!Q$8,月別入力!$B:$B,設定!$B54)</f>
        <v>0</v>
      </c>
      <c r="R54" s="64">
        <f>SUMIFS(月別入力!$I:$I,月別入力!$E:$E,設定!$C54,月別入力!$D:$D,設定!R$8,月別入力!$B:$B,設定!$B54)</f>
        <v>0</v>
      </c>
      <c r="S54" s="64">
        <f>SUMIFS(月別入力!$I:$I,月別入力!$E:$E,設定!$C54,月別入力!$D:$D,設定!S$8,月別入力!$B:$B,設定!$B54)</f>
        <v>0</v>
      </c>
      <c r="T54" s="64">
        <f>SUMIFS(月別入力!$I:$I,月別入力!$E:$E,設定!$C54,月別入力!$D:$D,設定!T$8,月別入力!$B:$B,設定!$B54)</f>
        <v>0</v>
      </c>
      <c r="U54" s="175">
        <f>SUMIFS(月別入力!$I:$I,月別入力!$E:$E,設定!$C54,月別入力!$D:$D,設定!U$8,月別入力!$B:$B,設定!$B54)</f>
        <v>0</v>
      </c>
      <c r="V54" s="175">
        <f>SUMIFS(月別入力!$I:$I,月別入力!$E:$E,設定!$C54,月別入力!$D:$D,設定!V$8,月別入力!$B:$B,設定!$B54)</f>
        <v>0</v>
      </c>
      <c r="W54" s="175">
        <f>SUMIFS(月別入力!$I:$I,月別入力!$E:$E,設定!$C54,月別入力!$D:$D,設定!W$8,月別入力!$B:$B,設定!$B54)</f>
        <v>0</v>
      </c>
      <c r="X54" s="66">
        <f>SUMIFS(月別入力!$I:$I,月別入力!$E:$E,設定!$C54,月別入力!$D:$D,設定!X$8,月別入力!$B:$B,設定!$B54)</f>
        <v>0</v>
      </c>
    </row>
    <row r="55" spans="2:24" s="6" customFormat="1" ht="15" customHeight="1" x14ac:dyDescent="0.2">
      <c r="B55" s="201" t="str">
        <f t="shared" si="1"/>
        <v>&lt;=12</v>
      </c>
      <c r="C55" s="63"/>
      <c r="D55" s="68"/>
      <c r="E55" s="64"/>
      <c r="F55" s="69"/>
      <c r="G55" s="65">
        <f t="shared" si="2"/>
        <v>0</v>
      </c>
      <c r="H55" s="64">
        <f>SUMIFS(月別入力!$I:$I,月別入力!$E:$E,設定!$C55,月別入力!$D:$D,設定!H$8,月別入力!$B:$B,設定!$B55)</f>
        <v>0</v>
      </c>
      <c r="I55" s="64">
        <f>SUMIFS(月別入力!$I:$I,月別入力!$E:$E,設定!$C55,月別入力!$D:$D,設定!I$8,月別入力!$B:$B,設定!$B55)</f>
        <v>0</v>
      </c>
      <c r="J55" s="64">
        <f>SUMIFS(月別入力!$I:$I,月別入力!$E:$E,設定!$C55,月別入力!$D:$D,設定!J$8,月別入力!$B:$B,設定!$B55)</f>
        <v>0</v>
      </c>
      <c r="K55" s="64">
        <f>SUMIFS(月別入力!$I:$I,月別入力!$E:$E,設定!$C55,月別入力!$D:$D,設定!K$8,月別入力!$B:$B,設定!$B55)</f>
        <v>0</v>
      </c>
      <c r="L55" s="64">
        <f>SUMIFS(月別入力!$I:$I,月別入力!$E:$E,設定!$C55,月別入力!$D:$D,設定!L$8,月別入力!$B:$B,設定!$B55)</f>
        <v>0</v>
      </c>
      <c r="M55" s="64">
        <f>SUMIFS(月別入力!$I:$I,月別入力!$E:$E,設定!$C55,月別入力!$D:$D,設定!M$8,月別入力!$B:$B,設定!$B55)</f>
        <v>0</v>
      </c>
      <c r="N55" s="64">
        <f>SUMIFS(月別入力!$I:$I,月別入力!$E:$E,設定!$C55,月別入力!$D:$D,設定!N$8,月別入力!$B:$B,設定!$B55)</f>
        <v>0</v>
      </c>
      <c r="O55" s="64">
        <f>SUMIFS(月別入力!$I:$I,月別入力!$E:$E,設定!$C55,月別入力!$D:$D,設定!O$8,月別入力!$B:$B,設定!$B55)</f>
        <v>0</v>
      </c>
      <c r="P55" s="64">
        <f>SUMIFS(月別入力!$I:$I,月別入力!$E:$E,設定!$C55,月別入力!$D:$D,設定!P$8,月別入力!$B:$B,設定!$B55)</f>
        <v>0</v>
      </c>
      <c r="Q55" s="64">
        <f>SUMIFS(月別入力!$I:$I,月別入力!$E:$E,設定!$C55,月別入力!$D:$D,設定!Q$8,月別入力!$B:$B,設定!$B55)</f>
        <v>0</v>
      </c>
      <c r="R55" s="64">
        <f>SUMIFS(月別入力!$I:$I,月別入力!$E:$E,設定!$C55,月別入力!$D:$D,設定!R$8,月別入力!$B:$B,設定!$B55)</f>
        <v>0</v>
      </c>
      <c r="S55" s="64">
        <f>SUMIFS(月別入力!$I:$I,月別入力!$E:$E,設定!$C55,月別入力!$D:$D,設定!S$8,月別入力!$B:$B,設定!$B55)</f>
        <v>0</v>
      </c>
      <c r="T55" s="64">
        <f>SUMIFS(月別入力!$I:$I,月別入力!$E:$E,設定!$C55,月別入力!$D:$D,設定!T$8,月別入力!$B:$B,設定!$B55)</f>
        <v>0</v>
      </c>
      <c r="U55" s="175">
        <f>SUMIFS(月別入力!$I:$I,月別入力!$E:$E,設定!$C55,月別入力!$D:$D,設定!U$8,月別入力!$B:$B,設定!$B55)</f>
        <v>0</v>
      </c>
      <c r="V55" s="175">
        <f>SUMIFS(月別入力!$I:$I,月別入力!$E:$E,設定!$C55,月別入力!$D:$D,設定!V$8,月別入力!$B:$B,設定!$B55)</f>
        <v>0</v>
      </c>
      <c r="W55" s="175">
        <f>SUMIFS(月別入力!$I:$I,月別入力!$E:$E,設定!$C55,月別入力!$D:$D,設定!W$8,月別入力!$B:$B,設定!$B55)</f>
        <v>0</v>
      </c>
      <c r="X55" s="66">
        <f>SUMIFS(月別入力!$I:$I,月別入力!$E:$E,設定!$C55,月別入力!$D:$D,設定!X$8,月別入力!$B:$B,設定!$B55)</f>
        <v>0</v>
      </c>
    </row>
    <row r="56" spans="2:24" s="6" customFormat="1" ht="15" customHeight="1" x14ac:dyDescent="0.2">
      <c r="B56" s="201" t="str">
        <f t="shared" si="1"/>
        <v>&lt;=12</v>
      </c>
      <c r="C56" s="63"/>
      <c r="D56" s="68"/>
      <c r="E56" s="64"/>
      <c r="F56" s="69"/>
      <c r="G56" s="65">
        <f t="shared" si="2"/>
        <v>0</v>
      </c>
      <c r="H56" s="64">
        <f>SUMIFS(月別入力!$I:$I,月別入力!$E:$E,設定!$C56,月別入力!$D:$D,設定!H$8,月別入力!$B:$B,設定!$B56)</f>
        <v>0</v>
      </c>
      <c r="I56" s="64">
        <f>SUMIFS(月別入力!$I:$I,月別入力!$E:$E,設定!$C56,月別入力!$D:$D,設定!I$8,月別入力!$B:$B,設定!$B56)</f>
        <v>0</v>
      </c>
      <c r="J56" s="64">
        <f>SUMIFS(月別入力!$I:$I,月別入力!$E:$E,設定!$C56,月別入力!$D:$D,設定!J$8,月別入力!$B:$B,設定!$B56)</f>
        <v>0</v>
      </c>
      <c r="K56" s="64">
        <f>SUMIFS(月別入力!$I:$I,月別入力!$E:$E,設定!$C56,月別入力!$D:$D,設定!K$8,月別入力!$B:$B,設定!$B56)</f>
        <v>0</v>
      </c>
      <c r="L56" s="64">
        <f>SUMIFS(月別入力!$I:$I,月別入力!$E:$E,設定!$C56,月別入力!$D:$D,設定!L$8,月別入力!$B:$B,設定!$B56)</f>
        <v>0</v>
      </c>
      <c r="M56" s="64">
        <f>SUMIFS(月別入力!$I:$I,月別入力!$E:$E,設定!$C56,月別入力!$D:$D,設定!M$8,月別入力!$B:$B,設定!$B56)</f>
        <v>0</v>
      </c>
      <c r="N56" s="64">
        <f>SUMIFS(月別入力!$I:$I,月別入力!$E:$E,設定!$C56,月別入力!$D:$D,設定!N$8,月別入力!$B:$B,設定!$B56)</f>
        <v>0</v>
      </c>
      <c r="O56" s="64">
        <f>SUMIFS(月別入力!$I:$I,月別入力!$E:$E,設定!$C56,月別入力!$D:$D,設定!O$8,月別入力!$B:$B,設定!$B56)</f>
        <v>0</v>
      </c>
      <c r="P56" s="64">
        <f>SUMIFS(月別入力!$I:$I,月別入力!$E:$E,設定!$C56,月別入力!$D:$D,設定!P$8,月別入力!$B:$B,設定!$B56)</f>
        <v>0</v>
      </c>
      <c r="Q56" s="64">
        <f>SUMIFS(月別入力!$I:$I,月別入力!$E:$E,設定!$C56,月別入力!$D:$D,設定!Q$8,月別入力!$B:$B,設定!$B56)</f>
        <v>0</v>
      </c>
      <c r="R56" s="64">
        <f>SUMIFS(月別入力!$I:$I,月別入力!$E:$E,設定!$C56,月別入力!$D:$D,設定!R$8,月別入力!$B:$B,設定!$B56)</f>
        <v>0</v>
      </c>
      <c r="S56" s="64">
        <f>SUMIFS(月別入力!$I:$I,月別入力!$E:$E,設定!$C56,月別入力!$D:$D,設定!S$8,月別入力!$B:$B,設定!$B56)</f>
        <v>0</v>
      </c>
      <c r="T56" s="64">
        <f>SUMIFS(月別入力!$I:$I,月別入力!$E:$E,設定!$C56,月別入力!$D:$D,設定!T$8,月別入力!$B:$B,設定!$B56)</f>
        <v>0</v>
      </c>
      <c r="U56" s="175">
        <f>SUMIFS(月別入力!$I:$I,月別入力!$E:$E,設定!$C56,月別入力!$D:$D,設定!U$8,月別入力!$B:$B,設定!$B56)</f>
        <v>0</v>
      </c>
      <c r="V56" s="175">
        <f>SUMIFS(月別入力!$I:$I,月別入力!$E:$E,設定!$C56,月別入力!$D:$D,設定!V$8,月別入力!$B:$B,設定!$B56)</f>
        <v>0</v>
      </c>
      <c r="W56" s="175">
        <f>SUMIFS(月別入力!$I:$I,月別入力!$E:$E,設定!$C56,月別入力!$D:$D,設定!W$8,月別入力!$B:$B,設定!$B56)</f>
        <v>0</v>
      </c>
      <c r="X56" s="66">
        <f>SUMIFS(月別入力!$I:$I,月別入力!$E:$E,設定!$C56,月別入力!$D:$D,設定!X$8,月別入力!$B:$B,設定!$B56)</f>
        <v>0</v>
      </c>
    </row>
    <row r="57" spans="2:24" s="6" customFormat="1" ht="15" customHeight="1" x14ac:dyDescent="0.2">
      <c r="B57" s="201" t="str">
        <f t="shared" si="1"/>
        <v>&lt;=12</v>
      </c>
      <c r="C57" s="63"/>
      <c r="D57" s="68"/>
      <c r="E57" s="64"/>
      <c r="F57" s="69"/>
      <c r="G57" s="65">
        <f t="shared" si="2"/>
        <v>0</v>
      </c>
      <c r="H57" s="64">
        <f>SUMIFS(月別入力!$I:$I,月別入力!$E:$E,設定!$C57,月別入力!$D:$D,設定!H$8,月別入力!$B:$B,設定!$B57)</f>
        <v>0</v>
      </c>
      <c r="I57" s="64">
        <f>SUMIFS(月別入力!$I:$I,月別入力!$E:$E,設定!$C57,月別入力!$D:$D,設定!I$8,月別入力!$B:$B,設定!$B57)</f>
        <v>0</v>
      </c>
      <c r="J57" s="64">
        <f>SUMIFS(月別入力!$I:$I,月別入力!$E:$E,設定!$C57,月別入力!$D:$D,設定!J$8,月別入力!$B:$B,設定!$B57)</f>
        <v>0</v>
      </c>
      <c r="K57" s="64">
        <f>SUMIFS(月別入力!$I:$I,月別入力!$E:$E,設定!$C57,月別入力!$D:$D,設定!K$8,月別入力!$B:$B,設定!$B57)</f>
        <v>0</v>
      </c>
      <c r="L57" s="64">
        <f>SUMIFS(月別入力!$I:$I,月別入力!$E:$E,設定!$C57,月別入力!$D:$D,設定!L$8,月別入力!$B:$B,設定!$B57)</f>
        <v>0</v>
      </c>
      <c r="M57" s="64">
        <f>SUMIFS(月別入力!$I:$I,月別入力!$E:$E,設定!$C57,月別入力!$D:$D,設定!M$8,月別入力!$B:$B,設定!$B57)</f>
        <v>0</v>
      </c>
      <c r="N57" s="64">
        <f>SUMIFS(月別入力!$I:$I,月別入力!$E:$E,設定!$C57,月別入力!$D:$D,設定!N$8,月別入力!$B:$B,設定!$B57)</f>
        <v>0</v>
      </c>
      <c r="O57" s="64">
        <f>SUMIFS(月別入力!$I:$I,月別入力!$E:$E,設定!$C57,月別入力!$D:$D,設定!O$8,月別入力!$B:$B,設定!$B57)</f>
        <v>0</v>
      </c>
      <c r="P57" s="64">
        <f>SUMIFS(月別入力!$I:$I,月別入力!$E:$E,設定!$C57,月別入力!$D:$D,設定!P$8,月別入力!$B:$B,設定!$B57)</f>
        <v>0</v>
      </c>
      <c r="Q57" s="64">
        <f>SUMIFS(月別入力!$I:$I,月別入力!$E:$E,設定!$C57,月別入力!$D:$D,設定!Q$8,月別入力!$B:$B,設定!$B57)</f>
        <v>0</v>
      </c>
      <c r="R57" s="64">
        <f>SUMIFS(月別入力!$I:$I,月別入力!$E:$E,設定!$C57,月別入力!$D:$D,設定!R$8,月別入力!$B:$B,設定!$B57)</f>
        <v>0</v>
      </c>
      <c r="S57" s="64">
        <f>SUMIFS(月別入力!$I:$I,月別入力!$E:$E,設定!$C57,月別入力!$D:$D,設定!S$8,月別入力!$B:$B,設定!$B57)</f>
        <v>0</v>
      </c>
      <c r="T57" s="64">
        <f>SUMIFS(月別入力!$I:$I,月別入力!$E:$E,設定!$C57,月別入力!$D:$D,設定!T$8,月別入力!$B:$B,設定!$B57)</f>
        <v>0</v>
      </c>
      <c r="U57" s="175">
        <f>SUMIFS(月別入力!$I:$I,月別入力!$E:$E,設定!$C57,月別入力!$D:$D,設定!U$8,月別入力!$B:$B,設定!$B57)</f>
        <v>0</v>
      </c>
      <c r="V57" s="175">
        <f>SUMIFS(月別入力!$I:$I,月別入力!$E:$E,設定!$C57,月別入力!$D:$D,設定!V$8,月別入力!$B:$B,設定!$B57)</f>
        <v>0</v>
      </c>
      <c r="W57" s="175">
        <f>SUMIFS(月別入力!$I:$I,月別入力!$E:$E,設定!$C57,月別入力!$D:$D,設定!W$8,月別入力!$B:$B,設定!$B57)</f>
        <v>0</v>
      </c>
      <c r="X57" s="66">
        <f>SUMIFS(月別入力!$I:$I,月別入力!$E:$E,設定!$C57,月別入力!$D:$D,設定!X$8,月別入力!$B:$B,設定!$B57)</f>
        <v>0</v>
      </c>
    </row>
    <row r="58" spans="2:24" s="6" customFormat="1" ht="15" customHeight="1" x14ac:dyDescent="0.2">
      <c r="B58" s="201" t="str">
        <f t="shared" si="1"/>
        <v>&lt;=12</v>
      </c>
      <c r="C58" s="63"/>
      <c r="D58" s="68"/>
      <c r="E58" s="64"/>
      <c r="F58" s="69"/>
      <c r="G58" s="65">
        <f t="shared" si="2"/>
        <v>0</v>
      </c>
      <c r="H58" s="64">
        <f>SUMIFS(月別入力!$I:$I,月別入力!$E:$E,設定!$C58,月別入力!$D:$D,設定!H$8,月別入力!$B:$B,設定!$B58)</f>
        <v>0</v>
      </c>
      <c r="I58" s="64">
        <f>SUMIFS(月別入力!$I:$I,月別入力!$E:$E,設定!$C58,月別入力!$D:$D,設定!I$8,月別入力!$B:$B,設定!$B58)</f>
        <v>0</v>
      </c>
      <c r="J58" s="64">
        <f>SUMIFS(月別入力!$I:$I,月別入力!$E:$E,設定!$C58,月別入力!$D:$D,設定!J$8,月別入力!$B:$B,設定!$B58)</f>
        <v>0</v>
      </c>
      <c r="K58" s="64">
        <f>SUMIFS(月別入力!$I:$I,月別入力!$E:$E,設定!$C58,月別入力!$D:$D,設定!K$8,月別入力!$B:$B,設定!$B58)</f>
        <v>0</v>
      </c>
      <c r="L58" s="64">
        <f>SUMIFS(月別入力!$I:$I,月別入力!$E:$E,設定!$C58,月別入力!$D:$D,設定!L$8,月別入力!$B:$B,設定!$B58)</f>
        <v>0</v>
      </c>
      <c r="M58" s="64">
        <f>SUMIFS(月別入力!$I:$I,月別入力!$E:$E,設定!$C58,月別入力!$D:$D,設定!M$8,月別入力!$B:$B,設定!$B58)</f>
        <v>0</v>
      </c>
      <c r="N58" s="64">
        <f>SUMIFS(月別入力!$I:$I,月別入力!$E:$E,設定!$C58,月別入力!$D:$D,設定!N$8,月別入力!$B:$B,設定!$B58)</f>
        <v>0</v>
      </c>
      <c r="O58" s="64">
        <f>SUMIFS(月別入力!$I:$I,月別入力!$E:$E,設定!$C58,月別入力!$D:$D,設定!O$8,月別入力!$B:$B,設定!$B58)</f>
        <v>0</v>
      </c>
      <c r="P58" s="64">
        <f>SUMIFS(月別入力!$I:$I,月別入力!$E:$E,設定!$C58,月別入力!$D:$D,設定!P$8,月別入力!$B:$B,設定!$B58)</f>
        <v>0</v>
      </c>
      <c r="Q58" s="64">
        <f>SUMIFS(月別入力!$I:$I,月別入力!$E:$E,設定!$C58,月別入力!$D:$D,設定!Q$8,月別入力!$B:$B,設定!$B58)</f>
        <v>0</v>
      </c>
      <c r="R58" s="64">
        <f>SUMIFS(月別入力!$I:$I,月別入力!$E:$E,設定!$C58,月別入力!$D:$D,設定!R$8,月別入力!$B:$B,設定!$B58)</f>
        <v>0</v>
      </c>
      <c r="S58" s="64">
        <f>SUMIFS(月別入力!$I:$I,月別入力!$E:$E,設定!$C58,月別入力!$D:$D,設定!S$8,月別入力!$B:$B,設定!$B58)</f>
        <v>0</v>
      </c>
      <c r="T58" s="64">
        <f>SUMIFS(月別入力!$I:$I,月別入力!$E:$E,設定!$C58,月別入力!$D:$D,設定!T$8,月別入力!$B:$B,設定!$B58)</f>
        <v>0</v>
      </c>
      <c r="U58" s="175">
        <f>SUMIFS(月別入力!$I:$I,月別入力!$E:$E,設定!$C58,月別入力!$D:$D,設定!U$8,月別入力!$B:$B,設定!$B58)</f>
        <v>0</v>
      </c>
      <c r="V58" s="175">
        <f>SUMIFS(月別入力!$I:$I,月別入力!$E:$E,設定!$C58,月別入力!$D:$D,設定!V$8,月別入力!$B:$B,設定!$B58)</f>
        <v>0</v>
      </c>
      <c r="W58" s="175">
        <f>SUMIFS(月別入力!$I:$I,月別入力!$E:$E,設定!$C58,月別入力!$D:$D,設定!W$8,月別入力!$B:$B,設定!$B58)</f>
        <v>0</v>
      </c>
      <c r="X58" s="66">
        <f>SUMIFS(月別入力!$I:$I,月別入力!$E:$E,設定!$C58,月別入力!$D:$D,設定!X$8,月別入力!$B:$B,設定!$B58)</f>
        <v>0</v>
      </c>
    </row>
    <row r="59" spans="2:24" s="6" customFormat="1" ht="15" customHeight="1" x14ac:dyDescent="0.2">
      <c r="B59" s="201" t="str">
        <f t="shared" si="1"/>
        <v>&lt;=12</v>
      </c>
      <c r="C59" s="63"/>
      <c r="D59" s="68"/>
      <c r="E59" s="64"/>
      <c r="F59" s="69"/>
      <c r="G59" s="65">
        <f t="shared" si="2"/>
        <v>0</v>
      </c>
      <c r="H59" s="64">
        <f>SUMIFS(月別入力!$I:$I,月別入力!$E:$E,設定!$C59,月別入力!$D:$D,設定!H$8,月別入力!$B:$B,設定!$B59)</f>
        <v>0</v>
      </c>
      <c r="I59" s="64">
        <f>SUMIFS(月別入力!$I:$I,月別入力!$E:$E,設定!$C59,月別入力!$D:$D,設定!I$8,月別入力!$B:$B,設定!$B59)</f>
        <v>0</v>
      </c>
      <c r="J59" s="64">
        <f>SUMIFS(月別入力!$I:$I,月別入力!$E:$E,設定!$C59,月別入力!$D:$D,設定!J$8,月別入力!$B:$B,設定!$B59)</f>
        <v>0</v>
      </c>
      <c r="K59" s="64">
        <f>SUMIFS(月別入力!$I:$I,月別入力!$E:$E,設定!$C59,月別入力!$D:$D,設定!K$8,月別入力!$B:$B,設定!$B59)</f>
        <v>0</v>
      </c>
      <c r="L59" s="64">
        <f>SUMIFS(月別入力!$I:$I,月別入力!$E:$E,設定!$C59,月別入力!$D:$D,設定!L$8,月別入力!$B:$B,設定!$B59)</f>
        <v>0</v>
      </c>
      <c r="M59" s="64">
        <f>SUMIFS(月別入力!$I:$I,月別入力!$E:$E,設定!$C59,月別入力!$D:$D,設定!M$8,月別入力!$B:$B,設定!$B59)</f>
        <v>0</v>
      </c>
      <c r="N59" s="64">
        <f>SUMIFS(月別入力!$I:$I,月別入力!$E:$E,設定!$C59,月別入力!$D:$D,設定!N$8,月別入力!$B:$B,設定!$B59)</f>
        <v>0</v>
      </c>
      <c r="O59" s="64">
        <f>SUMIFS(月別入力!$I:$I,月別入力!$E:$E,設定!$C59,月別入力!$D:$D,設定!O$8,月別入力!$B:$B,設定!$B59)</f>
        <v>0</v>
      </c>
      <c r="P59" s="64">
        <f>SUMIFS(月別入力!$I:$I,月別入力!$E:$E,設定!$C59,月別入力!$D:$D,設定!P$8,月別入力!$B:$B,設定!$B59)</f>
        <v>0</v>
      </c>
      <c r="Q59" s="64">
        <f>SUMIFS(月別入力!$I:$I,月別入力!$E:$E,設定!$C59,月別入力!$D:$D,設定!Q$8,月別入力!$B:$B,設定!$B59)</f>
        <v>0</v>
      </c>
      <c r="R59" s="64">
        <f>SUMIFS(月別入力!$I:$I,月別入力!$E:$E,設定!$C59,月別入力!$D:$D,設定!R$8,月別入力!$B:$B,設定!$B59)</f>
        <v>0</v>
      </c>
      <c r="S59" s="64">
        <f>SUMIFS(月別入力!$I:$I,月別入力!$E:$E,設定!$C59,月別入力!$D:$D,設定!S$8,月別入力!$B:$B,設定!$B59)</f>
        <v>0</v>
      </c>
      <c r="T59" s="64">
        <f>SUMIFS(月別入力!$I:$I,月別入力!$E:$E,設定!$C59,月別入力!$D:$D,設定!T$8,月別入力!$B:$B,設定!$B59)</f>
        <v>0</v>
      </c>
      <c r="U59" s="175">
        <f>SUMIFS(月別入力!$I:$I,月別入力!$E:$E,設定!$C59,月別入力!$D:$D,設定!U$8,月別入力!$B:$B,設定!$B59)</f>
        <v>0</v>
      </c>
      <c r="V59" s="175">
        <f>SUMIFS(月別入力!$I:$I,月別入力!$E:$E,設定!$C59,月別入力!$D:$D,設定!V$8,月別入力!$B:$B,設定!$B59)</f>
        <v>0</v>
      </c>
      <c r="W59" s="175">
        <f>SUMIFS(月別入力!$I:$I,月別入力!$E:$E,設定!$C59,月別入力!$D:$D,設定!W$8,月別入力!$B:$B,設定!$B59)</f>
        <v>0</v>
      </c>
      <c r="X59" s="66">
        <f>SUMIFS(月別入力!$I:$I,月別入力!$E:$E,設定!$C59,月別入力!$D:$D,設定!X$8,月別入力!$B:$B,設定!$B59)</f>
        <v>0</v>
      </c>
    </row>
    <row r="60" spans="2:24" s="6" customFormat="1" ht="15" customHeight="1" x14ac:dyDescent="0.2">
      <c r="B60" s="201" t="str">
        <f t="shared" si="1"/>
        <v>&lt;=12</v>
      </c>
      <c r="C60" s="63"/>
      <c r="D60" s="68"/>
      <c r="E60" s="64"/>
      <c r="F60" s="69"/>
      <c r="G60" s="65">
        <f t="shared" si="2"/>
        <v>0</v>
      </c>
      <c r="H60" s="64">
        <f>SUMIFS(月別入力!$I:$I,月別入力!$E:$E,設定!$C60,月別入力!$D:$D,設定!H$8,月別入力!$B:$B,設定!$B60)</f>
        <v>0</v>
      </c>
      <c r="I60" s="64">
        <f>SUMIFS(月別入力!$I:$I,月別入力!$E:$E,設定!$C60,月別入力!$D:$D,設定!I$8,月別入力!$B:$B,設定!$B60)</f>
        <v>0</v>
      </c>
      <c r="J60" s="64">
        <f>SUMIFS(月別入力!$I:$I,月別入力!$E:$E,設定!$C60,月別入力!$D:$D,設定!J$8,月別入力!$B:$B,設定!$B60)</f>
        <v>0</v>
      </c>
      <c r="K60" s="64">
        <f>SUMIFS(月別入力!$I:$I,月別入力!$E:$E,設定!$C60,月別入力!$D:$D,設定!K$8,月別入力!$B:$B,設定!$B60)</f>
        <v>0</v>
      </c>
      <c r="L60" s="64">
        <f>SUMIFS(月別入力!$I:$I,月別入力!$E:$E,設定!$C60,月別入力!$D:$D,設定!L$8,月別入力!$B:$B,設定!$B60)</f>
        <v>0</v>
      </c>
      <c r="M60" s="64">
        <f>SUMIFS(月別入力!$I:$I,月別入力!$E:$E,設定!$C60,月別入力!$D:$D,設定!M$8,月別入力!$B:$B,設定!$B60)</f>
        <v>0</v>
      </c>
      <c r="N60" s="64">
        <f>SUMIFS(月別入力!$I:$I,月別入力!$E:$E,設定!$C60,月別入力!$D:$D,設定!N$8,月別入力!$B:$B,設定!$B60)</f>
        <v>0</v>
      </c>
      <c r="O60" s="64">
        <f>SUMIFS(月別入力!$I:$I,月別入力!$E:$E,設定!$C60,月別入力!$D:$D,設定!O$8,月別入力!$B:$B,設定!$B60)</f>
        <v>0</v>
      </c>
      <c r="P60" s="64">
        <f>SUMIFS(月別入力!$I:$I,月別入力!$E:$E,設定!$C60,月別入力!$D:$D,設定!P$8,月別入力!$B:$B,設定!$B60)</f>
        <v>0</v>
      </c>
      <c r="Q60" s="64">
        <f>SUMIFS(月別入力!$I:$I,月別入力!$E:$E,設定!$C60,月別入力!$D:$D,設定!Q$8,月別入力!$B:$B,設定!$B60)</f>
        <v>0</v>
      </c>
      <c r="R60" s="64">
        <f>SUMIFS(月別入力!$I:$I,月別入力!$E:$E,設定!$C60,月別入力!$D:$D,設定!R$8,月別入力!$B:$B,設定!$B60)</f>
        <v>0</v>
      </c>
      <c r="S60" s="64">
        <f>SUMIFS(月別入力!$I:$I,月別入力!$E:$E,設定!$C60,月別入力!$D:$D,設定!S$8,月別入力!$B:$B,設定!$B60)</f>
        <v>0</v>
      </c>
      <c r="T60" s="64">
        <f>SUMIFS(月別入力!$I:$I,月別入力!$E:$E,設定!$C60,月別入力!$D:$D,設定!T$8,月別入力!$B:$B,設定!$B60)</f>
        <v>0</v>
      </c>
      <c r="U60" s="175">
        <f>SUMIFS(月別入力!$I:$I,月別入力!$E:$E,設定!$C60,月別入力!$D:$D,設定!U$8,月別入力!$B:$B,設定!$B60)</f>
        <v>0</v>
      </c>
      <c r="V60" s="175">
        <f>SUMIFS(月別入力!$I:$I,月別入力!$E:$E,設定!$C60,月別入力!$D:$D,設定!V$8,月別入力!$B:$B,設定!$B60)</f>
        <v>0</v>
      </c>
      <c r="W60" s="175">
        <f>SUMIFS(月別入力!$I:$I,月別入力!$E:$E,設定!$C60,月別入力!$D:$D,設定!W$8,月別入力!$B:$B,設定!$B60)</f>
        <v>0</v>
      </c>
      <c r="X60" s="66">
        <f>SUMIFS(月別入力!$I:$I,月別入力!$E:$E,設定!$C60,月別入力!$D:$D,設定!X$8,月別入力!$B:$B,設定!$B60)</f>
        <v>0</v>
      </c>
    </row>
    <row r="61" spans="2:24" s="6" customFormat="1" ht="15" customHeight="1" x14ac:dyDescent="0.2">
      <c r="B61" s="201" t="str">
        <f t="shared" si="1"/>
        <v>&lt;=12</v>
      </c>
      <c r="C61" s="63"/>
      <c r="D61" s="68"/>
      <c r="E61" s="64"/>
      <c r="F61" s="69"/>
      <c r="G61" s="65">
        <f t="shared" si="2"/>
        <v>0</v>
      </c>
      <c r="H61" s="64">
        <f>SUMIFS(月別入力!$I:$I,月別入力!$E:$E,設定!$C61,月別入力!$D:$D,設定!H$8,月別入力!$B:$B,設定!$B61)</f>
        <v>0</v>
      </c>
      <c r="I61" s="64">
        <f>SUMIFS(月別入力!$I:$I,月別入力!$E:$E,設定!$C61,月別入力!$D:$D,設定!I$8,月別入力!$B:$B,設定!$B61)</f>
        <v>0</v>
      </c>
      <c r="J61" s="64">
        <f>SUMIFS(月別入力!$I:$I,月別入力!$E:$E,設定!$C61,月別入力!$D:$D,設定!J$8,月別入力!$B:$B,設定!$B61)</f>
        <v>0</v>
      </c>
      <c r="K61" s="64">
        <f>SUMIFS(月別入力!$I:$I,月別入力!$E:$E,設定!$C61,月別入力!$D:$D,設定!K$8,月別入力!$B:$B,設定!$B61)</f>
        <v>0</v>
      </c>
      <c r="L61" s="64">
        <f>SUMIFS(月別入力!$I:$I,月別入力!$E:$E,設定!$C61,月別入力!$D:$D,設定!L$8,月別入力!$B:$B,設定!$B61)</f>
        <v>0</v>
      </c>
      <c r="M61" s="64">
        <f>SUMIFS(月別入力!$I:$I,月別入力!$E:$E,設定!$C61,月別入力!$D:$D,設定!M$8,月別入力!$B:$B,設定!$B61)</f>
        <v>0</v>
      </c>
      <c r="N61" s="64">
        <f>SUMIFS(月別入力!$I:$I,月別入力!$E:$E,設定!$C61,月別入力!$D:$D,設定!N$8,月別入力!$B:$B,設定!$B61)</f>
        <v>0</v>
      </c>
      <c r="O61" s="64">
        <f>SUMIFS(月別入力!$I:$I,月別入力!$E:$E,設定!$C61,月別入力!$D:$D,設定!O$8,月別入力!$B:$B,設定!$B61)</f>
        <v>0</v>
      </c>
      <c r="P61" s="64">
        <f>SUMIFS(月別入力!$I:$I,月別入力!$E:$E,設定!$C61,月別入力!$D:$D,設定!P$8,月別入力!$B:$B,設定!$B61)</f>
        <v>0</v>
      </c>
      <c r="Q61" s="64">
        <f>SUMIFS(月別入力!$I:$I,月別入力!$E:$E,設定!$C61,月別入力!$D:$D,設定!Q$8,月別入力!$B:$B,設定!$B61)</f>
        <v>0</v>
      </c>
      <c r="R61" s="64">
        <f>SUMIFS(月別入力!$I:$I,月別入力!$E:$E,設定!$C61,月別入力!$D:$D,設定!R$8,月別入力!$B:$B,設定!$B61)</f>
        <v>0</v>
      </c>
      <c r="S61" s="64">
        <f>SUMIFS(月別入力!$I:$I,月別入力!$E:$E,設定!$C61,月別入力!$D:$D,設定!S$8,月別入力!$B:$B,設定!$B61)</f>
        <v>0</v>
      </c>
      <c r="T61" s="64">
        <f>SUMIFS(月別入力!$I:$I,月別入力!$E:$E,設定!$C61,月別入力!$D:$D,設定!T$8,月別入力!$B:$B,設定!$B61)</f>
        <v>0</v>
      </c>
      <c r="U61" s="175">
        <f>SUMIFS(月別入力!$I:$I,月別入力!$E:$E,設定!$C61,月別入力!$D:$D,設定!U$8,月別入力!$B:$B,設定!$B61)</f>
        <v>0</v>
      </c>
      <c r="V61" s="175">
        <f>SUMIFS(月別入力!$I:$I,月別入力!$E:$E,設定!$C61,月別入力!$D:$D,設定!V$8,月別入力!$B:$B,設定!$B61)</f>
        <v>0</v>
      </c>
      <c r="W61" s="175">
        <f>SUMIFS(月別入力!$I:$I,月別入力!$E:$E,設定!$C61,月別入力!$D:$D,設定!W$8,月別入力!$B:$B,設定!$B61)</f>
        <v>0</v>
      </c>
      <c r="X61" s="66">
        <f>SUMIFS(月別入力!$I:$I,月別入力!$E:$E,設定!$C61,月別入力!$D:$D,設定!X$8,月別入力!$B:$B,設定!$B61)</f>
        <v>0</v>
      </c>
    </row>
    <row r="62" spans="2:24" s="6" customFormat="1" ht="15" customHeight="1" x14ac:dyDescent="0.2">
      <c r="B62" s="201" t="str">
        <f t="shared" si="1"/>
        <v>&lt;=12</v>
      </c>
      <c r="C62" s="63"/>
      <c r="D62" s="68"/>
      <c r="E62" s="64"/>
      <c r="F62" s="69"/>
      <c r="G62" s="65">
        <f t="shared" si="2"/>
        <v>0</v>
      </c>
      <c r="H62" s="64">
        <f>SUMIFS(月別入力!$I:$I,月別入力!$E:$E,設定!$C62,月別入力!$D:$D,設定!H$8,月別入力!$B:$B,設定!$B62)</f>
        <v>0</v>
      </c>
      <c r="I62" s="64">
        <f>SUMIFS(月別入力!$I:$I,月別入力!$E:$E,設定!$C62,月別入力!$D:$D,設定!I$8,月別入力!$B:$B,設定!$B62)</f>
        <v>0</v>
      </c>
      <c r="J62" s="64">
        <f>SUMIFS(月別入力!$I:$I,月別入力!$E:$E,設定!$C62,月別入力!$D:$D,設定!J$8,月別入力!$B:$B,設定!$B62)</f>
        <v>0</v>
      </c>
      <c r="K62" s="64">
        <f>SUMIFS(月別入力!$I:$I,月別入力!$E:$E,設定!$C62,月別入力!$D:$D,設定!K$8,月別入力!$B:$B,設定!$B62)</f>
        <v>0</v>
      </c>
      <c r="L62" s="64">
        <f>SUMIFS(月別入力!$I:$I,月別入力!$E:$E,設定!$C62,月別入力!$D:$D,設定!L$8,月別入力!$B:$B,設定!$B62)</f>
        <v>0</v>
      </c>
      <c r="M62" s="64">
        <f>SUMIFS(月別入力!$I:$I,月別入力!$E:$E,設定!$C62,月別入力!$D:$D,設定!M$8,月別入力!$B:$B,設定!$B62)</f>
        <v>0</v>
      </c>
      <c r="N62" s="64">
        <f>SUMIFS(月別入力!$I:$I,月別入力!$E:$E,設定!$C62,月別入力!$D:$D,設定!N$8,月別入力!$B:$B,設定!$B62)</f>
        <v>0</v>
      </c>
      <c r="O62" s="64">
        <f>SUMIFS(月別入力!$I:$I,月別入力!$E:$E,設定!$C62,月別入力!$D:$D,設定!O$8,月別入力!$B:$B,設定!$B62)</f>
        <v>0</v>
      </c>
      <c r="P62" s="64">
        <f>SUMIFS(月別入力!$I:$I,月別入力!$E:$E,設定!$C62,月別入力!$D:$D,設定!P$8,月別入力!$B:$B,設定!$B62)</f>
        <v>0</v>
      </c>
      <c r="Q62" s="64">
        <f>SUMIFS(月別入力!$I:$I,月別入力!$E:$E,設定!$C62,月別入力!$D:$D,設定!Q$8,月別入力!$B:$B,設定!$B62)</f>
        <v>0</v>
      </c>
      <c r="R62" s="64">
        <f>SUMIFS(月別入力!$I:$I,月別入力!$E:$E,設定!$C62,月別入力!$D:$D,設定!R$8,月別入力!$B:$B,設定!$B62)</f>
        <v>0</v>
      </c>
      <c r="S62" s="64">
        <f>SUMIFS(月別入力!$I:$I,月別入力!$E:$E,設定!$C62,月別入力!$D:$D,設定!S$8,月別入力!$B:$B,設定!$B62)</f>
        <v>0</v>
      </c>
      <c r="T62" s="64">
        <f>SUMIFS(月別入力!$I:$I,月別入力!$E:$E,設定!$C62,月別入力!$D:$D,設定!T$8,月別入力!$B:$B,設定!$B62)</f>
        <v>0</v>
      </c>
      <c r="U62" s="175">
        <f>SUMIFS(月別入力!$I:$I,月別入力!$E:$E,設定!$C62,月別入力!$D:$D,設定!U$8,月別入力!$B:$B,設定!$B62)</f>
        <v>0</v>
      </c>
      <c r="V62" s="175">
        <f>SUMIFS(月別入力!$I:$I,月別入力!$E:$E,設定!$C62,月別入力!$D:$D,設定!V$8,月別入力!$B:$B,設定!$B62)</f>
        <v>0</v>
      </c>
      <c r="W62" s="175">
        <f>SUMIFS(月別入力!$I:$I,月別入力!$E:$E,設定!$C62,月別入力!$D:$D,設定!W$8,月別入力!$B:$B,設定!$B62)</f>
        <v>0</v>
      </c>
      <c r="X62" s="66">
        <f>SUMIFS(月別入力!$I:$I,月別入力!$E:$E,設定!$C62,月別入力!$D:$D,設定!X$8,月別入力!$B:$B,設定!$B62)</f>
        <v>0</v>
      </c>
    </row>
    <row r="63" spans="2:24" s="6" customFormat="1" ht="15" customHeight="1" x14ac:dyDescent="0.2">
      <c r="B63" s="201" t="str">
        <f t="shared" si="1"/>
        <v>&lt;=12</v>
      </c>
      <c r="C63" s="63"/>
      <c r="D63" s="68"/>
      <c r="E63" s="64"/>
      <c r="F63" s="69"/>
      <c r="G63" s="65">
        <f t="shared" si="2"/>
        <v>0</v>
      </c>
      <c r="H63" s="64">
        <f>SUMIFS(月別入力!$I:$I,月別入力!$E:$E,設定!$C63,月別入力!$D:$D,設定!H$8,月別入力!$B:$B,設定!$B63)</f>
        <v>0</v>
      </c>
      <c r="I63" s="64">
        <f>SUMIFS(月別入力!$I:$I,月別入力!$E:$E,設定!$C63,月別入力!$D:$D,設定!I$8,月別入力!$B:$B,設定!$B63)</f>
        <v>0</v>
      </c>
      <c r="J63" s="64">
        <f>SUMIFS(月別入力!$I:$I,月別入力!$E:$E,設定!$C63,月別入力!$D:$D,設定!J$8,月別入力!$B:$B,設定!$B63)</f>
        <v>0</v>
      </c>
      <c r="K63" s="64">
        <f>SUMIFS(月別入力!$I:$I,月別入力!$E:$E,設定!$C63,月別入力!$D:$D,設定!K$8,月別入力!$B:$B,設定!$B63)</f>
        <v>0</v>
      </c>
      <c r="L63" s="64">
        <f>SUMIFS(月別入力!$I:$I,月別入力!$E:$E,設定!$C63,月別入力!$D:$D,設定!L$8,月別入力!$B:$B,設定!$B63)</f>
        <v>0</v>
      </c>
      <c r="M63" s="64">
        <f>SUMIFS(月別入力!$I:$I,月別入力!$E:$E,設定!$C63,月別入力!$D:$D,設定!M$8,月別入力!$B:$B,設定!$B63)</f>
        <v>0</v>
      </c>
      <c r="N63" s="64">
        <f>SUMIFS(月別入力!$I:$I,月別入力!$E:$E,設定!$C63,月別入力!$D:$D,設定!N$8,月別入力!$B:$B,設定!$B63)</f>
        <v>0</v>
      </c>
      <c r="O63" s="64">
        <f>SUMIFS(月別入力!$I:$I,月別入力!$E:$E,設定!$C63,月別入力!$D:$D,設定!O$8,月別入力!$B:$B,設定!$B63)</f>
        <v>0</v>
      </c>
      <c r="P63" s="64">
        <f>SUMIFS(月別入力!$I:$I,月別入力!$E:$E,設定!$C63,月別入力!$D:$D,設定!P$8,月別入力!$B:$B,設定!$B63)</f>
        <v>0</v>
      </c>
      <c r="Q63" s="64">
        <f>SUMIFS(月別入力!$I:$I,月別入力!$E:$E,設定!$C63,月別入力!$D:$D,設定!Q$8,月別入力!$B:$B,設定!$B63)</f>
        <v>0</v>
      </c>
      <c r="R63" s="64">
        <f>SUMIFS(月別入力!$I:$I,月別入力!$E:$E,設定!$C63,月別入力!$D:$D,設定!R$8,月別入力!$B:$B,設定!$B63)</f>
        <v>0</v>
      </c>
      <c r="S63" s="64">
        <f>SUMIFS(月別入力!$I:$I,月別入力!$E:$E,設定!$C63,月別入力!$D:$D,設定!S$8,月別入力!$B:$B,設定!$B63)</f>
        <v>0</v>
      </c>
      <c r="T63" s="64">
        <f>SUMIFS(月別入力!$I:$I,月別入力!$E:$E,設定!$C63,月別入力!$D:$D,設定!T$8,月別入力!$B:$B,設定!$B63)</f>
        <v>0</v>
      </c>
      <c r="U63" s="175">
        <f>SUMIFS(月別入力!$I:$I,月別入力!$E:$E,設定!$C63,月別入力!$D:$D,設定!U$8,月別入力!$B:$B,設定!$B63)</f>
        <v>0</v>
      </c>
      <c r="V63" s="175">
        <f>SUMIFS(月別入力!$I:$I,月別入力!$E:$E,設定!$C63,月別入力!$D:$D,設定!V$8,月別入力!$B:$B,設定!$B63)</f>
        <v>0</v>
      </c>
      <c r="W63" s="175">
        <f>SUMIFS(月別入力!$I:$I,月別入力!$E:$E,設定!$C63,月別入力!$D:$D,設定!W$8,月別入力!$B:$B,設定!$B63)</f>
        <v>0</v>
      </c>
      <c r="X63" s="66">
        <f>SUMIFS(月別入力!$I:$I,月別入力!$E:$E,設定!$C63,月別入力!$D:$D,設定!X$8,月別入力!$B:$B,設定!$B63)</f>
        <v>0</v>
      </c>
    </row>
    <row r="64" spans="2:24" s="6" customFormat="1" ht="15" customHeight="1" x14ac:dyDescent="0.2">
      <c r="B64" s="201" t="str">
        <f t="shared" si="1"/>
        <v>&lt;=12</v>
      </c>
      <c r="C64" s="63"/>
      <c r="D64" s="68"/>
      <c r="E64" s="64"/>
      <c r="F64" s="69"/>
      <c r="G64" s="65">
        <f t="shared" si="2"/>
        <v>0</v>
      </c>
      <c r="H64" s="64">
        <f>SUMIFS(月別入力!$I:$I,月別入力!$E:$E,設定!$C64,月別入力!$D:$D,設定!H$8,月別入力!$B:$B,設定!$B64)</f>
        <v>0</v>
      </c>
      <c r="I64" s="64">
        <f>SUMIFS(月別入力!$I:$I,月別入力!$E:$E,設定!$C64,月別入力!$D:$D,設定!I$8,月別入力!$B:$B,設定!$B64)</f>
        <v>0</v>
      </c>
      <c r="J64" s="64">
        <f>SUMIFS(月別入力!$I:$I,月別入力!$E:$E,設定!$C64,月別入力!$D:$D,設定!J$8,月別入力!$B:$B,設定!$B64)</f>
        <v>0</v>
      </c>
      <c r="K64" s="64">
        <f>SUMIFS(月別入力!$I:$I,月別入力!$E:$E,設定!$C64,月別入力!$D:$D,設定!K$8,月別入力!$B:$B,設定!$B64)</f>
        <v>0</v>
      </c>
      <c r="L64" s="64">
        <f>SUMIFS(月別入力!$I:$I,月別入力!$E:$E,設定!$C64,月別入力!$D:$D,設定!L$8,月別入力!$B:$B,設定!$B64)</f>
        <v>0</v>
      </c>
      <c r="M64" s="64">
        <f>SUMIFS(月別入力!$I:$I,月別入力!$E:$E,設定!$C64,月別入力!$D:$D,設定!M$8,月別入力!$B:$B,設定!$B64)</f>
        <v>0</v>
      </c>
      <c r="N64" s="64">
        <f>SUMIFS(月別入力!$I:$I,月別入力!$E:$E,設定!$C64,月別入力!$D:$D,設定!N$8,月別入力!$B:$B,設定!$B64)</f>
        <v>0</v>
      </c>
      <c r="O64" s="64">
        <f>SUMIFS(月別入力!$I:$I,月別入力!$E:$E,設定!$C64,月別入力!$D:$D,設定!O$8,月別入力!$B:$B,設定!$B64)</f>
        <v>0</v>
      </c>
      <c r="P64" s="64">
        <f>SUMIFS(月別入力!$I:$I,月別入力!$E:$E,設定!$C64,月別入力!$D:$D,設定!P$8,月別入力!$B:$B,設定!$B64)</f>
        <v>0</v>
      </c>
      <c r="Q64" s="64">
        <f>SUMIFS(月別入力!$I:$I,月別入力!$E:$E,設定!$C64,月別入力!$D:$D,設定!Q$8,月別入力!$B:$B,設定!$B64)</f>
        <v>0</v>
      </c>
      <c r="R64" s="64">
        <f>SUMIFS(月別入力!$I:$I,月別入力!$E:$E,設定!$C64,月別入力!$D:$D,設定!R$8,月別入力!$B:$B,設定!$B64)</f>
        <v>0</v>
      </c>
      <c r="S64" s="64">
        <f>SUMIFS(月別入力!$I:$I,月別入力!$E:$E,設定!$C64,月別入力!$D:$D,設定!S$8,月別入力!$B:$B,設定!$B64)</f>
        <v>0</v>
      </c>
      <c r="T64" s="64">
        <f>SUMIFS(月別入力!$I:$I,月別入力!$E:$E,設定!$C64,月別入力!$D:$D,設定!T$8,月別入力!$B:$B,設定!$B64)</f>
        <v>0</v>
      </c>
      <c r="U64" s="175">
        <f>SUMIFS(月別入力!$I:$I,月別入力!$E:$E,設定!$C64,月別入力!$D:$D,設定!U$8,月別入力!$B:$B,設定!$B64)</f>
        <v>0</v>
      </c>
      <c r="V64" s="175">
        <f>SUMIFS(月別入力!$I:$I,月別入力!$E:$E,設定!$C64,月別入力!$D:$D,設定!V$8,月別入力!$B:$B,設定!$B64)</f>
        <v>0</v>
      </c>
      <c r="W64" s="175">
        <f>SUMIFS(月別入力!$I:$I,月別入力!$E:$E,設定!$C64,月別入力!$D:$D,設定!W$8,月別入力!$B:$B,設定!$B64)</f>
        <v>0</v>
      </c>
      <c r="X64" s="66">
        <f>SUMIFS(月別入力!$I:$I,月別入力!$E:$E,設定!$C64,月別入力!$D:$D,設定!X$8,月別入力!$B:$B,設定!$B64)</f>
        <v>0</v>
      </c>
    </row>
    <row r="65" spans="2:24" s="6" customFormat="1" ht="15" customHeight="1" x14ac:dyDescent="0.2">
      <c r="B65" s="201" t="str">
        <f t="shared" si="1"/>
        <v>&lt;=12</v>
      </c>
      <c r="C65" s="63"/>
      <c r="D65" s="68"/>
      <c r="E65" s="64"/>
      <c r="F65" s="69"/>
      <c r="G65" s="65">
        <f t="shared" si="2"/>
        <v>0</v>
      </c>
      <c r="H65" s="64">
        <f>SUMIFS(月別入力!$I:$I,月別入力!$E:$E,設定!$C65,月別入力!$D:$D,設定!H$8,月別入力!$B:$B,設定!$B65)</f>
        <v>0</v>
      </c>
      <c r="I65" s="64">
        <f>SUMIFS(月別入力!$I:$I,月別入力!$E:$E,設定!$C65,月別入力!$D:$D,設定!I$8,月別入力!$B:$B,設定!$B65)</f>
        <v>0</v>
      </c>
      <c r="J65" s="64">
        <f>SUMIFS(月別入力!$I:$I,月別入力!$E:$E,設定!$C65,月別入力!$D:$D,設定!J$8,月別入力!$B:$B,設定!$B65)</f>
        <v>0</v>
      </c>
      <c r="K65" s="64">
        <f>SUMIFS(月別入力!$I:$I,月別入力!$E:$E,設定!$C65,月別入力!$D:$D,設定!K$8,月別入力!$B:$B,設定!$B65)</f>
        <v>0</v>
      </c>
      <c r="L65" s="64">
        <f>SUMIFS(月別入力!$I:$I,月別入力!$E:$E,設定!$C65,月別入力!$D:$D,設定!L$8,月別入力!$B:$B,設定!$B65)</f>
        <v>0</v>
      </c>
      <c r="M65" s="64">
        <f>SUMIFS(月別入力!$I:$I,月別入力!$E:$E,設定!$C65,月別入力!$D:$D,設定!M$8,月別入力!$B:$B,設定!$B65)</f>
        <v>0</v>
      </c>
      <c r="N65" s="64">
        <f>SUMIFS(月別入力!$I:$I,月別入力!$E:$E,設定!$C65,月別入力!$D:$D,設定!N$8,月別入力!$B:$B,設定!$B65)</f>
        <v>0</v>
      </c>
      <c r="O65" s="64">
        <f>SUMIFS(月別入力!$I:$I,月別入力!$E:$E,設定!$C65,月別入力!$D:$D,設定!O$8,月別入力!$B:$B,設定!$B65)</f>
        <v>0</v>
      </c>
      <c r="P65" s="64">
        <f>SUMIFS(月別入力!$I:$I,月別入力!$E:$E,設定!$C65,月別入力!$D:$D,設定!P$8,月別入力!$B:$B,設定!$B65)</f>
        <v>0</v>
      </c>
      <c r="Q65" s="64">
        <f>SUMIFS(月別入力!$I:$I,月別入力!$E:$E,設定!$C65,月別入力!$D:$D,設定!Q$8,月別入力!$B:$B,設定!$B65)</f>
        <v>0</v>
      </c>
      <c r="R65" s="64">
        <f>SUMIFS(月別入力!$I:$I,月別入力!$E:$E,設定!$C65,月別入力!$D:$D,設定!R$8,月別入力!$B:$B,設定!$B65)</f>
        <v>0</v>
      </c>
      <c r="S65" s="64">
        <f>SUMIFS(月別入力!$I:$I,月別入力!$E:$E,設定!$C65,月別入力!$D:$D,設定!S$8,月別入力!$B:$B,設定!$B65)</f>
        <v>0</v>
      </c>
      <c r="T65" s="64">
        <f>SUMIFS(月別入力!$I:$I,月別入力!$E:$E,設定!$C65,月別入力!$D:$D,設定!T$8,月別入力!$B:$B,設定!$B65)</f>
        <v>0</v>
      </c>
      <c r="U65" s="175">
        <f>SUMIFS(月別入力!$I:$I,月別入力!$E:$E,設定!$C65,月別入力!$D:$D,設定!U$8,月別入力!$B:$B,設定!$B65)</f>
        <v>0</v>
      </c>
      <c r="V65" s="175">
        <f>SUMIFS(月別入力!$I:$I,月別入力!$E:$E,設定!$C65,月別入力!$D:$D,設定!V$8,月別入力!$B:$B,設定!$B65)</f>
        <v>0</v>
      </c>
      <c r="W65" s="175">
        <f>SUMIFS(月別入力!$I:$I,月別入力!$E:$E,設定!$C65,月別入力!$D:$D,設定!W$8,月別入力!$B:$B,設定!$B65)</f>
        <v>0</v>
      </c>
      <c r="X65" s="66">
        <f>SUMIFS(月別入力!$I:$I,月別入力!$E:$E,設定!$C65,月別入力!$D:$D,設定!X$8,月別入力!$B:$B,設定!$B65)</f>
        <v>0</v>
      </c>
    </row>
    <row r="66" spans="2:24" s="6" customFormat="1" ht="15" customHeight="1" x14ac:dyDescent="0.2">
      <c r="B66" s="201" t="str">
        <f t="shared" si="1"/>
        <v>&lt;=12</v>
      </c>
      <c r="C66" s="63"/>
      <c r="D66" s="68"/>
      <c r="E66" s="64"/>
      <c r="F66" s="69"/>
      <c r="G66" s="65">
        <f t="shared" si="2"/>
        <v>0</v>
      </c>
      <c r="H66" s="64">
        <f>SUMIFS(月別入力!$I:$I,月別入力!$E:$E,設定!$C66,月別入力!$D:$D,設定!H$8,月別入力!$B:$B,設定!$B66)</f>
        <v>0</v>
      </c>
      <c r="I66" s="64">
        <f>SUMIFS(月別入力!$I:$I,月別入力!$E:$E,設定!$C66,月別入力!$D:$D,設定!I$8,月別入力!$B:$B,設定!$B66)</f>
        <v>0</v>
      </c>
      <c r="J66" s="64">
        <f>SUMIFS(月別入力!$I:$I,月別入力!$E:$E,設定!$C66,月別入力!$D:$D,設定!J$8,月別入力!$B:$B,設定!$B66)</f>
        <v>0</v>
      </c>
      <c r="K66" s="64">
        <f>SUMIFS(月別入力!$I:$I,月別入力!$E:$E,設定!$C66,月別入力!$D:$D,設定!K$8,月別入力!$B:$B,設定!$B66)</f>
        <v>0</v>
      </c>
      <c r="L66" s="64">
        <f>SUMIFS(月別入力!$I:$I,月別入力!$E:$E,設定!$C66,月別入力!$D:$D,設定!L$8,月別入力!$B:$B,設定!$B66)</f>
        <v>0</v>
      </c>
      <c r="M66" s="64">
        <f>SUMIFS(月別入力!$I:$I,月別入力!$E:$E,設定!$C66,月別入力!$D:$D,設定!M$8,月別入力!$B:$B,設定!$B66)</f>
        <v>0</v>
      </c>
      <c r="N66" s="64">
        <f>SUMIFS(月別入力!$I:$I,月別入力!$E:$E,設定!$C66,月別入力!$D:$D,設定!N$8,月別入力!$B:$B,設定!$B66)</f>
        <v>0</v>
      </c>
      <c r="O66" s="64">
        <f>SUMIFS(月別入力!$I:$I,月別入力!$E:$E,設定!$C66,月別入力!$D:$D,設定!O$8,月別入力!$B:$B,設定!$B66)</f>
        <v>0</v>
      </c>
      <c r="P66" s="64">
        <f>SUMIFS(月別入力!$I:$I,月別入力!$E:$E,設定!$C66,月別入力!$D:$D,設定!P$8,月別入力!$B:$B,設定!$B66)</f>
        <v>0</v>
      </c>
      <c r="Q66" s="64">
        <f>SUMIFS(月別入力!$I:$I,月別入力!$E:$E,設定!$C66,月別入力!$D:$D,設定!Q$8,月別入力!$B:$B,設定!$B66)</f>
        <v>0</v>
      </c>
      <c r="R66" s="64">
        <f>SUMIFS(月別入力!$I:$I,月別入力!$E:$E,設定!$C66,月別入力!$D:$D,設定!R$8,月別入力!$B:$B,設定!$B66)</f>
        <v>0</v>
      </c>
      <c r="S66" s="64">
        <f>SUMIFS(月別入力!$I:$I,月別入力!$E:$E,設定!$C66,月別入力!$D:$D,設定!S$8,月別入力!$B:$B,設定!$B66)</f>
        <v>0</v>
      </c>
      <c r="T66" s="64">
        <f>SUMIFS(月別入力!$I:$I,月別入力!$E:$E,設定!$C66,月別入力!$D:$D,設定!T$8,月別入力!$B:$B,設定!$B66)</f>
        <v>0</v>
      </c>
      <c r="U66" s="175">
        <f>SUMIFS(月別入力!$I:$I,月別入力!$E:$E,設定!$C66,月別入力!$D:$D,設定!U$8,月別入力!$B:$B,設定!$B66)</f>
        <v>0</v>
      </c>
      <c r="V66" s="175">
        <f>SUMIFS(月別入力!$I:$I,月別入力!$E:$E,設定!$C66,月別入力!$D:$D,設定!V$8,月別入力!$B:$B,設定!$B66)</f>
        <v>0</v>
      </c>
      <c r="W66" s="175">
        <f>SUMIFS(月別入力!$I:$I,月別入力!$E:$E,設定!$C66,月別入力!$D:$D,設定!W$8,月別入力!$B:$B,設定!$B66)</f>
        <v>0</v>
      </c>
      <c r="X66" s="66">
        <f>SUMIFS(月別入力!$I:$I,月別入力!$E:$E,設定!$C66,月別入力!$D:$D,設定!X$8,月別入力!$B:$B,設定!$B66)</f>
        <v>0</v>
      </c>
    </row>
    <row r="67" spans="2:24" s="6" customFormat="1" ht="15" customHeight="1" x14ac:dyDescent="0.2">
      <c r="B67" s="201" t="str">
        <f t="shared" si="1"/>
        <v>&lt;=12</v>
      </c>
      <c r="C67" s="63"/>
      <c r="D67" s="68"/>
      <c r="E67" s="64"/>
      <c r="F67" s="69"/>
      <c r="G67" s="65">
        <f t="shared" si="2"/>
        <v>0</v>
      </c>
      <c r="H67" s="64">
        <f>SUMIFS(月別入力!$I:$I,月別入力!$E:$E,設定!$C67,月別入力!$D:$D,設定!H$8,月別入力!$B:$B,設定!$B67)</f>
        <v>0</v>
      </c>
      <c r="I67" s="64">
        <f>SUMIFS(月別入力!$I:$I,月別入力!$E:$E,設定!$C67,月別入力!$D:$D,設定!I$8,月別入力!$B:$B,設定!$B67)</f>
        <v>0</v>
      </c>
      <c r="J67" s="64">
        <f>SUMIFS(月別入力!$I:$I,月別入力!$E:$E,設定!$C67,月別入力!$D:$D,設定!J$8,月別入力!$B:$B,設定!$B67)</f>
        <v>0</v>
      </c>
      <c r="K67" s="64">
        <f>SUMIFS(月別入力!$I:$I,月別入力!$E:$E,設定!$C67,月別入力!$D:$D,設定!K$8,月別入力!$B:$B,設定!$B67)</f>
        <v>0</v>
      </c>
      <c r="L67" s="64">
        <f>SUMIFS(月別入力!$I:$I,月別入力!$E:$E,設定!$C67,月別入力!$D:$D,設定!L$8,月別入力!$B:$B,設定!$B67)</f>
        <v>0</v>
      </c>
      <c r="M67" s="64">
        <f>SUMIFS(月別入力!$I:$I,月別入力!$E:$E,設定!$C67,月別入力!$D:$D,設定!M$8,月別入力!$B:$B,設定!$B67)</f>
        <v>0</v>
      </c>
      <c r="N67" s="64">
        <f>SUMIFS(月別入力!$I:$I,月別入力!$E:$E,設定!$C67,月別入力!$D:$D,設定!N$8,月別入力!$B:$B,設定!$B67)</f>
        <v>0</v>
      </c>
      <c r="O67" s="64">
        <f>SUMIFS(月別入力!$I:$I,月別入力!$E:$E,設定!$C67,月別入力!$D:$D,設定!O$8,月別入力!$B:$B,設定!$B67)</f>
        <v>0</v>
      </c>
      <c r="P67" s="64">
        <f>SUMIFS(月別入力!$I:$I,月別入力!$E:$E,設定!$C67,月別入力!$D:$D,設定!P$8,月別入力!$B:$B,設定!$B67)</f>
        <v>0</v>
      </c>
      <c r="Q67" s="64">
        <f>SUMIFS(月別入力!$I:$I,月別入力!$E:$E,設定!$C67,月別入力!$D:$D,設定!Q$8,月別入力!$B:$B,設定!$B67)</f>
        <v>0</v>
      </c>
      <c r="R67" s="64">
        <f>SUMIFS(月別入力!$I:$I,月別入力!$E:$E,設定!$C67,月別入力!$D:$D,設定!R$8,月別入力!$B:$B,設定!$B67)</f>
        <v>0</v>
      </c>
      <c r="S67" s="64">
        <f>SUMIFS(月別入力!$I:$I,月別入力!$E:$E,設定!$C67,月別入力!$D:$D,設定!S$8,月別入力!$B:$B,設定!$B67)</f>
        <v>0</v>
      </c>
      <c r="T67" s="64">
        <f>SUMIFS(月別入力!$I:$I,月別入力!$E:$E,設定!$C67,月別入力!$D:$D,設定!T$8,月別入力!$B:$B,設定!$B67)</f>
        <v>0</v>
      </c>
      <c r="U67" s="175">
        <f>SUMIFS(月別入力!$I:$I,月別入力!$E:$E,設定!$C67,月別入力!$D:$D,設定!U$8,月別入力!$B:$B,設定!$B67)</f>
        <v>0</v>
      </c>
      <c r="V67" s="175">
        <f>SUMIFS(月別入力!$I:$I,月別入力!$E:$E,設定!$C67,月別入力!$D:$D,設定!V$8,月別入力!$B:$B,設定!$B67)</f>
        <v>0</v>
      </c>
      <c r="W67" s="175">
        <f>SUMIFS(月別入力!$I:$I,月別入力!$E:$E,設定!$C67,月別入力!$D:$D,設定!W$8,月別入力!$B:$B,設定!$B67)</f>
        <v>0</v>
      </c>
      <c r="X67" s="66">
        <f>SUMIFS(月別入力!$I:$I,月別入力!$E:$E,設定!$C67,月別入力!$D:$D,設定!X$8,月別入力!$B:$B,設定!$B67)</f>
        <v>0</v>
      </c>
    </row>
    <row r="68" spans="2:24" s="6" customFormat="1" ht="15" customHeight="1" x14ac:dyDescent="0.2">
      <c r="B68" s="201" t="str">
        <f t="shared" si="1"/>
        <v>&lt;=12</v>
      </c>
      <c r="C68" s="63"/>
      <c r="D68" s="68"/>
      <c r="E68" s="64"/>
      <c r="F68" s="69"/>
      <c r="G68" s="65">
        <f t="shared" si="2"/>
        <v>0</v>
      </c>
      <c r="H68" s="64">
        <f>SUMIFS(月別入力!$I:$I,月別入力!$E:$E,設定!$C68,月別入力!$D:$D,設定!H$8,月別入力!$B:$B,設定!$B68)</f>
        <v>0</v>
      </c>
      <c r="I68" s="64">
        <f>SUMIFS(月別入力!$I:$I,月別入力!$E:$E,設定!$C68,月別入力!$D:$D,設定!I$8,月別入力!$B:$B,設定!$B68)</f>
        <v>0</v>
      </c>
      <c r="J68" s="64">
        <f>SUMIFS(月別入力!$I:$I,月別入力!$E:$E,設定!$C68,月別入力!$D:$D,設定!J$8,月別入力!$B:$B,設定!$B68)</f>
        <v>0</v>
      </c>
      <c r="K68" s="64">
        <f>SUMIFS(月別入力!$I:$I,月別入力!$E:$E,設定!$C68,月別入力!$D:$D,設定!K$8,月別入力!$B:$B,設定!$B68)</f>
        <v>0</v>
      </c>
      <c r="L68" s="64">
        <f>SUMIFS(月別入力!$I:$I,月別入力!$E:$E,設定!$C68,月別入力!$D:$D,設定!L$8,月別入力!$B:$B,設定!$B68)</f>
        <v>0</v>
      </c>
      <c r="M68" s="64">
        <f>SUMIFS(月別入力!$I:$I,月別入力!$E:$E,設定!$C68,月別入力!$D:$D,設定!M$8,月別入力!$B:$B,設定!$B68)</f>
        <v>0</v>
      </c>
      <c r="N68" s="64">
        <f>SUMIFS(月別入力!$I:$I,月別入力!$E:$E,設定!$C68,月別入力!$D:$D,設定!N$8,月別入力!$B:$B,設定!$B68)</f>
        <v>0</v>
      </c>
      <c r="O68" s="64">
        <f>SUMIFS(月別入力!$I:$I,月別入力!$E:$E,設定!$C68,月別入力!$D:$D,設定!O$8,月別入力!$B:$B,設定!$B68)</f>
        <v>0</v>
      </c>
      <c r="P68" s="64">
        <f>SUMIFS(月別入力!$I:$I,月別入力!$E:$E,設定!$C68,月別入力!$D:$D,設定!P$8,月別入力!$B:$B,設定!$B68)</f>
        <v>0</v>
      </c>
      <c r="Q68" s="64">
        <f>SUMIFS(月別入力!$I:$I,月別入力!$E:$E,設定!$C68,月別入力!$D:$D,設定!Q$8,月別入力!$B:$B,設定!$B68)</f>
        <v>0</v>
      </c>
      <c r="R68" s="64">
        <f>SUMIFS(月別入力!$I:$I,月別入力!$E:$E,設定!$C68,月別入力!$D:$D,設定!R$8,月別入力!$B:$B,設定!$B68)</f>
        <v>0</v>
      </c>
      <c r="S68" s="64">
        <f>SUMIFS(月別入力!$I:$I,月別入力!$E:$E,設定!$C68,月別入力!$D:$D,設定!S$8,月別入力!$B:$B,設定!$B68)</f>
        <v>0</v>
      </c>
      <c r="T68" s="64">
        <f>SUMIFS(月別入力!$I:$I,月別入力!$E:$E,設定!$C68,月別入力!$D:$D,設定!T$8,月別入力!$B:$B,設定!$B68)</f>
        <v>0</v>
      </c>
      <c r="U68" s="175">
        <f>SUMIFS(月別入力!$I:$I,月別入力!$E:$E,設定!$C68,月別入力!$D:$D,設定!U$8,月別入力!$B:$B,設定!$B68)</f>
        <v>0</v>
      </c>
      <c r="V68" s="175">
        <f>SUMIFS(月別入力!$I:$I,月別入力!$E:$E,設定!$C68,月別入力!$D:$D,設定!V$8,月別入力!$B:$B,設定!$B68)</f>
        <v>0</v>
      </c>
      <c r="W68" s="175">
        <f>SUMIFS(月別入力!$I:$I,月別入力!$E:$E,設定!$C68,月別入力!$D:$D,設定!W$8,月別入力!$B:$B,設定!$B68)</f>
        <v>0</v>
      </c>
      <c r="X68" s="66">
        <f>SUMIFS(月別入力!$I:$I,月別入力!$E:$E,設定!$C68,月別入力!$D:$D,設定!X$8,月別入力!$B:$B,設定!$B68)</f>
        <v>0</v>
      </c>
    </row>
    <row r="69" spans="2:24" s="6" customFormat="1" ht="15" customHeight="1" x14ac:dyDescent="0.2">
      <c r="B69" s="201" t="str">
        <f t="shared" si="1"/>
        <v>&lt;=12</v>
      </c>
      <c r="C69" s="63"/>
      <c r="D69" s="68"/>
      <c r="E69" s="64"/>
      <c r="F69" s="69"/>
      <c r="G69" s="65">
        <f t="shared" si="2"/>
        <v>0</v>
      </c>
      <c r="H69" s="64">
        <f>SUMIFS(月別入力!$I:$I,月別入力!$E:$E,設定!$C69,月別入力!$D:$D,設定!H$8,月別入力!$B:$B,設定!$B69)</f>
        <v>0</v>
      </c>
      <c r="I69" s="64">
        <f>SUMIFS(月別入力!$I:$I,月別入力!$E:$E,設定!$C69,月別入力!$D:$D,設定!I$8,月別入力!$B:$B,設定!$B69)</f>
        <v>0</v>
      </c>
      <c r="J69" s="64">
        <f>SUMIFS(月別入力!$I:$I,月別入力!$E:$E,設定!$C69,月別入力!$D:$D,設定!J$8,月別入力!$B:$B,設定!$B69)</f>
        <v>0</v>
      </c>
      <c r="K69" s="64">
        <f>SUMIFS(月別入力!$I:$I,月別入力!$E:$E,設定!$C69,月別入力!$D:$D,設定!K$8,月別入力!$B:$B,設定!$B69)</f>
        <v>0</v>
      </c>
      <c r="L69" s="64">
        <f>SUMIFS(月別入力!$I:$I,月別入力!$E:$E,設定!$C69,月別入力!$D:$D,設定!L$8,月別入力!$B:$B,設定!$B69)</f>
        <v>0</v>
      </c>
      <c r="M69" s="64">
        <f>SUMIFS(月別入力!$I:$I,月別入力!$E:$E,設定!$C69,月別入力!$D:$D,設定!M$8,月別入力!$B:$B,設定!$B69)</f>
        <v>0</v>
      </c>
      <c r="N69" s="64">
        <f>SUMIFS(月別入力!$I:$I,月別入力!$E:$E,設定!$C69,月別入力!$D:$D,設定!N$8,月別入力!$B:$B,設定!$B69)</f>
        <v>0</v>
      </c>
      <c r="O69" s="64">
        <f>SUMIFS(月別入力!$I:$I,月別入力!$E:$E,設定!$C69,月別入力!$D:$D,設定!O$8,月別入力!$B:$B,設定!$B69)</f>
        <v>0</v>
      </c>
      <c r="P69" s="64">
        <f>SUMIFS(月別入力!$I:$I,月別入力!$E:$E,設定!$C69,月別入力!$D:$D,設定!P$8,月別入力!$B:$B,設定!$B69)</f>
        <v>0</v>
      </c>
      <c r="Q69" s="64">
        <f>SUMIFS(月別入力!$I:$I,月別入力!$E:$E,設定!$C69,月別入力!$D:$D,設定!Q$8,月別入力!$B:$B,設定!$B69)</f>
        <v>0</v>
      </c>
      <c r="R69" s="64">
        <f>SUMIFS(月別入力!$I:$I,月別入力!$E:$E,設定!$C69,月別入力!$D:$D,設定!R$8,月別入力!$B:$B,設定!$B69)</f>
        <v>0</v>
      </c>
      <c r="S69" s="64">
        <f>SUMIFS(月別入力!$I:$I,月別入力!$E:$E,設定!$C69,月別入力!$D:$D,設定!S$8,月別入力!$B:$B,設定!$B69)</f>
        <v>0</v>
      </c>
      <c r="T69" s="64">
        <f>SUMIFS(月別入力!$I:$I,月別入力!$E:$E,設定!$C69,月別入力!$D:$D,設定!T$8,月別入力!$B:$B,設定!$B69)</f>
        <v>0</v>
      </c>
      <c r="U69" s="175">
        <f>SUMIFS(月別入力!$I:$I,月別入力!$E:$E,設定!$C69,月別入力!$D:$D,設定!U$8,月別入力!$B:$B,設定!$B69)</f>
        <v>0</v>
      </c>
      <c r="V69" s="175">
        <f>SUMIFS(月別入力!$I:$I,月別入力!$E:$E,設定!$C69,月別入力!$D:$D,設定!V$8,月別入力!$B:$B,設定!$B69)</f>
        <v>0</v>
      </c>
      <c r="W69" s="175">
        <f>SUMIFS(月別入力!$I:$I,月別入力!$E:$E,設定!$C69,月別入力!$D:$D,設定!W$8,月別入力!$B:$B,設定!$B69)</f>
        <v>0</v>
      </c>
      <c r="X69" s="66">
        <f>SUMIFS(月別入力!$I:$I,月別入力!$E:$E,設定!$C69,月別入力!$D:$D,設定!X$8,月別入力!$B:$B,設定!$B69)</f>
        <v>0</v>
      </c>
    </row>
    <row r="70" spans="2:24" s="6" customFormat="1" ht="15" customHeight="1" x14ac:dyDescent="0.2">
      <c r="B70" s="201" t="str">
        <f t="shared" si="1"/>
        <v>&lt;=12</v>
      </c>
      <c r="C70" s="63"/>
      <c r="D70" s="68"/>
      <c r="E70" s="64"/>
      <c r="F70" s="69"/>
      <c r="G70" s="65">
        <f t="shared" si="2"/>
        <v>0</v>
      </c>
      <c r="H70" s="64">
        <f>SUMIFS(月別入力!$I:$I,月別入力!$E:$E,設定!$C70,月別入力!$D:$D,設定!H$8,月別入力!$B:$B,設定!$B70)</f>
        <v>0</v>
      </c>
      <c r="I70" s="64">
        <f>SUMIFS(月別入力!$I:$I,月別入力!$E:$E,設定!$C70,月別入力!$D:$D,設定!I$8,月別入力!$B:$B,設定!$B70)</f>
        <v>0</v>
      </c>
      <c r="J70" s="64">
        <f>SUMIFS(月別入力!$I:$I,月別入力!$E:$E,設定!$C70,月別入力!$D:$D,設定!J$8,月別入力!$B:$B,設定!$B70)</f>
        <v>0</v>
      </c>
      <c r="K70" s="64">
        <f>SUMIFS(月別入力!$I:$I,月別入力!$E:$E,設定!$C70,月別入力!$D:$D,設定!K$8,月別入力!$B:$B,設定!$B70)</f>
        <v>0</v>
      </c>
      <c r="L70" s="64">
        <f>SUMIFS(月別入力!$I:$I,月別入力!$E:$E,設定!$C70,月別入力!$D:$D,設定!L$8,月別入力!$B:$B,設定!$B70)</f>
        <v>0</v>
      </c>
      <c r="M70" s="64">
        <f>SUMIFS(月別入力!$I:$I,月別入力!$E:$E,設定!$C70,月別入力!$D:$D,設定!M$8,月別入力!$B:$B,設定!$B70)</f>
        <v>0</v>
      </c>
      <c r="N70" s="64">
        <f>SUMIFS(月別入力!$I:$I,月別入力!$E:$E,設定!$C70,月別入力!$D:$D,設定!N$8,月別入力!$B:$B,設定!$B70)</f>
        <v>0</v>
      </c>
      <c r="O70" s="64">
        <f>SUMIFS(月別入力!$I:$I,月別入力!$E:$E,設定!$C70,月別入力!$D:$D,設定!O$8,月別入力!$B:$B,設定!$B70)</f>
        <v>0</v>
      </c>
      <c r="P70" s="64">
        <f>SUMIFS(月別入力!$I:$I,月別入力!$E:$E,設定!$C70,月別入力!$D:$D,設定!P$8,月別入力!$B:$B,設定!$B70)</f>
        <v>0</v>
      </c>
      <c r="Q70" s="64">
        <f>SUMIFS(月別入力!$I:$I,月別入力!$E:$E,設定!$C70,月別入力!$D:$D,設定!Q$8,月別入力!$B:$B,設定!$B70)</f>
        <v>0</v>
      </c>
      <c r="R70" s="64">
        <f>SUMIFS(月別入力!$I:$I,月別入力!$E:$E,設定!$C70,月別入力!$D:$D,設定!R$8,月別入力!$B:$B,設定!$B70)</f>
        <v>0</v>
      </c>
      <c r="S70" s="64">
        <f>SUMIFS(月別入力!$I:$I,月別入力!$E:$E,設定!$C70,月別入力!$D:$D,設定!S$8,月別入力!$B:$B,設定!$B70)</f>
        <v>0</v>
      </c>
      <c r="T70" s="64">
        <f>SUMIFS(月別入力!$I:$I,月別入力!$E:$E,設定!$C70,月別入力!$D:$D,設定!T$8,月別入力!$B:$B,設定!$B70)</f>
        <v>0</v>
      </c>
      <c r="U70" s="175">
        <f>SUMIFS(月別入力!$I:$I,月別入力!$E:$E,設定!$C70,月別入力!$D:$D,設定!U$8,月別入力!$B:$B,設定!$B70)</f>
        <v>0</v>
      </c>
      <c r="V70" s="175">
        <f>SUMIFS(月別入力!$I:$I,月別入力!$E:$E,設定!$C70,月別入力!$D:$D,設定!V$8,月別入力!$B:$B,設定!$B70)</f>
        <v>0</v>
      </c>
      <c r="W70" s="175">
        <f>SUMIFS(月別入力!$I:$I,月別入力!$E:$E,設定!$C70,月別入力!$D:$D,設定!W$8,月別入力!$B:$B,設定!$B70)</f>
        <v>0</v>
      </c>
      <c r="X70" s="66">
        <f>SUMIFS(月別入力!$I:$I,月別入力!$E:$E,設定!$C70,月別入力!$D:$D,設定!X$8,月別入力!$B:$B,設定!$B70)</f>
        <v>0</v>
      </c>
    </row>
    <row r="71" spans="2:24" s="6" customFormat="1" ht="15" customHeight="1" x14ac:dyDescent="0.2">
      <c r="B71" s="201" t="str">
        <f t="shared" si="1"/>
        <v>&lt;=12</v>
      </c>
      <c r="C71" s="63"/>
      <c r="D71" s="68"/>
      <c r="E71" s="64"/>
      <c r="F71" s="69"/>
      <c r="G71" s="65">
        <f t="shared" si="2"/>
        <v>0</v>
      </c>
      <c r="H71" s="64">
        <f>SUMIFS(月別入力!$I:$I,月別入力!$E:$E,設定!$C71,月別入力!$D:$D,設定!H$8,月別入力!$B:$B,設定!$B71)</f>
        <v>0</v>
      </c>
      <c r="I71" s="64">
        <f>SUMIFS(月別入力!$I:$I,月別入力!$E:$E,設定!$C71,月別入力!$D:$D,設定!I$8,月別入力!$B:$B,設定!$B71)</f>
        <v>0</v>
      </c>
      <c r="J71" s="64">
        <f>SUMIFS(月別入力!$I:$I,月別入力!$E:$E,設定!$C71,月別入力!$D:$D,設定!J$8,月別入力!$B:$B,設定!$B71)</f>
        <v>0</v>
      </c>
      <c r="K71" s="64">
        <f>SUMIFS(月別入力!$I:$I,月別入力!$E:$E,設定!$C71,月別入力!$D:$D,設定!K$8,月別入力!$B:$B,設定!$B71)</f>
        <v>0</v>
      </c>
      <c r="L71" s="64">
        <f>SUMIFS(月別入力!$I:$I,月別入力!$E:$E,設定!$C71,月別入力!$D:$D,設定!L$8,月別入力!$B:$B,設定!$B71)</f>
        <v>0</v>
      </c>
      <c r="M71" s="64">
        <f>SUMIFS(月別入力!$I:$I,月別入力!$E:$E,設定!$C71,月別入力!$D:$D,設定!M$8,月別入力!$B:$B,設定!$B71)</f>
        <v>0</v>
      </c>
      <c r="N71" s="64">
        <f>SUMIFS(月別入力!$I:$I,月別入力!$E:$E,設定!$C71,月別入力!$D:$D,設定!N$8,月別入力!$B:$B,設定!$B71)</f>
        <v>0</v>
      </c>
      <c r="O71" s="64">
        <f>SUMIFS(月別入力!$I:$I,月別入力!$E:$E,設定!$C71,月別入力!$D:$D,設定!O$8,月別入力!$B:$B,設定!$B71)</f>
        <v>0</v>
      </c>
      <c r="P71" s="64">
        <f>SUMIFS(月別入力!$I:$I,月別入力!$E:$E,設定!$C71,月別入力!$D:$D,設定!P$8,月別入力!$B:$B,設定!$B71)</f>
        <v>0</v>
      </c>
      <c r="Q71" s="64">
        <f>SUMIFS(月別入力!$I:$I,月別入力!$E:$E,設定!$C71,月別入力!$D:$D,設定!Q$8,月別入力!$B:$B,設定!$B71)</f>
        <v>0</v>
      </c>
      <c r="R71" s="64">
        <f>SUMIFS(月別入力!$I:$I,月別入力!$E:$E,設定!$C71,月別入力!$D:$D,設定!R$8,月別入力!$B:$B,設定!$B71)</f>
        <v>0</v>
      </c>
      <c r="S71" s="64">
        <f>SUMIFS(月別入力!$I:$I,月別入力!$E:$E,設定!$C71,月別入力!$D:$D,設定!S$8,月別入力!$B:$B,設定!$B71)</f>
        <v>0</v>
      </c>
      <c r="T71" s="64">
        <f>SUMIFS(月別入力!$I:$I,月別入力!$E:$E,設定!$C71,月別入力!$D:$D,設定!T$8,月別入力!$B:$B,設定!$B71)</f>
        <v>0</v>
      </c>
      <c r="U71" s="175">
        <f>SUMIFS(月別入力!$I:$I,月別入力!$E:$E,設定!$C71,月別入力!$D:$D,設定!U$8,月別入力!$B:$B,設定!$B71)</f>
        <v>0</v>
      </c>
      <c r="V71" s="175">
        <f>SUMIFS(月別入力!$I:$I,月別入力!$E:$E,設定!$C71,月別入力!$D:$D,設定!V$8,月別入力!$B:$B,設定!$B71)</f>
        <v>0</v>
      </c>
      <c r="W71" s="175">
        <f>SUMIFS(月別入力!$I:$I,月別入力!$E:$E,設定!$C71,月別入力!$D:$D,設定!W$8,月別入力!$B:$B,設定!$B71)</f>
        <v>0</v>
      </c>
      <c r="X71" s="66">
        <f>SUMIFS(月別入力!$I:$I,月別入力!$E:$E,設定!$C71,月別入力!$D:$D,設定!X$8,月別入力!$B:$B,設定!$B71)</f>
        <v>0</v>
      </c>
    </row>
    <row r="72" spans="2:24" s="6" customFormat="1" ht="15" customHeight="1" x14ac:dyDescent="0.2">
      <c r="B72" s="201" t="str">
        <f t="shared" si="1"/>
        <v>&lt;=12</v>
      </c>
      <c r="C72" s="63"/>
      <c r="D72" s="68"/>
      <c r="E72" s="64"/>
      <c r="F72" s="69"/>
      <c r="G72" s="65">
        <f t="shared" si="2"/>
        <v>0</v>
      </c>
      <c r="H72" s="64">
        <f>SUMIFS(月別入力!$I:$I,月別入力!$E:$E,設定!$C72,月別入力!$D:$D,設定!H$8,月別入力!$B:$B,設定!$B72)</f>
        <v>0</v>
      </c>
      <c r="I72" s="64">
        <f>SUMIFS(月別入力!$I:$I,月別入力!$E:$E,設定!$C72,月別入力!$D:$D,設定!I$8,月別入力!$B:$B,設定!$B72)</f>
        <v>0</v>
      </c>
      <c r="J72" s="64">
        <f>SUMIFS(月別入力!$I:$I,月別入力!$E:$E,設定!$C72,月別入力!$D:$D,設定!J$8,月別入力!$B:$B,設定!$B72)</f>
        <v>0</v>
      </c>
      <c r="K72" s="64">
        <f>SUMIFS(月別入力!$I:$I,月別入力!$E:$E,設定!$C72,月別入力!$D:$D,設定!K$8,月別入力!$B:$B,設定!$B72)</f>
        <v>0</v>
      </c>
      <c r="L72" s="64">
        <f>SUMIFS(月別入力!$I:$I,月別入力!$E:$E,設定!$C72,月別入力!$D:$D,設定!L$8,月別入力!$B:$B,設定!$B72)</f>
        <v>0</v>
      </c>
      <c r="M72" s="64">
        <f>SUMIFS(月別入力!$I:$I,月別入力!$E:$E,設定!$C72,月別入力!$D:$D,設定!M$8,月別入力!$B:$B,設定!$B72)</f>
        <v>0</v>
      </c>
      <c r="N72" s="64">
        <f>SUMIFS(月別入力!$I:$I,月別入力!$E:$E,設定!$C72,月別入力!$D:$D,設定!N$8,月別入力!$B:$B,設定!$B72)</f>
        <v>0</v>
      </c>
      <c r="O72" s="64">
        <f>SUMIFS(月別入力!$I:$I,月別入力!$E:$E,設定!$C72,月別入力!$D:$D,設定!O$8,月別入力!$B:$B,設定!$B72)</f>
        <v>0</v>
      </c>
      <c r="P72" s="64">
        <f>SUMIFS(月別入力!$I:$I,月別入力!$E:$E,設定!$C72,月別入力!$D:$D,設定!P$8,月別入力!$B:$B,設定!$B72)</f>
        <v>0</v>
      </c>
      <c r="Q72" s="64">
        <f>SUMIFS(月別入力!$I:$I,月別入力!$E:$E,設定!$C72,月別入力!$D:$D,設定!Q$8,月別入力!$B:$B,設定!$B72)</f>
        <v>0</v>
      </c>
      <c r="R72" s="64">
        <f>SUMIFS(月別入力!$I:$I,月別入力!$E:$E,設定!$C72,月別入力!$D:$D,設定!R$8,月別入力!$B:$B,設定!$B72)</f>
        <v>0</v>
      </c>
      <c r="S72" s="64">
        <f>SUMIFS(月別入力!$I:$I,月別入力!$E:$E,設定!$C72,月別入力!$D:$D,設定!S$8,月別入力!$B:$B,設定!$B72)</f>
        <v>0</v>
      </c>
      <c r="T72" s="64">
        <f>SUMIFS(月別入力!$I:$I,月別入力!$E:$E,設定!$C72,月別入力!$D:$D,設定!T$8,月別入力!$B:$B,設定!$B72)</f>
        <v>0</v>
      </c>
      <c r="U72" s="175">
        <f>SUMIFS(月別入力!$I:$I,月別入力!$E:$E,設定!$C72,月別入力!$D:$D,設定!U$8,月別入力!$B:$B,設定!$B72)</f>
        <v>0</v>
      </c>
      <c r="V72" s="175">
        <f>SUMIFS(月別入力!$I:$I,月別入力!$E:$E,設定!$C72,月別入力!$D:$D,設定!V$8,月別入力!$B:$B,設定!$B72)</f>
        <v>0</v>
      </c>
      <c r="W72" s="175">
        <f>SUMIFS(月別入力!$I:$I,月別入力!$E:$E,設定!$C72,月別入力!$D:$D,設定!W$8,月別入力!$B:$B,設定!$B72)</f>
        <v>0</v>
      </c>
      <c r="X72" s="66">
        <f>SUMIFS(月別入力!$I:$I,月別入力!$E:$E,設定!$C72,月別入力!$D:$D,設定!X$8,月別入力!$B:$B,設定!$B72)</f>
        <v>0</v>
      </c>
    </row>
    <row r="73" spans="2:24" s="6" customFormat="1" ht="15" customHeight="1" x14ac:dyDescent="0.2">
      <c r="B73" s="201" t="str">
        <f t="shared" si="1"/>
        <v>&lt;=12</v>
      </c>
      <c r="C73" s="63"/>
      <c r="D73" s="68"/>
      <c r="E73" s="64"/>
      <c r="F73" s="69"/>
      <c r="G73" s="65">
        <f t="shared" si="2"/>
        <v>0</v>
      </c>
      <c r="H73" s="64">
        <f>SUMIFS(月別入力!$I:$I,月別入力!$E:$E,設定!$C73,月別入力!$D:$D,設定!H$8,月別入力!$B:$B,設定!$B73)</f>
        <v>0</v>
      </c>
      <c r="I73" s="64">
        <f>SUMIFS(月別入力!$I:$I,月別入力!$E:$E,設定!$C73,月別入力!$D:$D,設定!I$8,月別入力!$B:$B,設定!$B73)</f>
        <v>0</v>
      </c>
      <c r="J73" s="64">
        <f>SUMIFS(月別入力!$I:$I,月別入力!$E:$E,設定!$C73,月別入力!$D:$D,設定!J$8,月別入力!$B:$B,設定!$B73)</f>
        <v>0</v>
      </c>
      <c r="K73" s="64">
        <f>SUMIFS(月別入力!$I:$I,月別入力!$E:$E,設定!$C73,月別入力!$D:$D,設定!K$8,月別入力!$B:$B,設定!$B73)</f>
        <v>0</v>
      </c>
      <c r="L73" s="64">
        <f>SUMIFS(月別入力!$I:$I,月別入力!$E:$E,設定!$C73,月別入力!$D:$D,設定!L$8,月別入力!$B:$B,設定!$B73)</f>
        <v>0</v>
      </c>
      <c r="M73" s="64">
        <f>SUMIFS(月別入力!$I:$I,月別入力!$E:$E,設定!$C73,月別入力!$D:$D,設定!M$8,月別入力!$B:$B,設定!$B73)</f>
        <v>0</v>
      </c>
      <c r="N73" s="64">
        <f>SUMIFS(月別入力!$I:$I,月別入力!$E:$E,設定!$C73,月別入力!$D:$D,設定!N$8,月別入力!$B:$B,設定!$B73)</f>
        <v>0</v>
      </c>
      <c r="O73" s="64">
        <f>SUMIFS(月別入力!$I:$I,月別入力!$E:$E,設定!$C73,月別入力!$D:$D,設定!O$8,月別入力!$B:$B,設定!$B73)</f>
        <v>0</v>
      </c>
      <c r="P73" s="64">
        <f>SUMIFS(月別入力!$I:$I,月別入力!$E:$E,設定!$C73,月別入力!$D:$D,設定!P$8,月別入力!$B:$B,設定!$B73)</f>
        <v>0</v>
      </c>
      <c r="Q73" s="64">
        <f>SUMIFS(月別入力!$I:$I,月別入力!$E:$E,設定!$C73,月別入力!$D:$D,設定!Q$8,月別入力!$B:$B,設定!$B73)</f>
        <v>0</v>
      </c>
      <c r="R73" s="64">
        <f>SUMIFS(月別入力!$I:$I,月別入力!$E:$E,設定!$C73,月別入力!$D:$D,設定!R$8,月別入力!$B:$B,設定!$B73)</f>
        <v>0</v>
      </c>
      <c r="S73" s="64">
        <f>SUMIFS(月別入力!$I:$I,月別入力!$E:$E,設定!$C73,月別入力!$D:$D,設定!S$8,月別入力!$B:$B,設定!$B73)</f>
        <v>0</v>
      </c>
      <c r="T73" s="64">
        <f>SUMIFS(月別入力!$I:$I,月別入力!$E:$E,設定!$C73,月別入力!$D:$D,設定!T$8,月別入力!$B:$B,設定!$B73)</f>
        <v>0</v>
      </c>
      <c r="U73" s="175">
        <f>SUMIFS(月別入力!$I:$I,月別入力!$E:$E,設定!$C73,月別入力!$D:$D,設定!U$8,月別入力!$B:$B,設定!$B73)</f>
        <v>0</v>
      </c>
      <c r="V73" s="175">
        <f>SUMIFS(月別入力!$I:$I,月別入力!$E:$E,設定!$C73,月別入力!$D:$D,設定!V$8,月別入力!$B:$B,設定!$B73)</f>
        <v>0</v>
      </c>
      <c r="W73" s="175">
        <f>SUMIFS(月別入力!$I:$I,月別入力!$E:$E,設定!$C73,月別入力!$D:$D,設定!W$8,月別入力!$B:$B,設定!$B73)</f>
        <v>0</v>
      </c>
      <c r="X73" s="66">
        <f>SUMIFS(月別入力!$I:$I,月別入力!$E:$E,設定!$C73,月別入力!$D:$D,設定!X$8,月別入力!$B:$B,設定!$B73)</f>
        <v>0</v>
      </c>
    </row>
    <row r="74" spans="2:24" s="6" customFormat="1" ht="15" customHeight="1" x14ac:dyDescent="0.2">
      <c r="B74" s="201" t="str">
        <f t="shared" si="1"/>
        <v>&lt;=12</v>
      </c>
      <c r="C74" s="63"/>
      <c r="D74" s="68"/>
      <c r="E74" s="64"/>
      <c r="F74" s="69"/>
      <c r="G74" s="65">
        <f t="shared" ref="G74" si="3">SUM(H74:X74)</f>
        <v>0</v>
      </c>
      <c r="H74" s="64">
        <f>SUMIFS(月別入力!$I:$I,月別入力!$E:$E,設定!$C74,月別入力!$D:$D,設定!H$8,月別入力!$B:$B,設定!$B74)</f>
        <v>0</v>
      </c>
      <c r="I74" s="64">
        <f>SUMIFS(月別入力!$I:$I,月別入力!$E:$E,設定!$C74,月別入力!$D:$D,設定!I$8,月別入力!$B:$B,設定!$B74)</f>
        <v>0</v>
      </c>
      <c r="J74" s="64">
        <f>SUMIFS(月別入力!$I:$I,月別入力!$E:$E,設定!$C74,月別入力!$D:$D,設定!J$8,月別入力!$B:$B,設定!$B74)</f>
        <v>0</v>
      </c>
      <c r="K74" s="64">
        <f>SUMIFS(月別入力!$I:$I,月別入力!$E:$E,設定!$C74,月別入力!$D:$D,設定!K$8,月別入力!$B:$B,設定!$B74)</f>
        <v>0</v>
      </c>
      <c r="L74" s="64">
        <f>SUMIFS(月別入力!$I:$I,月別入力!$E:$E,設定!$C74,月別入力!$D:$D,設定!L$8,月別入力!$B:$B,設定!$B74)</f>
        <v>0</v>
      </c>
      <c r="M74" s="64">
        <f>SUMIFS(月別入力!$I:$I,月別入力!$E:$E,設定!$C74,月別入力!$D:$D,設定!M$8,月別入力!$B:$B,設定!$B74)</f>
        <v>0</v>
      </c>
      <c r="N74" s="64">
        <f>SUMIFS(月別入力!$I:$I,月別入力!$E:$E,設定!$C74,月別入力!$D:$D,設定!N$8,月別入力!$B:$B,設定!$B74)</f>
        <v>0</v>
      </c>
      <c r="O74" s="64">
        <f>SUMIFS(月別入力!$I:$I,月別入力!$E:$E,設定!$C74,月別入力!$D:$D,設定!O$8,月別入力!$B:$B,設定!$B74)</f>
        <v>0</v>
      </c>
      <c r="P74" s="64">
        <f>SUMIFS(月別入力!$I:$I,月別入力!$E:$E,設定!$C74,月別入力!$D:$D,設定!P$8,月別入力!$B:$B,設定!$B74)</f>
        <v>0</v>
      </c>
      <c r="Q74" s="64">
        <f>SUMIFS(月別入力!$I:$I,月別入力!$E:$E,設定!$C74,月別入力!$D:$D,設定!Q$8,月別入力!$B:$B,設定!$B74)</f>
        <v>0</v>
      </c>
      <c r="R74" s="64">
        <f>SUMIFS(月別入力!$I:$I,月別入力!$E:$E,設定!$C74,月別入力!$D:$D,設定!R$8,月別入力!$B:$B,設定!$B74)</f>
        <v>0</v>
      </c>
      <c r="S74" s="64">
        <f>SUMIFS(月別入力!$I:$I,月別入力!$E:$E,設定!$C74,月別入力!$D:$D,設定!S$8,月別入力!$B:$B,設定!$B74)</f>
        <v>0</v>
      </c>
      <c r="T74" s="64">
        <f>SUMIFS(月別入力!$I:$I,月別入力!$E:$E,設定!$C74,月別入力!$D:$D,設定!T$8,月別入力!$B:$B,設定!$B74)</f>
        <v>0</v>
      </c>
      <c r="U74" s="175">
        <f>SUMIFS(月別入力!$I:$I,月別入力!$E:$E,設定!$C74,月別入力!$D:$D,設定!U$8,月別入力!$B:$B,設定!$B74)</f>
        <v>0</v>
      </c>
      <c r="V74" s="175">
        <f>SUMIFS(月別入力!$I:$I,月別入力!$E:$E,設定!$C74,月別入力!$D:$D,設定!V$8,月別入力!$B:$B,設定!$B74)</f>
        <v>0</v>
      </c>
      <c r="W74" s="175">
        <f>SUMIFS(月別入力!$I:$I,月別入力!$E:$E,設定!$C74,月別入力!$D:$D,設定!W$8,月別入力!$B:$B,設定!$B74)</f>
        <v>0</v>
      </c>
      <c r="X74" s="66">
        <f>SUMIFS(月別入力!$I:$I,月別入力!$E:$E,設定!$C74,月別入力!$D:$D,設定!X$8,月別入力!$B:$B,設定!$B74)</f>
        <v>0</v>
      </c>
    </row>
    <row r="75" spans="2:24" s="6" customFormat="1" ht="15" customHeight="1" x14ac:dyDescent="0.2">
      <c r="B75" s="201" t="str">
        <f t="shared" si="1"/>
        <v>&lt;=12</v>
      </c>
      <c r="C75" s="63"/>
      <c r="D75" s="68"/>
      <c r="E75" s="64"/>
      <c r="F75" s="69"/>
      <c r="G75" s="65">
        <f t="shared" ref="G75:G109" si="4">SUM(H75:X75)</f>
        <v>0</v>
      </c>
      <c r="H75" s="64">
        <f>SUMIFS(月別入力!$I:$I,月別入力!$E:$E,設定!$C75,月別入力!$D:$D,設定!H$8,月別入力!$B:$B,設定!$B75)</f>
        <v>0</v>
      </c>
      <c r="I75" s="64">
        <f>SUMIFS(月別入力!$I:$I,月別入力!$E:$E,設定!$C75,月別入力!$D:$D,設定!I$8,月別入力!$B:$B,設定!$B75)</f>
        <v>0</v>
      </c>
      <c r="J75" s="64">
        <f>SUMIFS(月別入力!$I:$I,月別入力!$E:$E,設定!$C75,月別入力!$D:$D,設定!J$8,月別入力!$B:$B,設定!$B75)</f>
        <v>0</v>
      </c>
      <c r="K75" s="64">
        <f>SUMIFS(月別入力!$I:$I,月別入力!$E:$E,設定!$C75,月別入力!$D:$D,設定!K$8,月別入力!$B:$B,設定!$B75)</f>
        <v>0</v>
      </c>
      <c r="L75" s="64">
        <f>SUMIFS(月別入力!$I:$I,月別入力!$E:$E,設定!$C75,月別入力!$D:$D,設定!L$8,月別入力!$B:$B,設定!$B75)</f>
        <v>0</v>
      </c>
      <c r="M75" s="64">
        <f>SUMIFS(月別入力!$I:$I,月別入力!$E:$E,設定!$C75,月別入力!$D:$D,設定!M$8,月別入力!$B:$B,設定!$B75)</f>
        <v>0</v>
      </c>
      <c r="N75" s="64">
        <f>SUMIFS(月別入力!$I:$I,月別入力!$E:$E,設定!$C75,月別入力!$D:$D,設定!N$8,月別入力!$B:$B,設定!$B75)</f>
        <v>0</v>
      </c>
      <c r="O75" s="64">
        <f>SUMIFS(月別入力!$I:$I,月別入力!$E:$E,設定!$C75,月別入力!$D:$D,設定!O$8,月別入力!$B:$B,設定!$B75)</f>
        <v>0</v>
      </c>
      <c r="P75" s="64">
        <f>SUMIFS(月別入力!$I:$I,月別入力!$E:$E,設定!$C75,月別入力!$D:$D,設定!P$8,月別入力!$B:$B,設定!$B75)</f>
        <v>0</v>
      </c>
      <c r="Q75" s="64">
        <f>SUMIFS(月別入力!$I:$I,月別入力!$E:$E,設定!$C75,月別入力!$D:$D,設定!Q$8,月別入力!$B:$B,設定!$B75)</f>
        <v>0</v>
      </c>
      <c r="R75" s="64">
        <f>SUMIFS(月別入力!$I:$I,月別入力!$E:$E,設定!$C75,月別入力!$D:$D,設定!R$8,月別入力!$B:$B,設定!$B75)</f>
        <v>0</v>
      </c>
      <c r="S75" s="64">
        <f>SUMIFS(月別入力!$I:$I,月別入力!$E:$E,設定!$C75,月別入力!$D:$D,設定!S$8,月別入力!$B:$B,設定!$B75)</f>
        <v>0</v>
      </c>
      <c r="T75" s="64">
        <f>SUMIFS(月別入力!$I:$I,月別入力!$E:$E,設定!$C75,月別入力!$D:$D,設定!T$8,月別入力!$B:$B,設定!$B75)</f>
        <v>0</v>
      </c>
      <c r="U75" s="175">
        <f>SUMIFS(月別入力!$I:$I,月別入力!$E:$E,設定!$C75,月別入力!$D:$D,設定!U$8,月別入力!$B:$B,設定!$B75)</f>
        <v>0</v>
      </c>
      <c r="V75" s="175">
        <f>SUMIFS(月別入力!$I:$I,月別入力!$E:$E,設定!$C75,月別入力!$D:$D,設定!V$8,月別入力!$B:$B,設定!$B75)</f>
        <v>0</v>
      </c>
      <c r="W75" s="175">
        <f>SUMIFS(月別入力!$I:$I,月別入力!$E:$E,設定!$C75,月別入力!$D:$D,設定!W$8,月別入力!$B:$B,設定!$B75)</f>
        <v>0</v>
      </c>
      <c r="X75" s="66">
        <f>SUMIFS(月別入力!$I:$I,月別入力!$E:$E,設定!$C75,月別入力!$D:$D,設定!X$8,月別入力!$B:$B,設定!$B75)</f>
        <v>0</v>
      </c>
    </row>
    <row r="76" spans="2:24" s="6" customFormat="1" ht="15" customHeight="1" x14ac:dyDescent="0.2">
      <c r="B76" s="201" t="str">
        <f t="shared" ref="B76:B109" si="5">B$10</f>
        <v>&lt;=12</v>
      </c>
      <c r="C76" s="63"/>
      <c r="D76" s="68"/>
      <c r="E76" s="64"/>
      <c r="F76" s="69"/>
      <c r="G76" s="65">
        <f t="shared" si="4"/>
        <v>0</v>
      </c>
      <c r="H76" s="64">
        <f>SUMIFS(月別入力!$I:$I,月別入力!$E:$E,設定!$C76,月別入力!$D:$D,設定!H$8,月別入力!$B:$B,設定!$B76)</f>
        <v>0</v>
      </c>
      <c r="I76" s="64">
        <f>SUMIFS(月別入力!$I:$I,月別入力!$E:$E,設定!$C76,月別入力!$D:$D,設定!I$8,月別入力!$B:$B,設定!$B76)</f>
        <v>0</v>
      </c>
      <c r="J76" s="64">
        <f>SUMIFS(月別入力!$I:$I,月別入力!$E:$E,設定!$C76,月別入力!$D:$D,設定!J$8,月別入力!$B:$B,設定!$B76)</f>
        <v>0</v>
      </c>
      <c r="K76" s="64">
        <f>SUMIFS(月別入力!$I:$I,月別入力!$E:$E,設定!$C76,月別入力!$D:$D,設定!K$8,月別入力!$B:$B,設定!$B76)</f>
        <v>0</v>
      </c>
      <c r="L76" s="64">
        <f>SUMIFS(月別入力!$I:$I,月別入力!$E:$E,設定!$C76,月別入力!$D:$D,設定!L$8,月別入力!$B:$B,設定!$B76)</f>
        <v>0</v>
      </c>
      <c r="M76" s="64">
        <f>SUMIFS(月別入力!$I:$I,月別入力!$E:$E,設定!$C76,月別入力!$D:$D,設定!M$8,月別入力!$B:$B,設定!$B76)</f>
        <v>0</v>
      </c>
      <c r="N76" s="64">
        <f>SUMIFS(月別入力!$I:$I,月別入力!$E:$E,設定!$C76,月別入力!$D:$D,設定!N$8,月別入力!$B:$B,設定!$B76)</f>
        <v>0</v>
      </c>
      <c r="O76" s="64">
        <f>SUMIFS(月別入力!$I:$I,月別入力!$E:$E,設定!$C76,月別入力!$D:$D,設定!O$8,月別入力!$B:$B,設定!$B76)</f>
        <v>0</v>
      </c>
      <c r="P76" s="64">
        <f>SUMIFS(月別入力!$I:$I,月別入力!$E:$E,設定!$C76,月別入力!$D:$D,設定!P$8,月別入力!$B:$B,設定!$B76)</f>
        <v>0</v>
      </c>
      <c r="Q76" s="64">
        <f>SUMIFS(月別入力!$I:$I,月別入力!$E:$E,設定!$C76,月別入力!$D:$D,設定!Q$8,月別入力!$B:$B,設定!$B76)</f>
        <v>0</v>
      </c>
      <c r="R76" s="64">
        <f>SUMIFS(月別入力!$I:$I,月別入力!$E:$E,設定!$C76,月別入力!$D:$D,設定!R$8,月別入力!$B:$B,設定!$B76)</f>
        <v>0</v>
      </c>
      <c r="S76" s="64">
        <f>SUMIFS(月別入力!$I:$I,月別入力!$E:$E,設定!$C76,月別入力!$D:$D,設定!S$8,月別入力!$B:$B,設定!$B76)</f>
        <v>0</v>
      </c>
      <c r="T76" s="64">
        <f>SUMIFS(月別入力!$I:$I,月別入力!$E:$E,設定!$C76,月別入力!$D:$D,設定!T$8,月別入力!$B:$B,設定!$B76)</f>
        <v>0</v>
      </c>
      <c r="U76" s="175">
        <f>SUMIFS(月別入力!$I:$I,月別入力!$E:$E,設定!$C76,月別入力!$D:$D,設定!U$8,月別入力!$B:$B,設定!$B76)</f>
        <v>0</v>
      </c>
      <c r="V76" s="175">
        <f>SUMIFS(月別入力!$I:$I,月別入力!$E:$E,設定!$C76,月別入力!$D:$D,設定!V$8,月別入力!$B:$B,設定!$B76)</f>
        <v>0</v>
      </c>
      <c r="W76" s="175">
        <f>SUMIFS(月別入力!$I:$I,月別入力!$E:$E,設定!$C76,月別入力!$D:$D,設定!W$8,月別入力!$B:$B,設定!$B76)</f>
        <v>0</v>
      </c>
      <c r="X76" s="66">
        <f>SUMIFS(月別入力!$I:$I,月別入力!$E:$E,設定!$C76,月別入力!$D:$D,設定!X$8,月別入力!$B:$B,設定!$B76)</f>
        <v>0</v>
      </c>
    </row>
    <row r="77" spans="2:24" s="6" customFormat="1" ht="15" customHeight="1" x14ac:dyDescent="0.2">
      <c r="B77" s="201" t="str">
        <f t="shared" si="5"/>
        <v>&lt;=12</v>
      </c>
      <c r="C77" s="63"/>
      <c r="D77" s="68"/>
      <c r="E77" s="64"/>
      <c r="F77" s="69"/>
      <c r="G77" s="65">
        <f t="shared" si="4"/>
        <v>0</v>
      </c>
      <c r="H77" s="64">
        <f>SUMIFS(月別入力!$I:$I,月別入力!$E:$E,設定!$C77,月別入力!$D:$D,設定!H$8,月別入力!$B:$B,設定!$B77)</f>
        <v>0</v>
      </c>
      <c r="I77" s="64">
        <f>SUMIFS(月別入力!$I:$I,月別入力!$E:$E,設定!$C77,月別入力!$D:$D,設定!I$8,月別入力!$B:$B,設定!$B77)</f>
        <v>0</v>
      </c>
      <c r="J77" s="64">
        <f>SUMIFS(月別入力!$I:$I,月別入力!$E:$E,設定!$C77,月別入力!$D:$D,設定!J$8,月別入力!$B:$B,設定!$B77)</f>
        <v>0</v>
      </c>
      <c r="K77" s="64">
        <f>SUMIFS(月別入力!$I:$I,月別入力!$E:$E,設定!$C77,月別入力!$D:$D,設定!K$8,月別入力!$B:$B,設定!$B77)</f>
        <v>0</v>
      </c>
      <c r="L77" s="64">
        <f>SUMIFS(月別入力!$I:$I,月別入力!$E:$E,設定!$C77,月別入力!$D:$D,設定!L$8,月別入力!$B:$B,設定!$B77)</f>
        <v>0</v>
      </c>
      <c r="M77" s="64">
        <f>SUMIFS(月別入力!$I:$I,月別入力!$E:$E,設定!$C77,月別入力!$D:$D,設定!M$8,月別入力!$B:$B,設定!$B77)</f>
        <v>0</v>
      </c>
      <c r="N77" s="64">
        <f>SUMIFS(月別入力!$I:$I,月別入力!$E:$E,設定!$C77,月別入力!$D:$D,設定!N$8,月別入力!$B:$B,設定!$B77)</f>
        <v>0</v>
      </c>
      <c r="O77" s="64">
        <f>SUMIFS(月別入力!$I:$I,月別入力!$E:$E,設定!$C77,月別入力!$D:$D,設定!O$8,月別入力!$B:$B,設定!$B77)</f>
        <v>0</v>
      </c>
      <c r="P77" s="64">
        <f>SUMIFS(月別入力!$I:$I,月別入力!$E:$E,設定!$C77,月別入力!$D:$D,設定!P$8,月別入力!$B:$B,設定!$B77)</f>
        <v>0</v>
      </c>
      <c r="Q77" s="64">
        <f>SUMIFS(月別入力!$I:$I,月別入力!$E:$E,設定!$C77,月別入力!$D:$D,設定!Q$8,月別入力!$B:$B,設定!$B77)</f>
        <v>0</v>
      </c>
      <c r="R77" s="64">
        <f>SUMIFS(月別入力!$I:$I,月別入力!$E:$E,設定!$C77,月別入力!$D:$D,設定!R$8,月別入力!$B:$B,設定!$B77)</f>
        <v>0</v>
      </c>
      <c r="S77" s="64">
        <f>SUMIFS(月別入力!$I:$I,月別入力!$E:$E,設定!$C77,月別入力!$D:$D,設定!S$8,月別入力!$B:$B,設定!$B77)</f>
        <v>0</v>
      </c>
      <c r="T77" s="64">
        <f>SUMIFS(月別入力!$I:$I,月別入力!$E:$E,設定!$C77,月別入力!$D:$D,設定!T$8,月別入力!$B:$B,設定!$B77)</f>
        <v>0</v>
      </c>
      <c r="U77" s="175">
        <f>SUMIFS(月別入力!$I:$I,月別入力!$E:$E,設定!$C77,月別入力!$D:$D,設定!U$8,月別入力!$B:$B,設定!$B77)</f>
        <v>0</v>
      </c>
      <c r="V77" s="175">
        <f>SUMIFS(月別入力!$I:$I,月別入力!$E:$E,設定!$C77,月別入力!$D:$D,設定!V$8,月別入力!$B:$B,設定!$B77)</f>
        <v>0</v>
      </c>
      <c r="W77" s="175">
        <f>SUMIFS(月別入力!$I:$I,月別入力!$E:$E,設定!$C77,月別入力!$D:$D,設定!W$8,月別入力!$B:$B,設定!$B77)</f>
        <v>0</v>
      </c>
      <c r="X77" s="66">
        <f>SUMIFS(月別入力!$I:$I,月別入力!$E:$E,設定!$C77,月別入力!$D:$D,設定!X$8,月別入力!$B:$B,設定!$B77)</f>
        <v>0</v>
      </c>
    </row>
    <row r="78" spans="2:24" s="6" customFormat="1" ht="15" customHeight="1" x14ac:dyDescent="0.2">
      <c r="B78" s="201" t="str">
        <f t="shared" si="5"/>
        <v>&lt;=12</v>
      </c>
      <c r="C78" s="63"/>
      <c r="D78" s="68"/>
      <c r="E78" s="64"/>
      <c r="F78" s="69"/>
      <c r="G78" s="65">
        <f t="shared" si="4"/>
        <v>0</v>
      </c>
      <c r="H78" s="64">
        <f>SUMIFS(月別入力!$I:$I,月別入力!$E:$E,設定!$C78,月別入力!$D:$D,設定!H$8,月別入力!$B:$B,設定!$B78)</f>
        <v>0</v>
      </c>
      <c r="I78" s="64">
        <f>SUMIFS(月別入力!$I:$I,月別入力!$E:$E,設定!$C78,月別入力!$D:$D,設定!I$8,月別入力!$B:$B,設定!$B78)</f>
        <v>0</v>
      </c>
      <c r="J78" s="64">
        <f>SUMIFS(月別入力!$I:$I,月別入力!$E:$E,設定!$C78,月別入力!$D:$D,設定!J$8,月別入力!$B:$B,設定!$B78)</f>
        <v>0</v>
      </c>
      <c r="K78" s="64">
        <f>SUMIFS(月別入力!$I:$I,月別入力!$E:$E,設定!$C78,月別入力!$D:$D,設定!K$8,月別入力!$B:$B,設定!$B78)</f>
        <v>0</v>
      </c>
      <c r="L78" s="64">
        <f>SUMIFS(月別入力!$I:$I,月別入力!$E:$E,設定!$C78,月別入力!$D:$D,設定!L$8,月別入力!$B:$B,設定!$B78)</f>
        <v>0</v>
      </c>
      <c r="M78" s="64">
        <f>SUMIFS(月別入力!$I:$I,月別入力!$E:$E,設定!$C78,月別入力!$D:$D,設定!M$8,月別入力!$B:$B,設定!$B78)</f>
        <v>0</v>
      </c>
      <c r="N78" s="64">
        <f>SUMIFS(月別入力!$I:$I,月別入力!$E:$E,設定!$C78,月別入力!$D:$D,設定!N$8,月別入力!$B:$B,設定!$B78)</f>
        <v>0</v>
      </c>
      <c r="O78" s="64">
        <f>SUMIFS(月別入力!$I:$I,月別入力!$E:$E,設定!$C78,月別入力!$D:$D,設定!O$8,月別入力!$B:$B,設定!$B78)</f>
        <v>0</v>
      </c>
      <c r="P78" s="64">
        <f>SUMIFS(月別入力!$I:$I,月別入力!$E:$E,設定!$C78,月別入力!$D:$D,設定!P$8,月別入力!$B:$B,設定!$B78)</f>
        <v>0</v>
      </c>
      <c r="Q78" s="64">
        <f>SUMIFS(月別入力!$I:$I,月別入力!$E:$E,設定!$C78,月別入力!$D:$D,設定!Q$8,月別入力!$B:$B,設定!$B78)</f>
        <v>0</v>
      </c>
      <c r="R78" s="64">
        <f>SUMIFS(月別入力!$I:$I,月別入力!$E:$E,設定!$C78,月別入力!$D:$D,設定!R$8,月別入力!$B:$B,設定!$B78)</f>
        <v>0</v>
      </c>
      <c r="S78" s="64">
        <f>SUMIFS(月別入力!$I:$I,月別入力!$E:$E,設定!$C78,月別入力!$D:$D,設定!S$8,月別入力!$B:$B,設定!$B78)</f>
        <v>0</v>
      </c>
      <c r="T78" s="64">
        <f>SUMIFS(月別入力!$I:$I,月別入力!$E:$E,設定!$C78,月別入力!$D:$D,設定!T$8,月別入力!$B:$B,設定!$B78)</f>
        <v>0</v>
      </c>
      <c r="U78" s="175">
        <f>SUMIFS(月別入力!$I:$I,月別入力!$E:$E,設定!$C78,月別入力!$D:$D,設定!U$8,月別入力!$B:$B,設定!$B78)</f>
        <v>0</v>
      </c>
      <c r="V78" s="175">
        <f>SUMIFS(月別入力!$I:$I,月別入力!$E:$E,設定!$C78,月別入力!$D:$D,設定!V$8,月別入力!$B:$B,設定!$B78)</f>
        <v>0</v>
      </c>
      <c r="W78" s="175">
        <f>SUMIFS(月別入力!$I:$I,月別入力!$E:$E,設定!$C78,月別入力!$D:$D,設定!W$8,月別入力!$B:$B,設定!$B78)</f>
        <v>0</v>
      </c>
      <c r="X78" s="66">
        <f>SUMIFS(月別入力!$I:$I,月別入力!$E:$E,設定!$C78,月別入力!$D:$D,設定!X$8,月別入力!$B:$B,設定!$B78)</f>
        <v>0</v>
      </c>
    </row>
    <row r="79" spans="2:24" s="6" customFormat="1" ht="15" customHeight="1" x14ac:dyDescent="0.2">
      <c r="B79" s="201" t="str">
        <f t="shared" si="5"/>
        <v>&lt;=12</v>
      </c>
      <c r="C79" s="63"/>
      <c r="D79" s="68"/>
      <c r="E79" s="64"/>
      <c r="F79" s="69"/>
      <c r="G79" s="65">
        <f t="shared" si="4"/>
        <v>0</v>
      </c>
      <c r="H79" s="64">
        <f>SUMIFS(月別入力!$I:$I,月別入力!$E:$E,設定!$C79,月別入力!$D:$D,設定!H$8,月別入力!$B:$B,設定!$B79)</f>
        <v>0</v>
      </c>
      <c r="I79" s="64">
        <f>SUMIFS(月別入力!$I:$I,月別入力!$E:$E,設定!$C79,月別入力!$D:$D,設定!I$8,月別入力!$B:$B,設定!$B79)</f>
        <v>0</v>
      </c>
      <c r="J79" s="64">
        <f>SUMIFS(月別入力!$I:$I,月別入力!$E:$E,設定!$C79,月別入力!$D:$D,設定!J$8,月別入力!$B:$B,設定!$B79)</f>
        <v>0</v>
      </c>
      <c r="K79" s="64">
        <f>SUMIFS(月別入力!$I:$I,月別入力!$E:$E,設定!$C79,月別入力!$D:$D,設定!K$8,月別入力!$B:$B,設定!$B79)</f>
        <v>0</v>
      </c>
      <c r="L79" s="64">
        <f>SUMIFS(月別入力!$I:$I,月別入力!$E:$E,設定!$C79,月別入力!$D:$D,設定!L$8,月別入力!$B:$B,設定!$B79)</f>
        <v>0</v>
      </c>
      <c r="M79" s="64">
        <f>SUMIFS(月別入力!$I:$I,月別入力!$E:$E,設定!$C79,月別入力!$D:$D,設定!M$8,月別入力!$B:$B,設定!$B79)</f>
        <v>0</v>
      </c>
      <c r="N79" s="64">
        <f>SUMIFS(月別入力!$I:$I,月別入力!$E:$E,設定!$C79,月別入力!$D:$D,設定!N$8,月別入力!$B:$B,設定!$B79)</f>
        <v>0</v>
      </c>
      <c r="O79" s="64">
        <f>SUMIFS(月別入力!$I:$I,月別入力!$E:$E,設定!$C79,月別入力!$D:$D,設定!O$8,月別入力!$B:$B,設定!$B79)</f>
        <v>0</v>
      </c>
      <c r="P79" s="64">
        <f>SUMIFS(月別入力!$I:$I,月別入力!$E:$E,設定!$C79,月別入力!$D:$D,設定!P$8,月別入力!$B:$B,設定!$B79)</f>
        <v>0</v>
      </c>
      <c r="Q79" s="64">
        <f>SUMIFS(月別入力!$I:$I,月別入力!$E:$E,設定!$C79,月別入力!$D:$D,設定!Q$8,月別入力!$B:$B,設定!$B79)</f>
        <v>0</v>
      </c>
      <c r="R79" s="64">
        <f>SUMIFS(月別入力!$I:$I,月別入力!$E:$E,設定!$C79,月別入力!$D:$D,設定!R$8,月別入力!$B:$B,設定!$B79)</f>
        <v>0</v>
      </c>
      <c r="S79" s="64">
        <f>SUMIFS(月別入力!$I:$I,月別入力!$E:$E,設定!$C79,月別入力!$D:$D,設定!S$8,月別入力!$B:$B,設定!$B79)</f>
        <v>0</v>
      </c>
      <c r="T79" s="64">
        <f>SUMIFS(月別入力!$I:$I,月別入力!$E:$E,設定!$C79,月別入力!$D:$D,設定!T$8,月別入力!$B:$B,設定!$B79)</f>
        <v>0</v>
      </c>
      <c r="U79" s="175">
        <f>SUMIFS(月別入力!$I:$I,月別入力!$E:$E,設定!$C79,月別入力!$D:$D,設定!U$8,月別入力!$B:$B,設定!$B79)</f>
        <v>0</v>
      </c>
      <c r="V79" s="175">
        <f>SUMIFS(月別入力!$I:$I,月別入力!$E:$E,設定!$C79,月別入力!$D:$D,設定!V$8,月別入力!$B:$B,設定!$B79)</f>
        <v>0</v>
      </c>
      <c r="W79" s="175">
        <f>SUMIFS(月別入力!$I:$I,月別入力!$E:$E,設定!$C79,月別入力!$D:$D,設定!W$8,月別入力!$B:$B,設定!$B79)</f>
        <v>0</v>
      </c>
      <c r="X79" s="66">
        <f>SUMIFS(月別入力!$I:$I,月別入力!$E:$E,設定!$C79,月別入力!$D:$D,設定!X$8,月別入力!$B:$B,設定!$B79)</f>
        <v>0</v>
      </c>
    </row>
    <row r="80" spans="2:24" s="6" customFormat="1" ht="15" customHeight="1" x14ac:dyDescent="0.2">
      <c r="B80" s="201" t="str">
        <f t="shared" si="5"/>
        <v>&lt;=12</v>
      </c>
      <c r="C80" s="63"/>
      <c r="D80" s="68"/>
      <c r="E80" s="64"/>
      <c r="F80" s="69"/>
      <c r="G80" s="65">
        <f t="shared" si="4"/>
        <v>0</v>
      </c>
      <c r="H80" s="64">
        <f>SUMIFS(月別入力!$I:$I,月別入力!$E:$E,設定!$C80,月別入力!$D:$D,設定!H$8,月別入力!$B:$B,設定!$B80)</f>
        <v>0</v>
      </c>
      <c r="I80" s="64">
        <f>SUMIFS(月別入力!$I:$I,月別入力!$E:$E,設定!$C80,月別入力!$D:$D,設定!I$8,月別入力!$B:$B,設定!$B80)</f>
        <v>0</v>
      </c>
      <c r="J80" s="64">
        <f>SUMIFS(月別入力!$I:$I,月別入力!$E:$E,設定!$C80,月別入力!$D:$D,設定!J$8,月別入力!$B:$B,設定!$B80)</f>
        <v>0</v>
      </c>
      <c r="K80" s="64">
        <f>SUMIFS(月別入力!$I:$I,月別入力!$E:$E,設定!$C80,月別入力!$D:$D,設定!K$8,月別入力!$B:$B,設定!$B80)</f>
        <v>0</v>
      </c>
      <c r="L80" s="64">
        <f>SUMIFS(月別入力!$I:$I,月別入力!$E:$E,設定!$C80,月別入力!$D:$D,設定!L$8,月別入力!$B:$B,設定!$B80)</f>
        <v>0</v>
      </c>
      <c r="M80" s="64">
        <f>SUMIFS(月別入力!$I:$I,月別入力!$E:$E,設定!$C80,月別入力!$D:$D,設定!M$8,月別入力!$B:$B,設定!$B80)</f>
        <v>0</v>
      </c>
      <c r="N80" s="64">
        <f>SUMIFS(月別入力!$I:$I,月別入力!$E:$E,設定!$C80,月別入力!$D:$D,設定!N$8,月別入力!$B:$B,設定!$B80)</f>
        <v>0</v>
      </c>
      <c r="O80" s="64">
        <f>SUMIFS(月別入力!$I:$I,月別入力!$E:$E,設定!$C80,月別入力!$D:$D,設定!O$8,月別入力!$B:$B,設定!$B80)</f>
        <v>0</v>
      </c>
      <c r="P80" s="64">
        <f>SUMIFS(月別入力!$I:$I,月別入力!$E:$E,設定!$C80,月別入力!$D:$D,設定!P$8,月別入力!$B:$B,設定!$B80)</f>
        <v>0</v>
      </c>
      <c r="Q80" s="64">
        <f>SUMIFS(月別入力!$I:$I,月別入力!$E:$E,設定!$C80,月別入力!$D:$D,設定!Q$8,月別入力!$B:$B,設定!$B80)</f>
        <v>0</v>
      </c>
      <c r="R80" s="64">
        <f>SUMIFS(月別入力!$I:$I,月別入力!$E:$E,設定!$C80,月別入力!$D:$D,設定!R$8,月別入力!$B:$B,設定!$B80)</f>
        <v>0</v>
      </c>
      <c r="S80" s="64">
        <f>SUMIFS(月別入力!$I:$I,月別入力!$E:$E,設定!$C80,月別入力!$D:$D,設定!S$8,月別入力!$B:$B,設定!$B80)</f>
        <v>0</v>
      </c>
      <c r="T80" s="64">
        <f>SUMIFS(月別入力!$I:$I,月別入力!$E:$E,設定!$C80,月別入力!$D:$D,設定!T$8,月別入力!$B:$B,設定!$B80)</f>
        <v>0</v>
      </c>
      <c r="U80" s="175">
        <f>SUMIFS(月別入力!$I:$I,月別入力!$E:$E,設定!$C80,月別入力!$D:$D,設定!U$8,月別入力!$B:$B,設定!$B80)</f>
        <v>0</v>
      </c>
      <c r="V80" s="175">
        <f>SUMIFS(月別入力!$I:$I,月別入力!$E:$E,設定!$C80,月別入力!$D:$D,設定!V$8,月別入力!$B:$B,設定!$B80)</f>
        <v>0</v>
      </c>
      <c r="W80" s="175">
        <f>SUMIFS(月別入力!$I:$I,月別入力!$E:$E,設定!$C80,月別入力!$D:$D,設定!W$8,月別入力!$B:$B,設定!$B80)</f>
        <v>0</v>
      </c>
      <c r="X80" s="66">
        <f>SUMIFS(月別入力!$I:$I,月別入力!$E:$E,設定!$C80,月別入力!$D:$D,設定!X$8,月別入力!$B:$B,設定!$B80)</f>
        <v>0</v>
      </c>
    </row>
    <row r="81" spans="2:24" s="6" customFormat="1" ht="15" customHeight="1" x14ac:dyDescent="0.2">
      <c r="B81" s="201" t="str">
        <f t="shared" si="5"/>
        <v>&lt;=12</v>
      </c>
      <c r="C81" s="63"/>
      <c r="D81" s="68"/>
      <c r="E81" s="64"/>
      <c r="F81" s="69"/>
      <c r="G81" s="65">
        <f t="shared" si="4"/>
        <v>0</v>
      </c>
      <c r="H81" s="64">
        <f>SUMIFS(月別入力!$I:$I,月別入力!$E:$E,設定!$C81,月別入力!$D:$D,設定!H$8,月別入力!$B:$B,設定!$B81)</f>
        <v>0</v>
      </c>
      <c r="I81" s="64">
        <f>SUMIFS(月別入力!$I:$I,月別入力!$E:$E,設定!$C81,月別入力!$D:$D,設定!I$8,月別入力!$B:$B,設定!$B81)</f>
        <v>0</v>
      </c>
      <c r="J81" s="64">
        <f>SUMIFS(月別入力!$I:$I,月別入力!$E:$E,設定!$C81,月別入力!$D:$D,設定!J$8,月別入力!$B:$B,設定!$B81)</f>
        <v>0</v>
      </c>
      <c r="K81" s="64">
        <f>SUMIFS(月別入力!$I:$I,月別入力!$E:$E,設定!$C81,月別入力!$D:$D,設定!K$8,月別入力!$B:$B,設定!$B81)</f>
        <v>0</v>
      </c>
      <c r="L81" s="64">
        <f>SUMIFS(月別入力!$I:$I,月別入力!$E:$E,設定!$C81,月別入力!$D:$D,設定!L$8,月別入力!$B:$B,設定!$B81)</f>
        <v>0</v>
      </c>
      <c r="M81" s="64">
        <f>SUMIFS(月別入力!$I:$I,月別入力!$E:$E,設定!$C81,月別入力!$D:$D,設定!M$8,月別入力!$B:$B,設定!$B81)</f>
        <v>0</v>
      </c>
      <c r="N81" s="64">
        <f>SUMIFS(月別入力!$I:$I,月別入力!$E:$E,設定!$C81,月別入力!$D:$D,設定!N$8,月別入力!$B:$B,設定!$B81)</f>
        <v>0</v>
      </c>
      <c r="O81" s="64">
        <f>SUMIFS(月別入力!$I:$I,月別入力!$E:$E,設定!$C81,月別入力!$D:$D,設定!O$8,月別入力!$B:$B,設定!$B81)</f>
        <v>0</v>
      </c>
      <c r="P81" s="64">
        <f>SUMIFS(月別入力!$I:$I,月別入力!$E:$E,設定!$C81,月別入力!$D:$D,設定!P$8,月別入力!$B:$B,設定!$B81)</f>
        <v>0</v>
      </c>
      <c r="Q81" s="64">
        <f>SUMIFS(月別入力!$I:$I,月別入力!$E:$E,設定!$C81,月別入力!$D:$D,設定!Q$8,月別入力!$B:$B,設定!$B81)</f>
        <v>0</v>
      </c>
      <c r="R81" s="64">
        <f>SUMIFS(月別入力!$I:$I,月別入力!$E:$E,設定!$C81,月別入力!$D:$D,設定!R$8,月別入力!$B:$B,設定!$B81)</f>
        <v>0</v>
      </c>
      <c r="S81" s="64">
        <f>SUMIFS(月別入力!$I:$I,月別入力!$E:$E,設定!$C81,月別入力!$D:$D,設定!S$8,月別入力!$B:$B,設定!$B81)</f>
        <v>0</v>
      </c>
      <c r="T81" s="64">
        <f>SUMIFS(月別入力!$I:$I,月別入力!$E:$E,設定!$C81,月別入力!$D:$D,設定!T$8,月別入力!$B:$B,設定!$B81)</f>
        <v>0</v>
      </c>
      <c r="U81" s="175">
        <f>SUMIFS(月別入力!$I:$I,月別入力!$E:$E,設定!$C81,月別入力!$D:$D,設定!U$8,月別入力!$B:$B,設定!$B81)</f>
        <v>0</v>
      </c>
      <c r="V81" s="175">
        <f>SUMIFS(月別入力!$I:$I,月別入力!$E:$E,設定!$C81,月別入力!$D:$D,設定!V$8,月別入力!$B:$B,設定!$B81)</f>
        <v>0</v>
      </c>
      <c r="W81" s="175">
        <f>SUMIFS(月別入力!$I:$I,月別入力!$E:$E,設定!$C81,月別入力!$D:$D,設定!W$8,月別入力!$B:$B,設定!$B81)</f>
        <v>0</v>
      </c>
      <c r="X81" s="66">
        <f>SUMIFS(月別入力!$I:$I,月別入力!$E:$E,設定!$C81,月別入力!$D:$D,設定!X$8,月別入力!$B:$B,設定!$B81)</f>
        <v>0</v>
      </c>
    </row>
    <row r="82" spans="2:24" s="6" customFormat="1" ht="15" customHeight="1" x14ac:dyDescent="0.2">
      <c r="B82" s="201" t="str">
        <f t="shared" si="5"/>
        <v>&lt;=12</v>
      </c>
      <c r="C82" s="63"/>
      <c r="D82" s="68"/>
      <c r="E82" s="64"/>
      <c r="F82" s="69"/>
      <c r="G82" s="65">
        <f t="shared" si="4"/>
        <v>0</v>
      </c>
      <c r="H82" s="64">
        <f>SUMIFS(月別入力!$I:$I,月別入力!$E:$E,設定!$C82,月別入力!$D:$D,設定!H$8,月別入力!$B:$B,設定!$B82)</f>
        <v>0</v>
      </c>
      <c r="I82" s="64">
        <f>SUMIFS(月別入力!$I:$I,月別入力!$E:$E,設定!$C82,月別入力!$D:$D,設定!I$8,月別入力!$B:$B,設定!$B82)</f>
        <v>0</v>
      </c>
      <c r="J82" s="64">
        <f>SUMIFS(月別入力!$I:$I,月別入力!$E:$E,設定!$C82,月別入力!$D:$D,設定!J$8,月別入力!$B:$B,設定!$B82)</f>
        <v>0</v>
      </c>
      <c r="K82" s="64">
        <f>SUMIFS(月別入力!$I:$I,月別入力!$E:$E,設定!$C82,月別入力!$D:$D,設定!K$8,月別入力!$B:$B,設定!$B82)</f>
        <v>0</v>
      </c>
      <c r="L82" s="64">
        <f>SUMIFS(月別入力!$I:$I,月別入力!$E:$E,設定!$C82,月別入力!$D:$D,設定!L$8,月別入力!$B:$B,設定!$B82)</f>
        <v>0</v>
      </c>
      <c r="M82" s="64">
        <f>SUMIFS(月別入力!$I:$I,月別入力!$E:$E,設定!$C82,月別入力!$D:$D,設定!M$8,月別入力!$B:$B,設定!$B82)</f>
        <v>0</v>
      </c>
      <c r="N82" s="64">
        <f>SUMIFS(月別入力!$I:$I,月別入力!$E:$E,設定!$C82,月別入力!$D:$D,設定!N$8,月別入力!$B:$B,設定!$B82)</f>
        <v>0</v>
      </c>
      <c r="O82" s="64">
        <f>SUMIFS(月別入力!$I:$I,月別入力!$E:$E,設定!$C82,月別入力!$D:$D,設定!O$8,月別入力!$B:$B,設定!$B82)</f>
        <v>0</v>
      </c>
      <c r="P82" s="64">
        <f>SUMIFS(月別入力!$I:$I,月別入力!$E:$E,設定!$C82,月別入力!$D:$D,設定!P$8,月別入力!$B:$B,設定!$B82)</f>
        <v>0</v>
      </c>
      <c r="Q82" s="64">
        <f>SUMIFS(月別入力!$I:$I,月別入力!$E:$E,設定!$C82,月別入力!$D:$D,設定!Q$8,月別入力!$B:$B,設定!$B82)</f>
        <v>0</v>
      </c>
      <c r="R82" s="64">
        <f>SUMIFS(月別入力!$I:$I,月別入力!$E:$E,設定!$C82,月別入力!$D:$D,設定!R$8,月別入力!$B:$B,設定!$B82)</f>
        <v>0</v>
      </c>
      <c r="S82" s="64">
        <f>SUMIFS(月別入力!$I:$I,月別入力!$E:$E,設定!$C82,月別入力!$D:$D,設定!S$8,月別入力!$B:$B,設定!$B82)</f>
        <v>0</v>
      </c>
      <c r="T82" s="64">
        <f>SUMIFS(月別入力!$I:$I,月別入力!$E:$E,設定!$C82,月別入力!$D:$D,設定!T$8,月別入力!$B:$B,設定!$B82)</f>
        <v>0</v>
      </c>
      <c r="U82" s="175">
        <f>SUMIFS(月別入力!$I:$I,月別入力!$E:$E,設定!$C82,月別入力!$D:$D,設定!U$8,月別入力!$B:$B,設定!$B82)</f>
        <v>0</v>
      </c>
      <c r="V82" s="175">
        <f>SUMIFS(月別入力!$I:$I,月別入力!$E:$E,設定!$C82,月別入力!$D:$D,設定!V$8,月別入力!$B:$B,設定!$B82)</f>
        <v>0</v>
      </c>
      <c r="W82" s="175">
        <f>SUMIFS(月別入力!$I:$I,月別入力!$E:$E,設定!$C82,月別入力!$D:$D,設定!W$8,月別入力!$B:$B,設定!$B82)</f>
        <v>0</v>
      </c>
      <c r="X82" s="66">
        <f>SUMIFS(月別入力!$I:$I,月別入力!$E:$E,設定!$C82,月別入力!$D:$D,設定!X$8,月別入力!$B:$B,設定!$B82)</f>
        <v>0</v>
      </c>
    </row>
    <row r="83" spans="2:24" s="6" customFormat="1" ht="15" customHeight="1" x14ac:dyDescent="0.2">
      <c r="B83" s="201" t="str">
        <f t="shared" si="5"/>
        <v>&lt;=12</v>
      </c>
      <c r="C83" s="63"/>
      <c r="D83" s="68"/>
      <c r="E83" s="64"/>
      <c r="F83" s="69"/>
      <c r="G83" s="65">
        <f t="shared" si="4"/>
        <v>0</v>
      </c>
      <c r="H83" s="64">
        <f>SUMIFS(月別入力!$I:$I,月別入力!$E:$E,設定!$C83,月別入力!$D:$D,設定!H$8,月別入力!$B:$B,設定!$B83)</f>
        <v>0</v>
      </c>
      <c r="I83" s="64">
        <f>SUMIFS(月別入力!$I:$I,月別入力!$E:$E,設定!$C83,月別入力!$D:$D,設定!I$8,月別入力!$B:$B,設定!$B83)</f>
        <v>0</v>
      </c>
      <c r="J83" s="64">
        <f>SUMIFS(月別入力!$I:$I,月別入力!$E:$E,設定!$C83,月別入力!$D:$D,設定!J$8,月別入力!$B:$B,設定!$B83)</f>
        <v>0</v>
      </c>
      <c r="K83" s="64">
        <f>SUMIFS(月別入力!$I:$I,月別入力!$E:$E,設定!$C83,月別入力!$D:$D,設定!K$8,月別入力!$B:$B,設定!$B83)</f>
        <v>0</v>
      </c>
      <c r="L83" s="64">
        <f>SUMIFS(月別入力!$I:$I,月別入力!$E:$E,設定!$C83,月別入力!$D:$D,設定!L$8,月別入力!$B:$B,設定!$B83)</f>
        <v>0</v>
      </c>
      <c r="M83" s="64">
        <f>SUMIFS(月別入力!$I:$I,月別入力!$E:$E,設定!$C83,月別入力!$D:$D,設定!M$8,月別入力!$B:$B,設定!$B83)</f>
        <v>0</v>
      </c>
      <c r="N83" s="64">
        <f>SUMIFS(月別入力!$I:$I,月別入力!$E:$E,設定!$C83,月別入力!$D:$D,設定!N$8,月別入力!$B:$B,設定!$B83)</f>
        <v>0</v>
      </c>
      <c r="O83" s="64">
        <f>SUMIFS(月別入力!$I:$I,月別入力!$E:$E,設定!$C83,月別入力!$D:$D,設定!O$8,月別入力!$B:$B,設定!$B83)</f>
        <v>0</v>
      </c>
      <c r="P83" s="64">
        <f>SUMIFS(月別入力!$I:$I,月別入力!$E:$E,設定!$C83,月別入力!$D:$D,設定!P$8,月別入力!$B:$B,設定!$B83)</f>
        <v>0</v>
      </c>
      <c r="Q83" s="64">
        <f>SUMIFS(月別入力!$I:$I,月別入力!$E:$E,設定!$C83,月別入力!$D:$D,設定!Q$8,月別入力!$B:$B,設定!$B83)</f>
        <v>0</v>
      </c>
      <c r="R83" s="64">
        <f>SUMIFS(月別入力!$I:$I,月別入力!$E:$E,設定!$C83,月別入力!$D:$D,設定!R$8,月別入力!$B:$B,設定!$B83)</f>
        <v>0</v>
      </c>
      <c r="S83" s="64">
        <f>SUMIFS(月別入力!$I:$I,月別入力!$E:$E,設定!$C83,月別入力!$D:$D,設定!S$8,月別入力!$B:$B,設定!$B83)</f>
        <v>0</v>
      </c>
      <c r="T83" s="64">
        <f>SUMIFS(月別入力!$I:$I,月別入力!$E:$E,設定!$C83,月別入力!$D:$D,設定!T$8,月別入力!$B:$B,設定!$B83)</f>
        <v>0</v>
      </c>
      <c r="U83" s="175">
        <f>SUMIFS(月別入力!$I:$I,月別入力!$E:$E,設定!$C83,月別入力!$D:$D,設定!U$8,月別入力!$B:$B,設定!$B83)</f>
        <v>0</v>
      </c>
      <c r="V83" s="175">
        <f>SUMIFS(月別入力!$I:$I,月別入力!$E:$E,設定!$C83,月別入力!$D:$D,設定!V$8,月別入力!$B:$B,設定!$B83)</f>
        <v>0</v>
      </c>
      <c r="W83" s="175">
        <f>SUMIFS(月別入力!$I:$I,月別入力!$E:$E,設定!$C83,月別入力!$D:$D,設定!W$8,月別入力!$B:$B,設定!$B83)</f>
        <v>0</v>
      </c>
      <c r="X83" s="66">
        <f>SUMIFS(月別入力!$I:$I,月別入力!$E:$E,設定!$C83,月別入力!$D:$D,設定!X$8,月別入力!$B:$B,設定!$B83)</f>
        <v>0</v>
      </c>
    </row>
    <row r="84" spans="2:24" s="6" customFormat="1" ht="15" customHeight="1" x14ac:dyDescent="0.2">
      <c r="B84" s="201" t="str">
        <f t="shared" si="5"/>
        <v>&lt;=12</v>
      </c>
      <c r="C84" s="63"/>
      <c r="D84" s="68"/>
      <c r="E84" s="64"/>
      <c r="F84" s="69"/>
      <c r="G84" s="65">
        <f t="shared" si="4"/>
        <v>0</v>
      </c>
      <c r="H84" s="64">
        <f>SUMIFS(月別入力!$I:$I,月別入力!$E:$E,設定!$C84,月別入力!$D:$D,設定!H$8,月別入力!$B:$B,設定!$B84)</f>
        <v>0</v>
      </c>
      <c r="I84" s="64">
        <f>SUMIFS(月別入力!$I:$I,月別入力!$E:$E,設定!$C84,月別入力!$D:$D,設定!I$8,月別入力!$B:$B,設定!$B84)</f>
        <v>0</v>
      </c>
      <c r="J84" s="64">
        <f>SUMIFS(月別入力!$I:$I,月別入力!$E:$E,設定!$C84,月別入力!$D:$D,設定!J$8,月別入力!$B:$B,設定!$B84)</f>
        <v>0</v>
      </c>
      <c r="K84" s="64">
        <f>SUMIFS(月別入力!$I:$I,月別入力!$E:$E,設定!$C84,月別入力!$D:$D,設定!K$8,月別入力!$B:$B,設定!$B84)</f>
        <v>0</v>
      </c>
      <c r="L84" s="64">
        <f>SUMIFS(月別入力!$I:$I,月別入力!$E:$E,設定!$C84,月別入力!$D:$D,設定!L$8,月別入力!$B:$B,設定!$B84)</f>
        <v>0</v>
      </c>
      <c r="M84" s="64">
        <f>SUMIFS(月別入力!$I:$I,月別入力!$E:$E,設定!$C84,月別入力!$D:$D,設定!M$8,月別入力!$B:$B,設定!$B84)</f>
        <v>0</v>
      </c>
      <c r="N84" s="64">
        <f>SUMIFS(月別入力!$I:$I,月別入力!$E:$E,設定!$C84,月別入力!$D:$D,設定!N$8,月別入力!$B:$B,設定!$B84)</f>
        <v>0</v>
      </c>
      <c r="O84" s="64">
        <f>SUMIFS(月別入力!$I:$I,月別入力!$E:$E,設定!$C84,月別入力!$D:$D,設定!O$8,月別入力!$B:$B,設定!$B84)</f>
        <v>0</v>
      </c>
      <c r="P84" s="64">
        <f>SUMIFS(月別入力!$I:$I,月別入力!$E:$E,設定!$C84,月別入力!$D:$D,設定!P$8,月別入力!$B:$B,設定!$B84)</f>
        <v>0</v>
      </c>
      <c r="Q84" s="64">
        <f>SUMIFS(月別入力!$I:$I,月別入力!$E:$E,設定!$C84,月別入力!$D:$D,設定!Q$8,月別入力!$B:$B,設定!$B84)</f>
        <v>0</v>
      </c>
      <c r="R84" s="64">
        <f>SUMIFS(月別入力!$I:$I,月別入力!$E:$E,設定!$C84,月別入力!$D:$D,設定!R$8,月別入力!$B:$B,設定!$B84)</f>
        <v>0</v>
      </c>
      <c r="S84" s="64">
        <f>SUMIFS(月別入力!$I:$I,月別入力!$E:$E,設定!$C84,月別入力!$D:$D,設定!S$8,月別入力!$B:$B,設定!$B84)</f>
        <v>0</v>
      </c>
      <c r="T84" s="64">
        <f>SUMIFS(月別入力!$I:$I,月別入力!$E:$E,設定!$C84,月別入力!$D:$D,設定!T$8,月別入力!$B:$B,設定!$B84)</f>
        <v>0</v>
      </c>
      <c r="U84" s="175">
        <f>SUMIFS(月別入力!$I:$I,月別入力!$E:$E,設定!$C84,月別入力!$D:$D,設定!U$8,月別入力!$B:$B,設定!$B84)</f>
        <v>0</v>
      </c>
      <c r="V84" s="175">
        <f>SUMIFS(月別入力!$I:$I,月別入力!$E:$E,設定!$C84,月別入力!$D:$D,設定!V$8,月別入力!$B:$B,設定!$B84)</f>
        <v>0</v>
      </c>
      <c r="W84" s="175">
        <f>SUMIFS(月別入力!$I:$I,月別入力!$E:$E,設定!$C84,月別入力!$D:$D,設定!W$8,月別入力!$B:$B,設定!$B84)</f>
        <v>0</v>
      </c>
      <c r="X84" s="66">
        <f>SUMIFS(月別入力!$I:$I,月別入力!$E:$E,設定!$C84,月別入力!$D:$D,設定!X$8,月別入力!$B:$B,設定!$B84)</f>
        <v>0</v>
      </c>
    </row>
    <row r="85" spans="2:24" s="6" customFormat="1" ht="15" customHeight="1" x14ac:dyDescent="0.2">
      <c r="B85" s="201" t="str">
        <f t="shared" si="5"/>
        <v>&lt;=12</v>
      </c>
      <c r="C85" s="63"/>
      <c r="D85" s="68"/>
      <c r="E85" s="64"/>
      <c r="F85" s="69"/>
      <c r="G85" s="65">
        <f t="shared" si="4"/>
        <v>0</v>
      </c>
      <c r="H85" s="64">
        <f>SUMIFS(月別入力!$I:$I,月別入力!$E:$E,設定!$C85,月別入力!$D:$D,設定!H$8,月別入力!$B:$B,設定!$B85)</f>
        <v>0</v>
      </c>
      <c r="I85" s="64">
        <f>SUMIFS(月別入力!$I:$I,月別入力!$E:$E,設定!$C85,月別入力!$D:$D,設定!I$8,月別入力!$B:$B,設定!$B85)</f>
        <v>0</v>
      </c>
      <c r="J85" s="64">
        <f>SUMIFS(月別入力!$I:$I,月別入力!$E:$E,設定!$C85,月別入力!$D:$D,設定!J$8,月別入力!$B:$B,設定!$B85)</f>
        <v>0</v>
      </c>
      <c r="K85" s="64">
        <f>SUMIFS(月別入力!$I:$I,月別入力!$E:$E,設定!$C85,月別入力!$D:$D,設定!K$8,月別入力!$B:$B,設定!$B85)</f>
        <v>0</v>
      </c>
      <c r="L85" s="64">
        <f>SUMIFS(月別入力!$I:$I,月別入力!$E:$E,設定!$C85,月別入力!$D:$D,設定!L$8,月別入力!$B:$B,設定!$B85)</f>
        <v>0</v>
      </c>
      <c r="M85" s="64">
        <f>SUMIFS(月別入力!$I:$I,月別入力!$E:$E,設定!$C85,月別入力!$D:$D,設定!M$8,月別入力!$B:$B,設定!$B85)</f>
        <v>0</v>
      </c>
      <c r="N85" s="64">
        <f>SUMIFS(月別入力!$I:$I,月別入力!$E:$E,設定!$C85,月別入力!$D:$D,設定!N$8,月別入力!$B:$B,設定!$B85)</f>
        <v>0</v>
      </c>
      <c r="O85" s="64">
        <f>SUMIFS(月別入力!$I:$I,月別入力!$E:$E,設定!$C85,月別入力!$D:$D,設定!O$8,月別入力!$B:$B,設定!$B85)</f>
        <v>0</v>
      </c>
      <c r="P85" s="64">
        <f>SUMIFS(月別入力!$I:$I,月別入力!$E:$E,設定!$C85,月別入力!$D:$D,設定!P$8,月別入力!$B:$B,設定!$B85)</f>
        <v>0</v>
      </c>
      <c r="Q85" s="64">
        <f>SUMIFS(月別入力!$I:$I,月別入力!$E:$E,設定!$C85,月別入力!$D:$D,設定!Q$8,月別入力!$B:$B,設定!$B85)</f>
        <v>0</v>
      </c>
      <c r="R85" s="64">
        <f>SUMIFS(月別入力!$I:$I,月別入力!$E:$E,設定!$C85,月別入力!$D:$D,設定!R$8,月別入力!$B:$B,設定!$B85)</f>
        <v>0</v>
      </c>
      <c r="S85" s="64">
        <f>SUMIFS(月別入力!$I:$I,月別入力!$E:$E,設定!$C85,月別入力!$D:$D,設定!S$8,月別入力!$B:$B,設定!$B85)</f>
        <v>0</v>
      </c>
      <c r="T85" s="64">
        <f>SUMIFS(月別入力!$I:$I,月別入力!$E:$E,設定!$C85,月別入力!$D:$D,設定!T$8,月別入力!$B:$B,設定!$B85)</f>
        <v>0</v>
      </c>
      <c r="U85" s="175">
        <f>SUMIFS(月別入力!$I:$I,月別入力!$E:$E,設定!$C85,月別入力!$D:$D,設定!U$8,月別入力!$B:$B,設定!$B85)</f>
        <v>0</v>
      </c>
      <c r="V85" s="175">
        <f>SUMIFS(月別入力!$I:$I,月別入力!$E:$E,設定!$C85,月別入力!$D:$D,設定!V$8,月別入力!$B:$B,設定!$B85)</f>
        <v>0</v>
      </c>
      <c r="W85" s="175">
        <f>SUMIFS(月別入力!$I:$I,月別入力!$E:$E,設定!$C85,月別入力!$D:$D,設定!W$8,月別入力!$B:$B,設定!$B85)</f>
        <v>0</v>
      </c>
      <c r="X85" s="66">
        <f>SUMIFS(月別入力!$I:$I,月別入力!$E:$E,設定!$C85,月別入力!$D:$D,設定!X$8,月別入力!$B:$B,設定!$B85)</f>
        <v>0</v>
      </c>
    </row>
    <row r="86" spans="2:24" s="6" customFormat="1" ht="15" customHeight="1" x14ac:dyDescent="0.2">
      <c r="B86" s="201" t="str">
        <f t="shared" si="5"/>
        <v>&lt;=12</v>
      </c>
      <c r="C86" s="63"/>
      <c r="D86" s="68"/>
      <c r="E86" s="64"/>
      <c r="F86" s="69"/>
      <c r="G86" s="65">
        <f t="shared" si="4"/>
        <v>0</v>
      </c>
      <c r="H86" s="64">
        <f>SUMIFS(月別入力!$I:$I,月別入力!$E:$E,設定!$C86,月別入力!$D:$D,設定!H$8,月別入力!$B:$B,設定!$B86)</f>
        <v>0</v>
      </c>
      <c r="I86" s="64">
        <f>SUMIFS(月別入力!$I:$I,月別入力!$E:$E,設定!$C86,月別入力!$D:$D,設定!I$8,月別入力!$B:$B,設定!$B86)</f>
        <v>0</v>
      </c>
      <c r="J86" s="64">
        <f>SUMIFS(月別入力!$I:$I,月別入力!$E:$E,設定!$C86,月別入力!$D:$D,設定!J$8,月別入力!$B:$B,設定!$B86)</f>
        <v>0</v>
      </c>
      <c r="K86" s="64">
        <f>SUMIFS(月別入力!$I:$I,月別入力!$E:$E,設定!$C86,月別入力!$D:$D,設定!K$8,月別入力!$B:$B,設定!$B86)</f>
        <v>0</v>
      </c>
      <c r="L86" s="64">
        <f>SUMIFS(月別入力!$I:$I,月別入力!$E:$E,設定!$C86,月別入力!$D:$D,設定!L$8,月別入力!$B:$B,設定!$B86)</f>
        <v>0</v>
      </c>
      <c r="M86" s="64">
        <f>SUMIFS(月別入力!$I:$I,月別入力!$E:$E,設定!$C86,月別入力!$D:$D,設定!M$8,月別入力!$B:$B,設定!$B86)</f>
        <v>0</v>
      </c>
      <c r="N86" s="64">
        <f>SUMIFS(月別入力!$I:$I,月別入力!$E:$E,設定!$C86,月別入力!$D:$D,設定!N$8,月別入力!$B:$B,設定!$B86)</f>
        <v>0</v>
      </c>
      <c r="O86" s="64">
        <f>SUMIFS(月別入力!$I:$I,月別入力!$E:$E,設定!$C86,月別入力!$D:$D,設定!O$8,月別入力!$B:$B,設定!$B86)</f>
        <v>0</v>
      </c>
      <c r="P86" s="64">
        <f>SUMIFS(月別入力!$I:$I,月別入力!$E:$E,設定!$C86,月別入力!$D:$D,設定!P$8,月別入力!$B:$B,設定!$B86)</f>
        <v>0</v>
      </c>
      <c r="Q86" s="64">
        <f>SUMIFS(月別入力!$I:$I,月別入力!$E:$E,設定!$C86,月別入力!$D:$D,設定!Q$8,月別入力!$B:$B,設定!$B86)</f>
        <v>0</v>
      </c>
      <c r="R86" s="64">
        <f>SUMIFS(月別入力!$I:$I,月別入力!$E:$E,設定!$C86,月別入力!$D:$D,設定!R$8,月別入力!$B:$B,設定!$B86)</f>
        <v>0</v>
      </c>
      <c r="S86" s="64">
        <f>SUMIFS(月別入力!$I:$I,月別入力!$E:$E,設定!$C86,月別入力!$D:$D,設定!S$8,月別入力!$B:$B,設定!$B86)</f>
        <v>0</v>
      </c>
      <c r="T86" s="64">
        <f>SUMIFS(月別入力!$I:$I,月別入力!$E:$E,設定!$C86,月別入力!$D:$D,設定!T$8,月別入力!$B:$B,設定!$B86)</f>
        <v>0</v>
      </c>
      <c r="U86" s="175">
        <f>SUMIFS(月別入力!$I:$I,月別入力!$E:$E,設定!$C86,月別入力!$D:$D,設定!U$8,月別入力!$B:$B,設定!$B86)</f>
        <v>0</v>
      </c>
      <c r="V86" s="175">
        <f>SUMIFS(月別入力!$I:$I,月別入力!$E:$E,設定!$C86,月別入力!$D:$D,設定!V$8,月別入力!$B:$B,設定!$B86)</f>
        <v>0</v>
      </c>
      <c r="W86" s="175">
        <f>SUMIFS(月別入力!$I:$I,月別入力!$E:$E,設定!$C86,月別入力!$D:$D,設定!W$8,月別入力!$B:$B,設定!$B86)</f>
        <v>0</v>
      </c>
      <c r="X86" s="66">
        <f>SUMIFS(月別入力!$I:$I,月別入力!$E:$E,設定!$C86,月別入力!$D:$D,設定!X$8,月別入力!$B:$B,設定!$B86)</f>
        <v>0</v>
      </c>
    </row>
    <row r="87" spans="2:24" s="6" customFormat="1" ht="15" customHeight="1" x14ac:dyDescent="0.2">
      <c r="B87" s="201" t="str">
        <f t="shared" si="5"/>
        <v>&lt;=12</v>
      </c>
      <c r="C87" s="63"/>
      <c r="D87" s="68"/>
      <c r="E87" s="64"/>
      <c r="F87" s="69"/>
      <c r="G87" s="65">
        <f t="shared" si="4"/>
        <v>0</v>
      </c>
      <c r="H87" s="64">
        <f>SUMIFS(月別入力!$I:$I,月別入力!$E:$E,設定!$C87,月別入力!$D:$D,設定!H$8,月別入力!$B:$B,設定!$B87)</f>
        <v>0</v>
      </c>
      <c r="I87" s="64">
        <f>SUMIFS(月別入力!$I:$I,月別入力!$E:$E,設定!$C87,月別入力!$D:$D,設定!I$8,月別入力!$B:$B,設定!$B87)</f>
        <v>0</v>
      </c>
      <c r="J87" s="64">
        <f>SUMIFS(月別入力!$I:$I,月別入力!$E:$E,設定!$C87,月別入力!$D:$D,設定!J$8,月別入力!$B:$B,設定!$B87)</f>
        <v>0</v>
      </c>
      <c r="K87" s="64">
        <f>SUMIFS(月別入力!$I:$I,月別入力!$E:$E,設定!$C87,月別入力!$D:$D,設定!K$8,月別入力!$B:$B,設定!$B87)</f>
        <v>0</v>
      </c>
      <c r="L87" s="64">
        <f>SUMIFS(月別入力!$I:$I,月別入力!$E:$E,設定!$C87,月別入力!$D:$D,設定!L$8,月別入力!$B:$B,設定!$B87)</f>
        <v>0</v>
      </c>
      <c r="M87" s="64">
        <f>SUMIFS(月別入力!$I:$I,月別入力!$E:$E,設定!$C87,月別入力!$D:$D,設定!M$8,月別入力!$B:$B,設定!$B87)</f>
        <v>0</v>
      </c>
      <c r="N87" s="64">
        <f>SUMIFS(月別入力!$I:$I,月別入力!$E:$E,設定!$C87,月別入力!$D:$D,設定!N$8,月別入力!$B:$B,設定!$B87)</f>
        <v>0</v>
      </c>
      <c r="O87" s="64">
        <f>SUMIFS(月別入力!$I:$I,月別入力!$E:$E,設定!$C87,月別入力!$D:$D,設定!O$8,月別入力!$B:$B,設定!$B87)</f>
        <v>0</v>
      </c>
      <c r="P87" s="64">
        <f>SUMIFS(月別入力!$I:$I,月別入力!$E:$E,設定!$C87,月別入力!$D:$D,設定!P$8,月別入力!$B:$B,設定!$B87)</f>
        <v>0</v>
      </c>
      <c r="Q87" s="64">
        <f>SUMIFS(月別入力!$I:$I,月別入力!$E:$E,設定!$C87,月別入力!$D:$D,設定!Q$8,月別入力!$B:$B,設定!$B87)</f>
        <v>0</v>
      </c>
      <c r="R87" s="64">
        <f>SUMIFS(月別入力!$I:$I,月別入力!$E:$E,設定!$C87,月別入力!$D:$D,設定!R$8,月別入力!$B:$B,設定!$B87)</f>
        <v>0</v>
      </c>
      <c r="S87" s="64">
        <f>SUMIFS(月別入力!$I:$I,月別入力!$E:$E,設定!$C87,月別入力!$D:$D,設定!S$8,月別入力!$B:$B,設定!$B87)</f>
        <v>0</v>
      </c>
      <c r="T87" s="64">
        <f>SUMIFS(月別入力!$I:$I,月別入力!$E:$E,設定!$C87,月別入力!$D:$D,設定!T$8,月別入力!$B:$B,設定!$B87)</f>
        <v>0</v>
      </c>
      <c r="U87" s="175">
        <f>SUMIFS(月別入力!$I:$I,月別入力!$E:$E,設定!$C87,月別入力!$D:$D,設定!U$8,月別入力!$B:$B,設定!$B87)</f>
        <v>0</v>
      </c>
      <c r="V87" s="175">
        <f>SUMIFS(月別入力!$I:$I,月別入力!$E:$E,設定!$C87,月別入力!$D:$D,設定!V$8,月別入力!$B:$B,設定!$B87)</f>
        <v>0</v>
      </c>
      <c r="W87" s="175">
        <f>SUMIFS(月別入力!$I:$I,月別入力!$E:$E,設定!$C87,月別入力!$D:$D,設定!W$8,月別入力!$B:$B,設定!$B87)</f>
        <v>0</v>
      </c>
      <c r="X87" s="66">
        <f>SUMIFS(月別入力!$I:$I,月別入力!$E:$E,設定!$C87,月別入力!$D:$D,設定!X$8,月別入力!$B:$B,設定!$B87)</f>
        <v>0</v>
      </c>
    </row>
    <row r="88" spans="2:24" s="6" customFormat="1" ht="15" customHeight="1" x14ac:dyDescent="0.2">
      <c r="B88" s="201" t="str">
        <f t="shared" si="5"/>
        <v>&lt;=12</v>
      </c>
      <c r="C88" s="63"/>
      <c r="D88" s="68"/>
      <c r="E88" s="64"/>
      <c r="F88" s="69"/>
      <c r="G88" s="65">
        <f t="shared" si="4"/>
        <v>0</v>
      </c>
      <c r="H88" s="64">
        <f>SUMIFS(月別入力!$I:$I,月別入力!$E:$E,設定!$C88,月別入力!$D:$D,設定!H$8,月別入力!$B:$B,設定!$B88)</f>
        <v>0</v>
      </c>
      <c r="I88" s="64">
        <f>SUMIFS(月別入力!$I:$I,月別入力!$E:$E,設定!$C88,月別入力!$D:$D,設定!I$8,月別入力!$B:$B,設定!$B88)</f>
        <v>0</v>
      </c>
      <c r="J88" s="64">
        <f>SUMIFS(月別入力!$I:$I,月別入力!$E:$E,設定!$C88,月別入力!$D:$D,設定!J$8,月別入力!$B:$B,設定!$B88)</f>
        <v>0</v>
      </c>
      <c r="K88" s="64">
        <f>SUMIFS(月別入力!$I:$I,月別入力!$E:$E,設定!$C88,月別入力!$D:$D,設定!K$8,月別入力!$B:$B,設定!$B88)</f>
        <v>0</v>
      </c>
      <c r="L88" s="64">
        <f>SUMIFS(月別入力!$I:$I,月別入力!$E:$E,設定!$C88,月別入力!$D:$D,設定!L$8,月別入力!$B:$B,設定!$B88)</f>
        <v>0</v>
      </c>
      <c r="M88" s="64">
        <f>SUMIFS(月別入力!$I:$I,月別入力!$E:$E,設定!$C88,月別入力!$D:$D,設定!M$8,月別入力!$B:$B,設定!$B88)</f>
        <v>0</v>
      </c>
      <c r="N88" s="64">
        <f>SUMIFS(月別入力!$I:$I,月別入力!$E:$E,設定!$C88,月別入力!$D:$D,設定!N$8,月別入力!$B:$B,設定!$B88)</f>
        <v>0</v>
      </c>
      <c r="O88" s="64">
        <f>SUMIFS(月別入力!$I:$I,月別入力!$E:$E,設定!$C88,月別入力!$D:$D,設定!O$8,月別入力!$B:$B,設定!$B88)</f>
        <v>0</v>
      </c>
      <c r="P88" s="64">
        <f>SUMIFS(月別入力!$I:$I,月別入力!$E:$E,設定!$C88,月別入力!$D:$D,設定!P$8,月別入力!$B:$B,設定!$B88)</f>
        <v>0</v>
      </c>
      <c r="Q88" s="64">
        <f>SUMIFS(月別入力!$I:$I,月別入力!$E:$E,設定!$C88,月別入力!$D:$D,設定!Q$8,月別入力!$B:$B,設定!$B88)</f>
        <v>0</v>
      </c>
      <c r="R88" s="64">
        <f>SUMIFS(月別入力!$I:$I,月別入力!$E:$E,設定!$C88,月別入力!$D:$D,設定!R$8,月別入力!$B:$B,設定!$B88)</f>
        <v>0</v>
      </c>
      <c r="S88" s="64">
        <f>SUMIFS(月別入力!$I:$I,月別入力!$E:$E,設定!$C88,月別入力!$D:$D,設定!S$8,月別入力!$B:$B,設定!$B88)</f>
        <v>0</v>
      </c>
      <c r="T88" s="64">
        <f>SUMIFS(月別入力!$I:$I,月別入力!$E:$E,設定!$C88,月別入力!$D:$D,設定!T$8,月別入力!$B:$B,設定!$B88)</f>
        <v>0</v>
      </c>
      <c r="U88" s="175">
        <f>SUMIFS(月別入力!$I:$I,月別入力!$E:$E,設定!$C88,月別入力!$D:$D,設定!U$8,月別入力!$B:$B,設定!$B88)</f>
        <v>0</v>
      </c>
      <c r="V88" s="175">
        <f>SUMIFS(月別入力!$I:$I,月別入力!$E:$E,設定!$C88,月別入力!$D:$D,設定!V$8,月別入力!$B:$B,設定!$B88)</f>
        <v>0</v>
      </c>
      <c r="W88" s="175">
        <f>SUMIFS(月別入力!$I:$I,月別入力!$E:$E,設定!$C88,月別入力!$D:$D,設定!W$8,月別入力!$B:$B,設定!$B88)</f>
        <v>0</v>
      </c>
      <c r="X88" s="66">
        <f>SUMIFS(月別入力!$I:$I,月別入力!$E:$E,設定!$C88,月別入力!$D:$D,設定!X$8,月別入力!$B:$B,設定!$B88)</f>
        <v>0</v>
      </c>
    </row>
    <row r="89" spans="2:24" s="6" customFormat="1" ht="15" customHeight="1" x14ac:dyDescent="0.2">
      <c r="B89" s="201" t="str">
        <f t="shared" si="5"/>
        <v>&lt;=12</v>
      </c>
      <c r="C89" s="63"/>
      <c r="D89" s="68"/>
      <c r="E89" s="64"/>
      <c r="F89" s="69"/>
      <c r="G89" s="65">
        <f t="shared" si="4"/>
        <v>0</v>
      </c>
      <c r="H89" s="64">
        <f>SUMIFS(月別入力!$I:$I,月別入力!$E:$E,設定!$C89,月別入力!$D:$D,設定!H$8,月別入力!$B:$B,設定!$B89)</f>
        <v>0</v>
      </c>
      <c r="I89" s="64">
        <f>SUMIFS(月別入力!$I:$I,月別入力!$E:$E,設定!$C89,月別入力!$D:$D,設定!I$8,月別入力!$B:$B,設定!$B89)</f>
        <v>0</v>
      </c>
      <c r="J89" s="64">
        <f>SUMIFS(月別入力!$I:$I,月別入力!$E:$E,設定!$C89,月別入力!$D:$D,設定!J$8,月別入力!$B:$B,設定!$B89)</f>
        <v>0</v>
      </c>
      <c r="K89" s="64">
        <f>SUMIFS(月別入力!$I:$I,月別入力!$E:$E,設定!$C89,月別入力!$D:$D,設定!K$8,月別入力!$B:$B,設定!$B89)</f>
        <v>0</v>
      </c>
      <c r="L89" s="64">
        <f>SUMIFS(月別入力!$I:$I,月別入力!$E:$E,設定!$C89,月別入力!$D:$D,設定!L$8,月別入力!$B:$B,設定!$B89)</f>
        <v>0</v>
      </c>
      <c r="M89" s="64">
        <f>SUMIFS(月別入力!$I:$I,月別入力!$E:$E,設定!$C89,月別入力!$D:$D,設定!M$8,月別入力!$B:$B,設定!$B89)</f>
        <v>0</v>
      </c>
      <c r="N89" s="64">
        <f>SUMIFS(月別入力!$I:$I,月別入力!$E:$E,設定!$C89,月別入力!$D:$D,設定!N$8,月別入力!$B:$B,設定!$B89)</f>
        <v>0</v>
      </c>
      <c r="O89" s="64">
        <f>SUMIFS(月別入力!$I:$I,月別入力!$E:$E,設定!$C89,月別入力!$D:$D,設定!O$8,月別入力!$B:$B,設定!$B89)</f>
        <v>0</v>
      </c>
      <c r="P89" s="64">
        <f>SUMIFS(月別入力!$I:$I,月別入力!$E:$E,設定!$C89,月別入力!$D:$D,設定!P$8,月別入力!$B:$B,設定!$B89)</f>
        <v>0</v>
      </c>
      <c r="Q89" s="64">
        <f>SUMIFS(月別入力!$I:$I,月別入力!$E:$E,設定!$C89,月別入力!$D:$D,設定!Q$8,月別入力!$B:$B,設定!$B89)</f>
        <v>0</v>
      </c>
      <c r="R89" s="64">
        <f>SUMIFS(月別入力!$I:$I,月別入力!$E:$E,設定!$C89,月別入力!$D:$D,設定!R$8,月別入力!$B:$B,設定!$B89)</f>
        <v>0</v>
      </c>
      <c r="S89" s="64">
        <f>SUMIFS(月別入力!$I:$I,月別入力!$E:$E,設定!$C89,月別入力!$D:$D,設定!S$8,月別入力!$B:$B,設定!$B89)</f>
        <v>0</v>
      </c>
      <c r="T89" s="64">
        <f>SUMIFS(月別入力!$I:$I,月別入力!$E:$E,設定!$C89,月別入力!$D:$D,設定!T$8,月別入力!$B:$B,設定!$B89)</f>
        <v>0</v>
      </c>
      <c r="U89" s="175">
        <f>SUMIFS(月別入力!$I:$I,月別入力!$E:$E,設定!$C89,月別入力!$D:$D,設定!U$8,月別入力!$B:$B,設定!$B89)</f>
        <v>0</v>
      </c>
      <c r="V89" s="175">
        <f>SUMIFS(月別入力!$I:$I,月別入力!$E:$E,設定!$C89,月別入力!$D:$D,設定!V$8,月別入力!$B:$B,設定!$B89)</f>
        <v>0</v>
      </c>
      <c r="W89" s="175">
        <f>SUMIFS(月別入力!$I:$I,月別入力!$E:$E,設定!$C89,月別入力!$D:$D,設定!W$8,月別入力!$B:$B,設定!$B89)</f>
        <v>0</v>
      </c>
      <c r="X89" s="66">
        <f>SUMIFS(月別入力!$I:$I,月別入力!$E:$E,設定!$C89,月別入力!$D:$D,設定!X$8,月別入力!$B:$B,設定!$B89)</f>
        <v>0</v>
      </c>
    </row>
    <row r="90" spans="2:24" s="6" customFormat="1" ht="15" customHeight="1" x14ac:dyDescent="0.2">
      <c r="B90" s="201" t="str">
        <f t="shared" si="5"/>
        <v>&lt;=12</v>
      </c>
      <c r="C90" s="63"/>
      <c r="D90" s="68"/>
      <c r="E90" s="64"/>
      <c r="F90" s="69"/>
      <c r="G90" s="65">
        <f t="shared" si="4"/>
        <v>0</v>
      </c>
      <c r="H90" s="64">
        <f>SUMIFS(月別入力!$I:$I,月別入力!$E:$E,設定!$C90,月別入力!$D:$D,設定!H$8,月別入力!$B:$B,設定!$B90)</f>
        <v>0</v>
      </c>
      <c r="I90" s="64">
        <f>SUMIFS(月別入力!$I:$I,月別入力!$E:$E,設定!$C90,月別入力!$D:$D,設定!I$8,月別入力!$B:$B,設定!$B90)</f>
        <v>0</v>
      </c>
      <c r="J90" s="64">
        <f>SUMIFS(月別入力!$I:$I,月別入力!$E:$E,設定!$C90,月別入力!$D:$D,設定!J$8,月別入力!$B:$B,設定!$B90)</f>
        <v>0</v>
      </c>
      <c r="K90" s="64">
        <f>SUMIFS(月別入力!$I:$I,月別入力!$E:$E,設定!$C90,月別入力!$D:$D,設定!K$8,月別入力!$B:$B,設定!$B90)</f>
        <v>0</v>
      </c>
      <c r="L90" s="64">
        <f>SUMIFS(月別入力!$I:$I,月別入力!$E:$E,設定!$C90,月別入力!$D:$D,設定!L$8,月別入力!$B:$B,設定!$B90)</f>
        <v>0</v>
      </c>
      <c r="M90" s="64">
        <f>SUMIFS(月別入力!$I:$I,月別入力!$E:$E,設定!$C90,月別入力!$D:$D,設定!M$8,月別入力!$B:$B,設定!$B90)</f>
        <v>0</v>
      </c>
      <c r="N90" s="64">
        <f>SUMIFS(月別入力!$I:$I,月別入力!$E:$E,設定!$C90,月別入力!$D:$D,設定!N$8,月別入力!$B:$B,設定!$B90)</f>
        <v>0</v>
      </c>
      <c r="O90" s="64">
        <f>SUMIFS(月別入力!$I:$I,月別入力!$E:$E,設定!$C90,月別入力!$D:$D,設定!O$8,月別入力!$B:$B,設定!$B90)</f>
        <v>0</v>
      </c>
      <c r="P90" s="64">
        <f>SUMIFS(月別入力!$I:$I,月別入力!$E:$E,設定!$C90,月別入力!$D:$D,設定!P$8,月別入力!$B:$B,設定!$B90)</f>
        <v>0</v>
      </c>
      <c r="Q90" s="64">
        <f>SUMIFS(月別入力!$I:$I,月別入力!$E:$E,設定!$C90,月別入力!$D:$D,設定!Q$8,月別入力!$B:$B,設定!$B90)</f>
        <v>0</v>
      </c>
      <c r="R90" s="64">
        <f>SUMIFS(月別入力!$I:$I,月別入力!$E:$E,設定!$C90,月別入力!$D:$D,設定!R$8,月別入力!$B:$B,設定!$B90)</f>
        <v>0</v>
      </c>
      <c r="S90" s="64">
        <f>SUMIFS(月別入力!$I:$I,月別入力!$E:$E,設定!$C90,月別入力!$D:$D,設定!S$8,月別入力!$B:$B,設定!$B90)</f>
        <v>0</v>
      </c>
      <c r="T90" s="64">
        <f>SUMIFS(月別入力!$I:$I,月別入力!$E:$E,設定!$C90,月別入力!$D:$D,設定!T$8,月別入力!$B:$B,設定!$B90)</f>
        <v>0</v>
      </c>
      <c r="U90" s="175">
        <f>SUMIFS(月別入力!$I:$I,月別入力!$E:$E,設定!$C90,月別入力!$D:$D,設定!U$8,月別入力!$B:$B,設定!$B90)</f>
        <v>0</v>
      </c>
      <c r="V90" s="175">
        <f>SUMIFS(月別入力!$I:$I,月別入力!$E:$E,設定!$C90,月別入力!$D:$D,設定!V$8,月別入力!$B:$B,設定!$B90)</f>
        <v>0</v>
      </c>
      <c r="W90" s="175">
        <f>SUMIFS(月別入力!$I:$I,月別入力!$E:$E,設定!$C90,月別入力!$D:$D,設定!W$8,月別入力!$B:$B,設定!$B90)</f>
        <v>0</v>
      </c>
      <c r="X90" s="66">
        <f>SUMIFS(月別入力!$I:$I,月別入力!$E:$E,設定!$C90,月別入力!$D:$D,設定!X$8,月別入力!$B:$B,設定!$B90)</f>
        <v>0</v>
      </c>
    </row>
    <row r="91" spans="2:24" s="6" customFormat="1" ht="15" customHeight="1" x14ac:dyDescent="0.2">
      <c r="B91" s="201" t="str">
        <f t="shared" si="5"/>
        <v>&lt;=12</v>
      </c>
      <c r="C91" s="63"/>
      <c r="D91" s="68"/>
      <c r="E91" s="64"/>
      <c r="F91" s="69"/>
      <c r="G91" s="65">
        <f t="shared" si="4"/>
        <v>0</v>
      </c>
      <c r="H91" s="64">
        <f>SUMIFS(月別入力!$I:$I,月別入力!$E:$E,設定!$C91,月別入力!$D:$D,設定!H$8,月別入力!$B:$B,設定!$B91)</f>
        <v>0</v>
      </c>
      <c r="I91" s="64">
        <f>SUMIFS(月別入力!$I:$I,月別入力!$E:$E,設定!$C91,月別入力!$D:$D,設定!I$8,月別入力!$B:$B,設定!$B91)</f>
        <v>0</v>
      </c>
      <c r="J91" s="64">
        <f>SUMIFS(月別入力!$I:$I,月別入力!$E:$E,設定!$C91,月別入力!$D:$D,設定!J$8,月別入力!$B:$B,設定!$B91)</f>
        <v>0</v>
      </c>
      <c r="K91" s="64">
        <f>SUMIFS(月別入力!$I:$I,月別入力!$E:$E,設定!$C91,月別入力!$D:$D,設定!K$8,月別入力!$B:$B,設定!$B91)</f>
        <v>0</v>
      </c>
      <c r="L91" s="64">
        <f>SUMIFS(月別入力!$I:$I,月別入力!$E:$E,設定!$C91,月別入力!$D:$D,設定!L$8,月別入力!$B:$B,設定!$B91)</f>
        <v>0</v>
      </c>
      <c r="M91" s="64">
        <f>SUMIFS(月別入力!$I:$I,月別入力!$E:$E,設定!$C91,月別入力!$D:$D,設定!M$8,月別入力!$B:$B,設定!$B91)</f>
        <v>0</v>
      </c>
      <c r="N91" s="64">
        <f>SUMIFS(月別入力!$I:$I,月別入力!$E:$E,設定!$C91,月別入力!$D:$D,設定!N$8,月別入力!$B:$B,設定!$B91)</f>
        <v>0</v>
      </c>
      <c r="O91" s="64">
        <f>SUMIFS(月別入力!$I:$I,月別入力!$E:$E,設定!$C91,月別入力!$D:$D,設定!O$8,月別入力!$B:$B,設定!$B91)</f>
        <v>0</v>
      </c>
      <c r="P91" s="64">
        <f>SUMIFS(月別入力!$I:$I,月別入力!$E:$E,設定!$C91,月別入力!$D:$D,設定!P$8,月別入力!$B:$B,設定!$B91)</f>
        <v>0</v>
      </c>
      <c r="Q91" s="64">
        <f>SUMIFS(月別入力!$I:$I,月別入力!$E:$E,設定!$C91,月別入力!$D:$D,設定!Q$8,月別入力!$B:$B,設定!$B91)</f>
        <v>0</v>
      </c>
      <c r="R91" s="64">
        <f>SUMIFS(月別入力!$I:$I,月別入力!$E:$E,設定!$C91,月別入力!$D:$D,設定!R$8,月別入力!$B:$B,設定!$B91)</f>
        <v>0</v>
      </c>
      <c r="S91" s="64">
        <f>SUMIFS(月別入力!$I:$I,月別入力!$E:$E,設定!$C91,月別入力!$D:$D,設定!S$8,月別入力!$B:$B,設定!$B91)</f>
        <v>0</v>
      </c>
      <c r="T91" s="64">
        <f>SUMIFS(月別入力!$I:$I,月別入力!$E:$E,設定!$C91,月別入力!$D:$D,設定!T$8,月別入力!$B:$B,設定!$B91)</f>
        <v>0</v>
      </c>
      <c r="U91" s="175">
        <f>SUMIFS(月別入力!$I:$I,月別入力!$E:$E,設定!$C91,月別入力!$D:$D,設定!U$8,月別入力!$B:$B,設定!$B91)</f>
        <v>0</v>
      </c>
      <c r="V91" s="175">
        <f>SUMIFS(月別入力!$I:$I,月別入力!$E:$E,設定!$C91,月別入力!$D:$D,設定!V$8,月別入力!$B:$B,設定!$B91)</f>
        <v>0</v>
      </c>
      <c r="W91" s="175">
        <f>SUMIFS(月別入力!$I:$I,月別入力!$E:$E,設定!$C91,月別入力!$D:$D,設定!W$8,月別入力!$B:$B,設定!$B91)</f>
        <v>0</v>
      </c>
      <c r="X91" s="66">
        <f>SUMIFS(月別入力!$I:$I,月別入力!$E:$E,設定!$C91,月別入力!$D:$D,設定!X$8,月別入力!$B:$B,設定!$B91)</f>
        <v>0</v>
      </c>
    </row>
    <row r="92" spans="2:24" s="6" customFormat="1" ht="15" customHeight="1" x14ac:dyDescent="0.2">
      <c r="B92" s="201" t="str">
        <f t="shared" si="5"/>
        <v>&lt;=12</v>
      </c>
      <c r="C92" s="63"/>
      <c r="D92" s="68"/>
      <c r="E92" s="64"/>
      <c r="F92" s="69"/>
      <c r="G92" s="65">
        <f t="shared" si="4"/>
        <v>0</v>
      </c>
      <c r="H92" s="64">
        <f>SUMIFS(月別入力!$I:$I,月別入力!$E:$E,設定!$C92,月別入力!$D:$D,設定!H$8,月別入力!$B:$B,設定!$B92)</f>
        <v>0</v>
      </c>
      <c r="I92" s="64">
        <f>SUMIFS(月別入力!$I:$I,月別入力!$E:$E,設定!$C92,月別入力!$D:$D,設定!I$8,月別入力!$B:$B,設定!$B92)</f>
        <v>0</v>
      </c>
      <c r="J92" s="64">
        <f>SUMIFS(月別入力!$I:$I,月別入力!$E:$E,設定!$C92,月別入力!$D:$D,設定!J$8,月別入力!$B:$B,設定!$B92)</f>
        <v>0</v>
      </c>
      <c r="K92" s="64">
        <f>SUMIFS(月別入力!$I:$I,月別入力!$E:$E,設定!$C92,月別入力!$D:$D,設定!K$8,月別入力!$B:$B,設定!$B92)</f>
        <v>0</v>
      </c>
      <c r="L92" s="64">
        <f>SUMIFS(月別入力!$I:$I,月別入力!$E:$E,設定!$C92,月別入力!$D:$D,設定!L$8,月別入力!$B:$B,設定!$B92)</f>
        <v>0</v>
      </c>
      <c r="M92" s="64">
        <f>SUMIFS(月別入力!$I:$I,月別入力!$E:$E,設定!$C92,月別入力!$D:$D,設定!M$8,月別入力!$B:$B,設定!$B92)</f>
        <v>0</v>
      </c>
      <c r="N92" s="64">
        <f>SUMIFS(月別入力!$I:$I,月別入力!$E:$E,設定!$C92,月別入力!$D:$D,設定!N$8,月別入力!$B:$B,設定!$B92)</f>
        <v>0</v>
      </c>
      <c r="O92" s="64">
        <f>SUMIFS(月別入力!$I:$I,月別入力!$E:$E,設定!$C92,月別入力!$D:$D,設定!O$8,月別入力!$B:$B,設定!$B92)</f>
        <v>0</v>
      </c>
      <c r="P92" s="64">
        <f>SUMIFS(月別入力!$I:$I,月別入力!$E:$E,設定!$C92,月別入力!$D:$D,設定!P$8,月別入力!$B:$B,設定!$B92)</f>
        <v>0</v>
      </c>
      <c r="Q92" s="64">
        <f>SUMIFS(月別入力!$I:$I,月別入力!$E:$E,設定!$C92,月別入力!$D:$D,設定!Q$8,月別入力!$B:$B,設定!$B92)</f>
        <v>0</v>
      </c>
      <c r="R92" s="64">
        <f>SUMIFS(月別入力!$I:$I,月別入力!$E:$E,設定!$C92,月別入力!$D:$D,設定!R$8,月別入力!$B:$B,設定!$B92)</f>
        <v>0</v>
      </c>
      <c r="S92" s="64">
        <f>SUMIFS(月別入力!$I:$I,月別入力!$E:$E,設定!$C92,月別入力!$D:$D,設定!S$8,月別入力!$B:$B,設定!$B92)</f>
        <v>0</v>
      </c>
      <c r="T92" s="64">
        <f>SUMIFS(月別入力!$I:$I,月別入力!$E:$E,設定!$C92,月別入力!$D:$D,設定!T$8,月別入力!$B:$B,設定!$B92)</f>
        <v>0</v>
      </c>
      <c r="U92" s="175">
        <f>SUMIFS(月別入力!$I:$I,月別入力!$E:$E,設定!$C92,月別入力!$D:$D,設定!U$8,月別入力!$B:$B,設定!$B92)</f>
        <v>0</v>
      </c>
      <c r="V92" s="175">
        <f>SUMIFS(月別入力!$I:$I,月別入力!$E:$E,設定!$C92,月別入力!$D:$D,設定!V$8,月別入力!$B:$B,設定!$B92)</f>
        <v>0</v>
      </c>
      <c r="W92" s="175">
        <f>SUMIFS(月別入力!$I:$I,月別入力!$E:$E,設定!$C92,月別入力!$D:$D,設定!W$8,月別入力!$B:$B,設定!$B92)</f>
        <v>0</v>
      </c>
      <c r="X92" s="66">
        <f>SUMIFS(月別入力!$I:$I,月別入力!$E:$E,設定!$C92,月別入力!$D:$D,設定!X$8,月別入力!$B:$B,設定!$B92)</f>
        <v>0</v>
      </c>
    </row>
    <row r="93" spans="2:24" s="6" customFormat="1" ht="15" customHeight="1" x14ac:dyDescent="0.2">
      <c r="B93" s="201" t="str">
        <f t="shared" si="5"/>
        <v>&lt;=12</v>
      </c>
      <c r="C93" s="63"/>
      <c r="D93" s="68"/>
      <c r="E93" s="64"/>
      <c r="F93" s="69"/>
      <c r="G93" s="65">
        <f t="shared" si="4"/>
        <v>0</v>
      </c>
      <c r="H93" s="64">
        <f>SUMIFS(月別入力!$I:$I,月別入力!$E:$E,設定!$C93,月別入力!$D:$D,設定!H$8,月別入力!$B:$B,設定!$B93)</f>
        <v>0</v>
      </c>
      <c r="I93" s="64">
        <f>SUMIFS(月別入力!$I:$I,月別入力!$E:$E,設定!$C93,月別入力!$D:$D,設定!I$8,月別入力!$B:$B,設定!$B93)</f>
        <v>0</v>
      </c>
      <c r="J93" s="64">
        <f>SUMIFS(月別入力!$I:$I,月別入力!$E:$E,設定!$C93,月別入力!$D:$D,設定!J$8,月別入力!$B:$B,設定!$B93)</f>
        <v>0</v>
      </c>
      <c r="K93" s="64">
        <f>SUMIFS(月別入力!$I:$I,月別入力!$E:$E,設定!$C93,月別入力!$D:$D,設定!K$8,月別入力!$B:$B,設定!$B93)</f>
        <v>0</v>
      </c>
      <c r="L93" s="64">
        <f>SUMIFS(月別入力!$I:$I,月別入力!$E:$E,設定!$C93,月別入力!$D:$D,設定!L$8,月別入力!$B:$B,設定!$B93)</f>
        <v>0</v>
      </c>
      <c r="M93" s="64">
        <f>SUMIFS(月別入力!$I:$I,月別入力!$E:$E,設定!$C93,月別入力!$D:$D,設定!M$8,月別入力!$B:$B,設定!$B93)</f>
        <v>0</v>
      </c>
      <c r="N93" s="64">
        <f>SUMIFS(月別入力!$I:$I,月別入力!$E:$E,設定!$C93,月別入力!$D:$D,設定!N$8,月別入力!$B:$B,設定!$B93)</f>
        <v>0</v>
      </c>
      <c r="O93" s="64">
        <f>SUMIFS(月別入力!$I:$I,月別入力!$E:$E,設定!$C93,月別入力!$D:$D,設定!O$8,月別入力!$B:$B,設定!$B93)</f>
        <v>0</v>
      </c>
      <c r="P93" s="64">
        <f>SUMIFS(月別入力!$I:$I,月別入力!$E:$E,設定!$C93,月別入力!$D:$D,設定!P$8,月別入力!$B:$B,設定!$B93)</f>
        <v>0</v>
      </c>
      <c r="Q93" s="64">
        <f>SUMIFS(月別入力!$I:$I,月別入力!$E:$E,設定!$C93,月別入力!$D:$D,設定!Q$8,月別入力!$B:$B,設定!$B93)</f>
        <v>0</v>
      </c>
      <c r="R93" s="64">
        <f>SUMIFS(月別入力!$I:$I,月別入力!$E:$E,設定!$C93,月別入力!$D:$D,設定!R$8,月別入力!$B:$B,設定!$B93)</f>
        <v>0</v>
      </c>
      <c r="S93" s="64">
        <f>SUMIFS(月別入力!$I:$I,月別入力!$E:$E,設定!$C93,月別入力!$D:$D,設定!S$8,月別入力!$B:$B,設定!$B93)</f>
        <v>0</v>
      </c>
      <c r="T93" s="64">
        <f>SUMIFS(月別入力!$I:$I,月別入力!$E:$E,設定!$C93,月別入力!$D:$D,設定!T$8,月別入力!$B:$B,設定!$B93)</f>
        <v>0</v>
      </c>
      <c r="U93" s="175">
        <f>SUMIFS(月別入力!$I:$I,月別入力!$E:$E,設定!$C93,月別入力!$D:$D,設定!U$8,月別入力!$B:$B,設定!$B93)</f>
        <v>0</v>
      </c>
      <c r="V93" s="175">
        <f>SUMIFS(月別入力!$I:$I,月別入力!$E:$E,設定!$C93,月別入力!$D:$D,設定!V$8,月別入力!$B:$B,設定!$B93)</f>
        <v>0</v>
      </c>
      <c r="W93" s="175">
        <f>SUMIFS(月別入力!$I:$I,月別入力!$E:$E,設定!$C93,月別入力!$D:$D,設定!W$8,月別入力!$B:$B,設定!$B93)</f>
        <v>0</v>
      </c>
      <c r="X93" s="66">
        <f>SUMIFS(月別入力!$I:$I,月別入力!$E:$E,設定!$C93,月別入力!$D:$D,設定!X$8,月別入力!$B:$B,設定!$B93)</f>
        <v>0</v>
      </c>
    </row>
    <row r="94" spans="2:24" s="6" customFormat="1" ht="15" customHeight="1" x14ac:dyDescent="0.2">
      <c r="B94" s="201" t="str">
        <f t="shared" si="5"/>
        <v>&lt;=12</v>
      </c>
      <c r="C94" s="63"/>
      <c r="D94" s="68"/>
      <c r="E94" s="64"/>
      <c r="F94" s="69"/>
      <c r="G94" s="65">
        <f t="shared" si="4"/>
        <v>0</v>
      </c>
      <c r="H94" s="64">
        <f>SUMIFS(月別入力!$I:$I,月別入力!$E:$E,設定!$C94,月別入力!$D:$D,設定!H$8,月別入力!$B:$B,設定!$B94)</f>
        <v>0</v>
      </c>
      <c r="I94" s="64">
        <f>SUMIFS(月別入力!$I:$I,月別入力!$E:$E,設定!$C94,月別入力!$D:$D,設定!I$8,月別入力!$B:$B,設定!$B94)</f>
        <v>0</v>
      </c>
      <c r="J94" s="64">
        <f>SUMIFS(月別入力!$I:$I,月別入力!$E:$E,設定!$C94,月別入力!$D:$D,設定!J$8,月別入力!$B:$B,設定!$B94)</f>
        <v>0</v>
      </c>
      <c r="K94" s="64">
        <f>SUMIFS(月別入力!$I:$I,月別入力!$E:$E,設定!$C94,月別入力!$D:$D,設定!K$8,月別入力!$B:$B,設定!$B94)</f>
        <v>0</v>
      </c>
      <c r="L94" s="64">
        <f>SUMIFS(月別入力!$I:$I,月別入力!$E:$E,設定!$C94,月別入力!$D:$D,設定!L$8,月別入力!$B:$B,設定!$B94)</f>
        <v>0</v>
      </c>
      <c r="M94" s="64">
        <f>SUMIFS(月別入力!$I:$I,月別入力!$E:$E,設定!$C94,月別入力!$D:$D,設定!M$8,月別入力!$B:$B,設定!$B94)</f>
        <v>0</v>
      </c>
      <c r="N94" s="64">
        <f>SUMIFS(月別入力!$I:$I,月別入力!$E:$E,設定!$C94,月別入力!$D:$D,設定!N$8,月別入力!$B:$B,設定!$B94)</f>
        <v>0</v>
      </c>
      <c r="O94" s="64">
        <f>SUMIFS(月別入力!$I:$I,月別入力!$E:$E,設定!$C94,月別入力!$D:$D,設定!O$8,月別入力!$B:$B,設定!$B94)</f>
        <v>0</v>
      </c>
      <c r="P94" s="64">
        <f>SUMIFS(月別入力!$I:$I,月別入力!$E:$E,設定!$C94,月別入力!$D:$D,設定!P$8,月別入力!$B:$B,設定!$B94)</f>
        <v>0</v>
      </c>
      <c r="Q94" s="64">
        <f>SUMIFS(月別入力!$I:$I,月別入力!$E:$E,設定!$C94,月別入力!$D:$D,設定!Q$8,月別入力!$B:$B,設定!$B94)</f>
        <v>0</v>
      </c>
      <c r="R94" s="64">
        <f>SUMIFS(月別入力!$I:$I,月別入力!$E:$E,設定!$C94,月別入力!$D:$D,設定!R$8,月別入力!$B:$B,設定!$B94)</f>
        <v>0</v>
      </c>
      <c r="S94" s="64">
        <f>SUMIFS(月別入力!$I:$I,月別入力!$E:$E,設定!$C94,月別入力!$D:$D,設定!S$8,月別入力!$B:$B,設定!$B94)</f>
        <v>0</v>
      </c>
      <c r="T94" s="64">
        <f>SUMIFS(月別入力!$I:$I,月別入力!$E:$E,設定!$C94,月別入力!$D:$D,設定!T$8,月別入力!$B:$B,設定!$B94)</f>
        <v>0</v>
      </c>
      <c r="U94" s="175">
        <f>SUMIFS(月別入力!$I:$I,月別入力!$E:$E,設定!$C94,月別入力!$D:$D,設定!U$8,月別入力!$B:$B,設定!$B94)</f>
        <v>0</v>
      </c>
      <c r="V94" s="175">
        <f>SUMIFS(月別入力!$I:$I,月別入力!$E:$E,設定!$C94,月別入力!$D:$D,設定!V$8,月別入力!$B:$B,設定!$B94)</f>
        <v>0</v>
      </c>
      <c r="W94" s="175">
        <f>SUMIFS(月別入力!$I:$I,月別入力!$E:$E,設定!$C94,月別入力!$D:$D,設定!W$8,月別入力!$B:$B,設定!$B94)</f>
        <v>0</v>
      </c>
      <c r="X94" s="66">
        <f>SUMIFS(月別入力!$I:$I,月別入力!$E:$E,設定!$C94,月別入力!$D:$D,設定!X$8,月別入力!$B:$B,設定!$B94)</f>
        <v>0</v>
      </c>
    </row>
    <row r="95" spans="2:24" s="6" customFormat="1" ht="15" customHeight="1" x14ac:dyDescent="0.2">
      <c r="B95" s="201" t="str">
        <f t="shared" si="5"/>
        <v>&lt;=12</v>
      </c>
      <c r="C95" s="63"/>
      <c r="D95" s="68"/>
      <c r="E95" s="64"/>
      <c r="F95" s="69"/>
      <c r="G95" s="65">
        <f t="shared" si="4"/>
        <v>0</v>
      </c>
      <c r="H95" s="64">
        <f>SUMIFS(月別入力!$I:$I,月別入力!$E:$E,設定!$C95,月別入力!$D:$D,設定!H$8,月別入力!$B:$B,設定!$B95)</f>
        <v>0</v>
      </c>
      <c r="I95" s="64">
        <f>SUMIFS(月別入力!$I:$I,月別入力!$E:$E,設定!$C95,月別入力!$D:$D,設定!I$8,月別入力!$B:$B,設定!$B95)</f>
        <v>0</v>
      </c>
      <c r="J95" s="64">
        <f>SUMIFS(月別入力!$I:$I,月別入力!$E:$E,設定!$C95,月別入力!$D:$D,設定!J$8,月別入力!$B:$B,設定!$B95)</f>
        <v>0</v>
      </c>
      <c r="K95" s="64">
        <f>SUMIFS(月別入力!$I:$I,月別入力!$E:$E,設定!$C95,月別入力!$D:$D,設定!K$8,月別入力!$B:$B,設定!$B95)</f>
        <v>0</v>
      </c>
      <c r="L95" s="64">
        <f>SUMIFS(月別入力!$I:$I,月別入力!$E:$E,設定!$C95,月別入力!$D:$D,設定!L$8,月別入力!$B:$B,設定!$B95)</f>
        <v>0</v>
      </c>
      <c r="M95" s="64">
        <f>SUMIFS(月別入力!$I:$I,月別入力!$E:$E,設定!$C95,月別入力!$D:$D,設定!M$8,月別入力!$B:$B,設定!$B95)</f>
        <v>0</v>
      </c>
      <c r="N95" s="64">
        <f>SUMIFS(月別入力!$I:$I,月別入力!$E:$E,設定!$C95,月別入力!$D:$D,設定!N$8,月別入力!$B:$B,設定!$B95)</f>
        <v>0</v>
      </c>
      <c r="O95" s="64">
        <f>SUMIFS(月別入力!$I:$I,月別入力!$E:$E,設定!$C95,月別入力!$D:$D,設定!O$8,月別入力!$B:$B,設定!$B95)</f>
        <v>0</v>
      </c>
      <c r="P95" s="64">
        <f>SUMIFS(月別入力!$I:$I,月別入力!$E:$E,設定!$C95,月別入力!$D:$D,設定!P$8,月別入力!$B:$B,設定!$B95)</f>
        <v>0</v>
      </c>
      <c r="Q95" s="64">
        <f>SUMIFS(月別入力!$I:$I,月別入力!$E:$E,設定!$C95,月別入力!$D:$D,設定!Q$8,月別入力!$B:$B,設定!$B95)</f>
        <v>0</v>
      </c>
      <c r="R95" s="64">
        <f>SUMIFS(月別入力!$I:$I,月別入力!$E:$E,設定!$C95,月別入力!$D:$D,設定!R$8,月別入力!$B:$B,設定!$B95)</f>
        <v>0</v>
      </c>
      <c r="S95" s="64">
        <f>SUMIFS(月別入力!$I:$I,月別入力!$E:$E,設定!$C95,月別入力!$D:$D,設定!S$8,月別入力!$B:$B,設定!$B95)</f>
        <v>0</v>
      </c>
      <c r="T95" s="64">
        <f>SUMIFS(月別入力!$I:$I,月別入力!$E:$E,設定!$C95,月別入力!$D:$D,設定!T$8,月別入力!$B:$B,設定!$B95)</f>
        <v>0</v>
      </c>
      <c r="U95" s="175">
        <f>SUMIFS(月別入力!$I:$I,月別入力!$E:$E,設定!$C95,月別入力!$D:$D,設定!U$8,月別入力!$B:$B,設定!$B95)</f>
        <v>0</v>
      </c>
      <c r="V95" s="175">
        <f>SUMIFS(月別入力!$I:$I,月別入力!$E:$E,設定!$C95,月別入力!$D:$D,設定!V$8,月別入力!$B:$B,設定!$B95)</f>
        <v>0</v>
      </c>
      <c r="W95" s="175">
        <f>SUMIFS(月別入力!$I:$I,月別入力!$E:$E,設定!$C95,月別入力!$D:$D,設定!W$8,月別入力!$B:$B,設定!$B95)</f>
        <v>0</v>
      </c>
      <c r="X95" s="66">
        <f>SUMIFS(月別入力!$I:$I,月別入力!$E:$E,設定!$C95,月別入力!$D:$D,設定!X$8,月別入力!$B:$B,設定!$B95)</f>
        <v>0</v>
      </c>
    </row>
    <row r="96" spans="2:24" s="6" customFormat="1" ht="15" customHeight="1" x14ac:dyDescent="0.2">
      <c r="B96" s="201" t="str">
        <f t="shared" si="5"/>
        <v>&lt;=12</v>
      </c>
      <c r="C96" s="63"/>
      <c r="D96" s="68"/>
      <c r="E96" s="64"/>
      <c r="F96" s="69"/>
      <c r="G96" s="65">
        <f t="shared" si="4"/>
        <v>0</v>
      </c>
      <c r="H96" s="64">
        <f>SUMIFS(月別入力!$I:$I,月別入力!$E:$E,設定!$C96,月別入力!$D:$D,設定!H$8,月別入力!$B:$B,設定!$B96)</f>
        <v>0</v>
      </c>
      <c r="I96" s="64">
        <f>SUMIFS(月別入力!$I:$I,月別入力!$E:$E,設定!$C96,月別入力!$D:$D,設定!I$8,月別入力!$B:$B,設定!$B96)</f>
        <v>0</v>
      </c>
      <c r="J96" s="64">
        <f>SUMIFS(月別入力!$I:$I,月別入力!$E:$E,設定!$C96,月別入力!$D:$D,設定!J$8,月別入力!$B:$B,設定!$B96)</f>
        <v>0</v>
      </c>
      <c r="K96" s="64">
        <f>SUMIFS(月別入力!$I:$I,月別入力!$E:$E,設定!$C96,月別入力!$D:$D,設定!K$8,月別入力!$B:$B,設定!$B96)</f>
        <v>0</v>
      </c>
      <c r="L96" s="64">
        <f>SUMIFS(月別入力!$I:$I,月別入力!$E:$E,設定!$C96,月別入力!$D:$D,設定!L$8,月別入力!$B:$B,設定!$B96)</f>
        <v>0</v>
      </c>
      <c r="M96" s="64">
        <f>SUMIFS(月別入力!$I:$I,月別入力!$E:$E,設定!$C96,月別入力!$D:$D,設定!M$8,月別入力!$B:$B,設定!$B96)</f>
        <v>0</v>
      </c>
      <c r="N96" s="64">
        <f>SUMIFS(月別入力!$I:$I,月別入力!$E:$E,設定!$C96,月別入力!$D:$D,設定!N$8,月別入力!$B:$B,設定!$B96)</f>
        <v>0</v>
      </c>
      <c r="O96" s="64">
        <f>SUMIFS(月別入力!$I:$I,月別入力!$E:$E,設定!$C96,月別入力!$D:$D,設定!O$8,月別入力!$B:$B,設定!$B96)</f>
        <v>0</v>
      </c>
      <c r="P96" s="64">
        <f>SUMIFS(月別入力!$I:$I,月別入力!$E:$E,設定!$C96,月別入力!$D:$D,設定!P$8,月別入力!$B:$B,設定!$B96)</f>
        <v>0</v>
      </c>
      <c r="Q96" s="64">
        <f>SUMIFS(月別入力!$I:$I,月別入力!$E:$E,設定!$C96,月別入力!$D:$D,設定!Q$8,月別入力!$B:$B,設定!$B96)</f>
        <v>0</v>
      </c>
      <c r="R96" s="64">
        <f>SUMIFS(月別入力!$I:$I,月別入力!$E:$E,設定!$C96,月別入力!$D:$D,設定!R$8,月別入力!$B:$B,設定!$B96)</f>
        <v>0</v>
      </c>
      <c r="S96" s="64">
        <f>SUMIFS(月別入力!$I:$I,月別入力!$E:$E,設定!$C96,月別入力!$D:$D,設定!S$8,月別入力!$B:$B,設定!$B96)</f>
        <v>0</v>
      </c>
      <c r="T96" s="64">
        <f>SUMIFS(月別入力!$I:$I,月別入力!$E:$E,設定!$C96,月別入力!$D:$D,設定!T$8,月別入力!$B:$B,設定!$B96)</f>
        <v>0</v>
      </c>
      <c r="U96" s="175">
        <f>SUMIFS(月別入力!$I:$I,月別入力!$E:$E,設定!$C96,月別入力!$D:$D,設定!U$8,月別入力!$B:$B,設定!$B96)</f>
        <v>0</v>
      </c>
      <c r="V96" s="175">
        <f>SUMIFS(月別入力!$I:$I,月別入力!$E:$E,設定!$C96,月別入力!$D:$D,設定!V$8,月別入力!$B:$B,設定!$B96)</f>
        <v>0</v>
      </c>
      <c r="W96" s="175">
        <f>SUMIFS(月別入力!$I:$I,月別入力!$E:$E,設定!$C96,月別入力!$D:$D,設定!W$8,月別入力!$B:$B,設定!$B96)</f>
        <v>0</v>
      </c>
      <c r="X96" s="66">
        <f>SUMIFS(月別入力!$I:$I,月別入力!$E:$E,設定!$C96,月別入力!$D:$D,設定!X$8,月別入力!$B:$B,設定!$B96)</f>
        <v>0</v>
      </c>
    </row>
    <row r="97" spans="2:24" s="6" customFormat="1" ht="15" customHeight="1" x14ac:dyDescent="0.2">
      <c r="B97" s="201" t="str">
        <f t="shared" si="5"/>
        <v>&lt;=12</v>
      </c>
      <c r="C97" s="63"/>
      <c r="D97" s="68"/>
      <c r="E97" s="64"/>
      <c r="F97" s="69"/>
      <c r="G97" s="65">
        <f t="shared" si="4"/>
        <v>0</v>
      </c>
      <c r="H97" s="64">
        <f>SUMIFS(月別入力!$I:$I,月別入力!$E:$E,設定!$C97,月別入力!$D:$D,設定!H$8,月別入力!$B:$B,設定!$B97)</f>
        <v>0</v>
      </c>
      <c r="I97" s="64">
        <f>SUMIFS(月別入力!$I:$I,月別入力!$E:$E,設定!$C97,月別入力!$D:$D,設定!I$8,月別入力!$B:$B,設定!$B97)</f>
        <v>0</v>
      </c>
      <c r="J97" s="64">
        <f>SUMIFS(月別入力!$I:$I,月別入力!$E:$E,設定!$C97,月別入力!$D:$D,設定!J$8,月別入力!$B:$B,設定!$B97)</f>
        <v>0</v>
      </c>
      <c r="K97" s="64">
        <f>SUMIFS(月別入力!$I:$I,月別入力!$E:$E,設定!$C97,月別入力!$D:$D,設定!K$8,月別入力!$B:$B,設定!$B97)</f>
        <v>0</v>
      </c>
      <c r="L97" s="64">
        <f>SUMIFS(月別入力!$I:$I,月別入力!$E:$E,設定!$C97,月別入力!$D:$D,設定!L$8,月別入力!$B:$B,設定!$B97)</f>
        <v>0</v>
      </c>
      <c r="M97" s="64">
        <f>SUMIFS(月別入力!$I:$I,月別入力!$E:$E,設定!$C97,月別入力!$D:$D,設定!M$8,月別入力!$B:$B,設定!$B97)</f>
        <v>0</v>
      </c>
      <c r="N97" s="64">
        <f>SUMIFS(月別入力!$I:$I,月別入力!$E:$E,設定!$C97,月別入力!$D:$D,設定!N$8,月別入力!$B:$B,設定!$B97)</f>
        <v>0</v>
      </c>
      <c r="O97" s="64">
        <f>SUMIFS(月別入力!$I:$I,月別入力!$E:$E,設定!$C97,月別入力!$D:$D,設定!O$8,月別入力!$B:$B,設定!$B97)</f>
        <v>0</v>
      </c>
      <c r="P97" s="64">
        <f>SUMIFS(月別入力!$I:$I,月別入力!$E:$E,設定!$C97,月別入力!$D:$D,設定!P$8,月別入力!$B:$B,設定!$B97)</f>
        <v>0</v>
      </c>
      <c r="Q97" s="64">
        <f>SUMIFS(月別入力!$I:$I,月別入力!$E:$E,設定!$C97,月別入力!$D:$D,設定!Q$8,月別入力!$B:$B,設定!$B97)</f>
        <v>0</v>
      </c>
      <c r="R97" s="64">
        <f>SUMIFS(月別入力!$I:$I,月別入力!$E:$E,設定!$C97,月別入力!$D:$D,設定!R$8,月別入力!$B:$B,設定!$B97)</f>
        <v>0</v>
      </c>
      <c r="S97" s="64">
        <f>SUMIFS(月別入力!$I:$I,月別入力!$E:$E,設定!$C97,月別入力!$D:$D,設定!S$8,月別入力!$B:$B,設定!$B97)</f>
        <v>0</v>
      </c>
      <c r="T97" s="64">
        <f>SUMIFS(月別入力!$I:$I,月別入力!$E:$E,設定!$C97,月別入力!$D:$D,設定!T$8,月別入力!$B:$B,設定!$B97)</f>
        <v>0</v>
      </c>
      <c r="U97" s="175">
        <f>SUMIFS(月別入力!$I:$I,月別入力!$E:$E,設定!$C97,月別入力!$D:$D,設定!U$8,月別入力!$B:$B,設定!$B97)</f>
        <v>0</v>
      </c>
      <c r="V97" s="175">
        <f>SUMIFS(月別入力!$I:$I,月別入力!$E:$E,設定!$C97,月別入力!$D:$D,設定!V$8,月別入力!$B:$B,設定!$B97)</f>
        <v>0</v>
      </c>
      <c r="W97" s="175">
        <f>SUMIFS(月別入力!$I:$I,月別入力!$E:$E,設定!$C97,月別入力!$D:$D,設定!W$8,月別入力!$B:$B,設定!$B97)</f>
        <v>0</v>
      </c>
      <c r="X97" s="66">
        <f>SUMIFS(月別入力!$I:$I,月別入力!$E:$E,設定!$C97,月別入力!$D:$D,設定!X$8,月別入力!$B:$B,設定!$B97)</f>
        <v>0</v>
      </c>
    </row>
    <row r="98" spans="2:24" s="6" customFormat="1" ht="15" customHeight="1" x14ac:dyDescent="0.2">
      <c r="B98" s="201" t="str">
        <f t="shared" si="5"/>
        <v>&lt;=12</v>
      </c>
      <c r="C98" s="63"/>
      <c r="D98" s="68"/>
      <c r="E98" s="64"/>
      <c r="F98" s="69"/>
      <c r="G98" s="65">
        <f t="shared" si="4"/>
        <v>0</v>
      </c>
      <c r="H98" s="64">
        <f>SUMIFS(月別入力!$I:$I,月別入力!$E:$E,設定!$C98,月別入力!$D:$D,設定!H$8,月別入力!$B:$B,設定!$B98)</f>
        <v>0</v>
      </c>
      <c r="I98" s="64">
        <f>SUMIFS(月別入力!$I:$I,月別入力!$E:$E,設定!$C98,月別入力!$D:$D,設定!I$8,月別入力!$B:$B,設定!$B98)</f>
        <v>0</v>
      </c>
      <c r="J98" s="64">
        <f>SUMIFS(月別入力!$I:$I,月別入力!$E:$E,設定!$C98,月別入力!$D:$D,設定!J$8,月別入力!$B:$B,設定!$B98)</f>
        <v>0</v>
      </c>
      <c r="K98" s="64">
        <f>SUMIFS(月別入力!$I:$I,月別入力!$E:$E,設定!$C98,月別入力!$D:$D,設定!K$8,月別入力!$B:$B,設定!$B98)</f>
        <v>0</v>
      </c>
      <c r="L98" s="64">
        <f>SUMIFS(月別入力!$I:$I,月別入力!$E:$E,設定!$C98,月別入力!$D:$D,設定!L$8,月別入力!$B:$B,設定!$B98)</f>
        <v>0</v>
      </c>
      <c r="M98" s="64">
        <f>SUMIFS(月別入力!$I:$I,月別入力!$E:$E,設定!$C98,月別入力!$D:$D,設定!M$8,月別入力!$B:$B,設定!$B98)</f>
        <v>0</v>
      </c>
      <c r="N98" s="64">
        <f>SUMIFS(月別入力!$I:$I,月別入力!$E:$E,設定!$C98,月別入力!$D:$D,設定!N$8,月別入力!$B:$B,設定!$B98)</f>
        <v>0</v>
      </c>
      <c r="O98" s="64">
        <f>SUMIFS(月別入力!$I:$I,月別入力!$E:$E,設定!$C98,月別入力!$D:$D,設定!O$8,月別入力!$B:$B,設定!$B98)</f>
        <v>0</v>
      </c>
      <c r="P98" s="64">
        <f>SUMIFS(月別入力!$I:$I,月別入力!$E:$E,設定!$C98,月別入力!$D:$D,設定!P$8,月別入力!$B:$B,設定!$B98)</f>
        <v>0</v>
      </c>
      <c r="Q98" s="64">
        <f>SUMIFS(月別入力!$I:$I,月別入力!$E:$E,設定!$C98,月別入力!$D:$D,設定!Q$8,月別入力!$B:$B,設定!$B98)</f>
        <v>0</v>
      </c>
      <c r="R98" s="64">
        <f>SUMIFS(月別入力!$I:$I,月別入力!$E:$E,設定!$C98,月別入力!$D:$D,設定!R$8,月別入力!$B:$B,設定!$B98)</f>
        <v>0</v>
      </c>
      <c r="S98" s="64">
        <f>SUMIFS(月別入力!$I:$I,月別入力!$E:$E,設定!$C98,月別入力!$D:$D,設定!S$8,月別入力!$B:$B,設定!$B98)</f>
        <v>0</v>
      </c>
      <c r="T98" s="64">
        <f>SUMIFS(月別入力!$I:$I,月別入力!$E:$E,設定!$C98,月別入力!$D:$D,設定!T$8,月別入力!$B:$B,設定!$B98)</f>
        <v>0</v>
      </c>
      <c r="U98" s="175">
        <f>SUMIFS(月別入力!$I:$I,月別入力!$E:$E,設定!$C98,月別入力!$D:$D,設定!U$8,月別入力!$B:$B,設定!$B98)</f>
        <v>0</v>
      </c>
      <c r="V98" s="175">
        <f>SUMIFS(月別入力!$I:$I,月別入力!$E:$E,設定!$C98,月別入力!$D:$D,設定!V$8,月別入力!$B:$B,設定!$B98)</f>
        <v>0</v>
      </c>
      <c r="W98" s="175">
        <f>SUMIFS(月別入力!$I:$I,月別入力!$E:$E,設定!$C98,月別入力!$D:$D,設定!W$8,月別入力!$B:$B,設定!$B98)</f>
        <v>0</v>
      </c>
      <c r="X98" s="66">
        <f>SUMIFS(月別入力!$I:$I,月別入力!$E:$E,設定!$C98,月別入力!$D:$D,設定!X$8,月別入力!$B:$B,設定!$B98)</f>
        <v>0</v>
      </c>
    </row>
    <row r="99" spans="2:24" s="6" customFormat="1" ht="15" customHeight="1" x14ac:dyDescent="0.2">
      <c r="B99" s="201" t="str">
        <f t="shared" si="5"/>
        <v>&lt;=12</v>
      </c>
      <c r="C99" s="63"/>
      <c r="D99" s="68"/>
      <c r="E99" s="64"/>
      <c r="F99" s="69"/>
      <c r="G99" s="65">
        <f t="shared" si="4"/>
        <v>0</v>
      </c>
      <c r="H99" s="64">
        <f>SUMIFS(月別入力!$I:$I,月別入力!$E:$E,設定!$C99,月別入力!$D:$D,設定!H$8,月別入力!$B:$B,設定!$B99)</f>
        <v>0</v>
      </c>
      <c r="I99" s="64">
        <f>SUMIFS(月別入力!$I:$I,月別入力!$E:$E,設定!$C99,月別入力!$D:$D,設定!I$8,月別入力!$B:$B,設定!$B99)</f>
        <v>0</v>
      </c>
      <c r="J99" s="64">
        <f>SUMIFS(月別入力!$I:$I,月別入力!$E:$E,設定!$C99,月別入力!$D:$D,設定!J$8,月別入力!$B:$B,設定!$B99)</f>
        <v>0</v>
      </c>
      <c r="K99" s="64">
        <f>SUMIFS(月別入力!$I:$I,月別入力!$E:$E,設定!$C99,月別入力!$D:$D,設定!K$8,月別入力!$B:$B,設定!$B99)</f>
        <v>0</v>
      </c>
      <c r="L99" s="64">
        <f>SUMIFS(月別入力!$I:$I,月別入力!$E:$E,設定!$C99,月別入力!$D:$D,設定!L$8,月別入力!$B:$B,設定!$B99)</f>
        <v>0</v>
      </c>
      <c r="M99" s="64">
        <f>SUMIFS(月別入力!$I:$I,月別入力!$E:$E,設定!$C99,月別入力!$D:$D,設定!M$8,月別入力!$B:$B,設定!$B99)</f>
        <v>0</v>
      </c>
      <c r="N99" s="64">
        <f>SUMIFS(月別入力!$I:$I,月別入力!$E:$E,設定!$C99,月別入力!$D:$D,設定!N$8,月別入力!$B:$B,設定!$B99)</f>
        <v>0</v>
      </c>
      <c r="O99" s="64">
        <f>SUMIFS(月別入力!$I:$I,月別入力!$E:$E,設定!$C99,月別入力!$D:$D,設定!O$8,月別入力!$B:$B,設定!$B99)</f>
        <v>0</v>
      </c>
      <c r="P99" s="64">
        <f>SUMIFS(月別入力!$I:$I,月別入力!$E:$E,設定!$C99,月別入力!$D:$D,設定!P$8,月別入力!$B:$B,設定!$B99)</f>
        <v>0</v>
      </c>
      <c r="Q99" s="64">
        <f>SUMIFS(月別入力!$I:$I,月別入力!$E:$E,設定!$C99,月別入力!$D:$D,設定!Q$8,月別入力!$B:$B,設定!$B99)</f>
        <v>0</v>
      </c>
      <c r="R99" s="64">
        <f>SUMIFS(月別入力!$I:$I,月別入力!$E:$E,設定!$C99,月別入力!$D:$D,設定!R$8,月別入力!$B:$B,設定!$B99)</f>
        <v>0</v>
      </c>
      <c r="S99" s="64">
        <f>SUMIFS(月別入力!$I:$I,月別入力!$E:$E,設定!$C99,月別入力!$D:$D,設定!S$8,月別入力!$B:$B,設定!$B99)</f>
        <v>0</v>
      </c>
      <c r="T99" s="64">
        <f>SUMIFS(月別入力!$I:$I,月別入力!$E:$E,設定!$C99,月別入力!$D:$D,設定!T$8,月別入力!$B:$B,設定!$B99)</f>
        <v>0</v>
      </c>
      <c r="U99" s="175">
        <f>SUMIFS(月別入力!$I:$I,月別入力!$E:$E,設定!$C99,月別入力!$D:$D,設定!U$8,月別入力!$B:$B,設定!$B99)</f>
        <v>0</v>
      </c>
      <c r="V99" s="175">
        <f>SUMIFS(月別入力!$I:$I,月別入力!$E:$E,設定!$C99,月別入力!$D:$D,設定!V$8,月別入力!$B:$B,設定!$B99)</f>
        <v>0</v>
      </c>
      <c r="W99" s="175">
        <f>SUMIFS(月別入力!$I:$I,月別入力!$E:$E,設定!$C99,月別入力!$D:$D,設定!W$8,月別入力!$B:$B,設定!$B99)</f>
        <v>0</v>
      </c>
      <c r="X99" s="66">
        <f>SUMIFS(月別入力!$I:$I,月別入力!$E:$E,設定!$C99,月別入力!$D:$D,設定!X$8,月別入力!$B:$B,設定!$B99)</f>
        <v>0</v>
      </c>
    </row>
    <row r="100" spans="2:24" s="6" customFormat="1" ht="15" customHeight="1" x14ac:dyDescent="0.2">
      <c r="B100" s="201" t="str">
        <f t="shared" si="5"/>
        <v>&lt;=12</v>
      </c>
      <c r="C100" s="63"/>
      <c r="D100" s="68"/>
      <c r="E100" s="64"/>
      <c r="F100" s="69"/>
      <c r="G100" s="65">
        <f t="shared" si="4"/>
        <v>0</v>
      </c>
      <c r="H100" s="64">
        <f>SUMIFS(月別入力!$I:$I,月別入力!$E:$E,設定!$C100,月別入力!$D:$D,設定!H$8,月別入力!$B:$B,設定!$B100)</f>
        <v>0</v>
      </c>
      <c r="I100" s="64">
        <f>SUMIFS(月別入力!$I:$I,月別入力!$E:$E,設定!$C100,月別入力!$D:$D,設定!I$8,月別入力!$B:$B,設定!$B100)</f>
        <v>0</v>
      </c>
      <c r="J100" s="64">
        <f>SUMIFS(月別入力!$I:$I,月別入力!$E:$E,設定!$C100,月別入力!$D:$D,設定!J$8,月別入力!$B:$B,設定!$B100)</f>
        <v>0</v>
      </c>
      <c r="K100" s="64">
        <f>SUMIFS(月別入力!$I:$I,月別入力!$E:$E,設定!$C100,月別入力!$D:$D,設定!K$8,月別入力!$B:$B,設定!$B100)</f>
        <v>0</v>
      </c>
      <c r="L100" s="64">
        <f>SUMIFS(月別入力!$I:$I,月別入力!$E:$E,設定!$C100,月別入力!$D:$D,設定!L$8,月別入力!$B:$B,設定!$B100)</f>
        <v>0</v>
      </c>
      <c r="M100" s="64">
        <f>SUMIFS(月別入力!$I:$I,月別入力!$E:$E,設定!$C100,月別入力!$D:$D,設定!M$8,月別入力!$B:$B,設定!$B100)</f>
        <v>0</v>
      </c>
      <c r="N100" s="64">
        <f>SUMIFS(月別入力!$I:$I,月別入力!$E:$E,設定!$C100,月別入力!$D:$D,設定!N$8,月別入力!$B:$B,設定!$B100)</f>
        <v>0</v>
      </c>
      <c r="O100" s="64">
        <f>SUMIFS(月別入力!$I:$I,月別入力!$E:$E,設定!$C100,月別入力!$D:$D,設定!O$8,月別入力!$B:$B,設定!$B100)</f>
        <v>0</v>
      </c>
      <c r="P100" s="64">
        <f>SUMIFS(月別入力!$I:$I,月別入力!$E:$E,設定!$C100,月別入力!$D:$D,設定!P$8,月別入力!$B:$B,設定!$B100)</f>
        <v>0</v>
      </c>
      <c r="Q100" s="64">
        <f>SUMIFS(月別入力!$I:$I,月別入力!$E:$E,設定!$C100,月別入力!$D:$D,設定!Q$8,月別入力!$B:$B,設定!$B100)</f>
        <v>0</v>
      </c>
      <c r="R100" s="64">
        <f>SUMIFS(月別入力!$I:$I,月別入力!$E:$E,設定!$C100,月別入力!$D:$D,設定!R$8,月別入力!$B:$B,設定!$B100)</f>
        <v>0</v>
      </c>
      <c r="S100" s="64">
        <f>SUMIFS(月別入力!$I:$I,月別入力!$E:$E,設定!$C100,月別入力!$D:$D,設定!S$8,月別入力!$B:$B,設定!$B100)</f>
        <v>0</v>
      </c>
      <c r="T100" s="64">
        <f>SUMIFS(月別入力!$I:$I,月別入力!$E:$E,設定!$C100,月別入力!$D:$D,設定!T$8,月別入力!$B:$B,設定!$B100)</f>
        <v>0</v>
      </c>
      <c r="U100" s="175">
        <f>SUMIFS(月別入力!$I:$I,月別入力!$E:$E,設定!$C100,月別入力!$D:$D,設定!U$8,月別入力!$B:$B,設定!$B100)</f>
        <v>0</v>
      </c>
      <c r="V100" s="175">
        <f>SUMIFS(月別入力!$I:$I,月別入力!$E:$E,設定!$C100,月別入力!$D:$D,設定!V$8,月別入力!$B:$B,設定!$B100)</f>
        <v>0</v>
      </c>
      <c r="W100" s="175">
        <f>SUMIFS(月別入力!$I:$I,月別入力!$E:$E,設定!$C100,月別入力!$D:$D,設定!W$8,月別入力!$B:$B,設定!$B100)</f>
        <v>0</v>
      </c>
      <c r="X100" s="66">
        <f>SUMIFS(月別入力!$I:$I,月別入力!$E:$E,設定!$C100,月別入力!$D:$D,設定!X$8,月別入力!$B:$B,設定!$B100)</f>
        <v>0</v>
      </c>
    </row>
    <row r="101" spans="2:24" s="6" customFormat="1" ht="15" customHeight="1" x14ac:dyDescent="0.2">
      <c r="B101" s="201" t="str">
        <f t="shared" si="5"/>
        <v>&lt;=12</v>
      </c>
      <c r="C101" s="63"/>
      <c r="D101" s="68"/>
      <c r="E101" s="64"/>
      <c r="F101" s="69"/>
      <c r="G101" s="65">
        <f t="shared" si="4"/>
        <v>0</v>
      </c>
      <c r="H101" s="64">
        <f>SUMIFS(月別入力!$I:$I,月別入力!$E:$E,設定!$C101,月別入力!$D:$D,設定!H$8,月別入力!$B:$B,設定!$B101)</f>
        <v>0</v>
      </c>
      <c r="I101" s="64">
        <f>SUMIFS(月別入力!$I:$I,月別入力!$E:$E,設定!$C101,月別入力!$D:$D,設定!I$8,月別入力!$B:$B,設定!$B101)</f>
        <v>0</v>
      </c>
      <c r="J101" s="64">
        <f>SUMIFS(月別入力!$I:$I,月別入力!$E:$E,設定!$C101,月別入力!$D:$D,設定!J$8,月別入力!$B:$B,設定!$B101)</f>
        <v>0</v>
      </c>
      <c r="K101" s="64">
        <f>SUMIFS(月別入力!$I:$I,月別入力!$E:$E,設定!$C101,月別入力!$D:$D,設定!K$8,月別入力!$B:$B,設定!$B101)</f>
        <v>0</v>
      </c>
      <c r="L101" s="64">
        <f>SUMIFS(月別入力!$I:$I,月別入力!$E:$E,設定!$C101,月別入力!$D:$D,設定!L$8,月別入力!$B:$B,設定!$B101)</f>
        <v>0</v>
      </c>
      <c r="M101" s="64">
        <f>SUMIFS(月別入力!$I:$I,月別入力!$E:$E,設定!$C101,月別入力!$D:$D,設定!M$8,月別入力!$B:$B,設定!$B101)</f>
        <v>0</v>
      </c>
      <c r="N101" s="64">
        <f>SUMIFS(月別入力!$I:$I,月別入力!$E:$E,設定!$C101,月別入力!$D:$D,設定!N$8,月別入力!$B:$B,設定!$B101)</f>
        <v>0</v>
      </c>
      <c r="O101" s="64">
        <f>SUMIFS(月別入力!$I:$I,月別入力!$E:$E,設定!$C101,月別入力!$D:$D,設定!O$8,月別入力!$B:$B,設定!$B101)</f>
        <v>0</v>
      </c>
      <c r="P101" s="64">
        <f>SUMIFS(月別入力!$I:$I,月別入力!$E:$E,設定!$C101,月別入力!$D:$D,設定!P$8,月別入力!$B:$B,設定!$B101)</f>
        <v>0</v>
      </c>
      <c r="Q101" s="64">
        <f>SUMIFS(月別入力!$I:$I,月別入力!$E:$E,設定!$C101,月別入力!$D:$D,設定!Q$8,月別入力!$B:$B,設定!$B101)</f>
        <v>0</v>
      </c>
      <c r="R101" s="64">
        <f>SUMIFS(月別入力!$I:$I,月別入力!$E:$E,設定!$C101,月別入力!$D:$D,設定!R$8,月別入力!$B:$B,設定!$B101)</f>
        <v>0</v>
      </c>
      <c r="S101" s="64">
        <f>SUMIFS(月別入力!$I:$I,月別入力!$E:$E,設定!$C101,月別入力!$D:$D,設定!S$8,月別入力!$B:$B,設定!$B101)</f>
        <v>0</v>
      </c>
      <c r="T101" s="64">
        <f>SUMIFS(月別入力!$I:$I,月別入力!$E:$E,設定!$C101,月別入力!$D:$D,設定!T$8,月別入力!$B:$B,設定!$B101)</f>
        <v>0</v>
      </c>
      <c r="U101" s="175">
        <f>SUMIFS(月別入力!$I:$I,月別入力!$E:$E,設定!$C101,月別入力!$D:$D,設定!U$8,月別入力!$B:$B,設定!$B101)</f>
        <v>0</v>
      </c>
      <c r="V101" s="175">
        <f>SUMIFS(月別入力!$I:$I,月別入力!$E:$E,設定!$C101,月別入力!$D:$D,設定!V$8,月別入力!$B:$B,設定!$B101)</f>
        <v>0</v>
      </c>
      <c r="W101" s="175">
        <f>SUMIFS(月別入力!$I:$I,月別入力!$E:$E,設定!$C101,月別入力!$D:$D,設定!W$8,月別入力!$B:$B,設定!$B101)</f>
        <v>0</v>
      </c>
      <c r="X101" s="66">
        <f>SUMIFS(月別入力!$I:$I,月別入力!$E:$E,設定!$C101,月別入力!$D:$D,設定!X$8,月別入力!$B:$B,設定!$B101)</f>
        <v>0</v>
      </c>
    </row>
    <row r="102" spans="2:24" s="6" customFormat="1" ht="15" customHeight="1" x14ac:dyDescent="0.2">
      <c r="B102" s="201" t="str">
        <f t="shared" si="5"/>
        <v>&lt;=12</v>
      </c>
      <c r="C102" s="63"/>
      <c r="D102" s="68"/>
      <c r="E102" s="64"/>
      <c r="F102" s="69"/>
      <c r="G102" s="65">
        <f t="shared" si="4"/>
        <v>0</v>
      </c>
      <c r="H102" s="64">
        <f>SUMIFS(月別入力!$I:$I,月別入力!$E:$E,設定!$C102,月別入力!$D:$D,設定!H$8,月別入力!$B:$B,設定!$B102)</f>
        <v>0</v>
      </c>
      <c r="I102" s="64">
        <f>SUMIFS(月別入力!$I:$I,月別入力!$E:$E,設定!$C102,月別入力!$D:$D,設定!I$8,月別入力!$B:$B,設定!$B102)</f>
        <v>0</v>
      </c>
      <c r="J102" s="64">
        <f>SUMIFS(月別入力!$I:$I,月別入力!$E:$E,設定!$C102,月別入力!$D:$D,設定!J$8,月別入力!$B:$B,設定!$B102)</f>
        <v>0</v>
      </c>
      <c r="K102" s="64">
        <f>SUMIFS(月別入力!$I:$I,月別入力!$E:$E,設定!$C102,月別入力!$D:$D,設定!K$8,月別入力!$B:$B,設定!$B102)</f>
        <v>0</v>
      </c>
      <c r="L102" s="64">
        <f>SUMIFS(月別入力!$I:$I,月別入力!$E:$E,設定!$C102,月別入力!$D:$D,設定!L$8,月別入力!$B:$B,設定!$B102)</f>
        <v>0</v>
      </c>
      <c r="M102" s="64">
        <f>SUMIFS(月別入力!$I:$I,月別入力!$E:$E,設定!$C102,月別入力!$D:$D,設定!M$8,月別入力!$B:$B,設定!$B102)</f>
        <v>0</v>
      </c>
      <c r="N102" s="64">
        <f>SUMIFS(月別入力!$I:$I,月別入力!$E:$E,設定!$C102,月別入力!$D:$D,設定!N$8,月別入力!$B:$B,設定!$B102)</f>
        <v>0</v>
      </c>
      <c r="O102" s="64">
        <f>SUMIFS(月別入力!$I:$I,月別入力!$E:$E,設定!$C102,月別入力!$D:$D,設定!O$8,月別入力!$B:$B,設定!$B102)</f>
        <v>0</v>
      </c>
      <c r="P102" s="64">
        <f>SUMIFS(月別入力!$I:$I,月別入力!$E:$E,設定!$C102,月別入力!$D:$D,設定!P$8,月別入力!$B:$B,設定!$B102)</f>
        <v>0</v>
      </c>
      <c r="Q102" s="64">
        <f>SUMIFS(月別入力!$I:$I,月別入力!$E:$E,設定!$C102,月別入力!$D:$D,設定!Q$8,月別入力!$B:$B,設定!$B102)</f>
        <v>0</v>
      </c>
      <c r="R102" s="64">
        <f>SUMIFS(月別入力!$I:$I,月別入力!$E:$E,設定!$C102,月別入力!$D:$D,設定!R$8,月別入力!$B:$B,設定!$B102)</f>
        <v>0</v>
      </c>
      <c r="S102" s="64">
        <f>SUMIFS(月別入力!$I:$I,月別入力!$E:$E,設定!$C102,月別入力!$D:$D,設定!S$8,月別入力!$B:$B,設定!$B102)</f>
        <v>0</v>
      </c>
      <c r="T102" s="64">
        <f>SUMIFS(月別入力!$I:$I,月別入力!$E:$E,設定!$C102,月別入力!$D:$D,設定!T$8,月別入力!$B:$B,設定!$B102)</f>
        <v>0</v>
      </c>
      <c r="U102" s="175">
        <f>SUMIFS(月別入力!$I:$I,月別入力!$E:$E,設定!$C102,月別入力!$D:$D,設定!U$8,月別入力!$B:$B,設定!$B102)</f>
        <v>0</v>
      </c>
      <c r="V102" s="175">
        <f>SUMIFS(月別入力!$I:$I,月別入力!$E:$E,設定!$C102,月別入力!$D:$D,設定!V$8,月別入力!$B:$B,設定!$B102)</f>
        <v>0</v>
      </c>
      <c r="W102" s="175">
        <f>SUMIFS(月別入力!$I:$I,月別入力!$E:$E,設定!$C102,月別入力!$D:$D,設定!W$8,月別入力!$B:$B,設定!$B102)</f>
        <v>0</v>
      </c>
      <c r="X102" s="66">
        <f>SUMIFS(月別入力!$I:$I,月別入力!$E:$E,設定!$C102,月別入力!$D:$D,設定!X$8,月別入力!$B:$B,設定!$B102)</f>
        <v>0</v>
      </c>
    </row>
    <row r="103" spans="2:24" s="6" customFormat="1" ht="15" customHeight="1" x14ac:dyDescent="0.2">
      <c r="B103" s="201" t="str">
        <f t="shared" si="5"/>
        <v>&lt;=12</v>
      </c>
      <c r="C103" s="63"/>
      <c r="D103" s="68"/>
      <c r="E103" s="64"/>
      <c r="F103" s="69"/>
      <c r="G103" s="65">
        <f t="shared" si="4"/>
        <v>0</v>
      </c>
      <c r="H103" s="64">
        <f>SUMIFS(月別入力!$I:$I,月別入力!$E:$E,設定!$C103,月別入力!$D:$D,設定!H$8,月別入力!$B:$B,設定!$B103)</f>
        <v>0</v>
      </c>
      <c r="I103" s="64">
        <f>SUMIFS(月別入力!$I:$I,月別入力!$E:$E,設定!$C103,月別入力!$D:$D,設定!I$8,月別入力!$B:$B,設定!$B103)</f>
        <v>0</v>
      </c>
      <c r="J103" s="64">
        <f>SUMIFS(月別入力!$I:$I,月別入力!$E:$E,設定!$C103,月別入力!$D:$D,設定!J$8,月別入力!$B:$B,設定!$B103)</f>
        <v>0</v>
      </c>
      <c r="K103" s="64">
        <f>SUMIFS(月別入力!$I:$I,月別入力!$E:$E,設定!$C103,月別入力!$D:$D,設定!K$8,月別入力!$B:$B,設定!$B103)</f>
        <v>0</v>
      </c>
      <c r="L103" s="64">
        <f>SUMIFS(月別入力!$I:$I,月別入力!$E:$E,設定!$C103,月別入力!$D:$D,設定!L$8,月別入力!$B:$B,設定!$B103)</f>
        <v>0</v>
      </c>
      <c r="M103" s="64">
        <f>SUMIFS(月別入力!$I:$I,月別入力!$E:$E,設定!$C103,月別入力!$D:$D,設定!M$8,月別入力!$B:$B,設定!$B103)</f>
        <v>0</v>
      </c>
      <c r="N103" s="64">
        <f>SUMIFS(月別入力!$I:$I,月別入力!$E:$E,設定!$C103,月別入力!$D:$D,設定!N$8,月別入力!$B:$B,設定!$B103)</f>
        <v>0</v>
      </c>
      <c r="O103" s="64">
        <f>SUMIFS(月別入力!$I:$I,月別入力!$E:$E,設定!$C103,月別入力!$D:$D,設定!O$8,月別入力!$B:$B,設定!$B103)</f>
        <v>0</v>
      </c>
      <c r="P103" s="64">
        <f>SUMIFS(月別入力!$I:$I,月別入力!$E:$E,設定!$C103,月別入力!$D:$D,設定!P$8,月別入力!$B:$B,設定!$B103)</f>
        <v>0</v>
      </c>
      <c r="Q103" s="64">
        <f>SUMIFS(月別入力!$I:$I,月別入力!$E:$E,設定!$C103,月別入力!$D:$D,設定!Q$8,月別入力!$B:$B,設定!$B103)</f>
        <v>0</v>
      </c>
      <c r="R103" s="64">
        <f>SUMIFS(月別入力!$I:$I,月別入力!$E:$E,設定!$C103,月別入力!$D:$D,設定!R$8,月別入力!$B:$B,設定!$B103)</f>
        <v>0</v>
      </c>
      <c r="S103" s="64">
        <f>SUMIFS(月別入力!$I:$I,月別入力!$E:$E,設定!$C103,月別入力!$D:$D,設定!S$8,月別入力!$B:$B,設定!$B103)</f>
        <v>0</v>
      </c>
      <c r="T103" s="64">
        <f>SUMIFS(月別入力!$I:$I,月別入力!$E:$E,設定!$C103,月別入力!$D:$D,設定!T$8,月別入力!$B:$B,設定!$B103)</f>
        <v>0</v>
      </c>
      <c r="U103" s="175">
        <f>SUMIFS(月別入力!$I:$I,月別入力!$E:$E,設定!$C103,月別入力!$D:$D,設定!U$8,月別入力!$B:$B,設定!$B103)</f>
        <v>0</v>
      </c>
      <c r="V103" s="175">
        <f>SUMIFS(月別入力!$I:$I,月別入力!$E:$E,設定!$C103,月別入力!$D:$D,設定!V$8,月別入力!$B:$B,設定!$B103)</f>
        <v>0</v>
      </c>
      <c r="W103" s="175">
        <f>SUMIFS(月別入力!$I:$I,月別入力!$E:$E,設定!$C103,月別入力!$D:$D,設定!W$8,月別入力!$B:$B,設定!$B103)</f>
        <v>0</v>
      </c>
      <c r="X103" s="66">
        <f>SUMIFS(月別入力!$I:$I,月別入力!$E:$E,設定!$C103,月別入力!$D:$D,設定!X$8,月別入力!$B:$B,設定!$B103)</f>
        <v>0</v>
      </c>
    </row>
    <row r="104" spans="2:24" s="6" customFormat="1" ht="15" customHeight="1" x14ac:dyDescent="0.2">
      <c r="B104" s="201" t="str">
        <f t="shared" si="5"/>
        <v>&lt;=12</v>
      </c>
      <c r="C104" s="63"/>
      <c r="D104" s="68"/>
      <c r="E104" s="64"/>
      <c r="F104" s="69"/>
      <c r="G104" s="65">
        <f t="shared" si="4"/>
        <v>0</v>
      </c>
      <c r="H104" s="64">
        <f>SUMIFS(月別入力!$I:$I,月別入力!$E:$E,設定!$C104,月別入力!$D:$D,設定!H$8,月別入力!$B:$B,設定!$B104)</f>
        <v>0</v>
      </c>
      <c r="I104" s="64">
        <f>SUMIFS(月別入力!$I:$I,月別入力!$E:$E,設定!$C104,月別入力!$D:$D,設定!I$8,月別入力!$B:$B,設定!$B104)</f>
        <v>0</v>
      </c>
      <c r="J104" s="64">
        <f>SUMIFS(月別入力!$I:$I,月別入力!$E:$E,設定!$C104,月別入力!$D:$D,設定!J$8,月別入力!$B:$B,設定!$B104)</f>
        <v>0</v>
      </c>
      <c r="K104" s="64">
        <f>SUMIFS(月別入力!$I:$I,月別入力!$E:$E,設定!$C104,月別入力!$D:$D,設定!K$8,月別入力!$B:$B,設定!$B104)</f>
        <v>0</v>
      </c>
      <c r="L104" s="64">
        <f>SUMIFS(月別入力!$I:$I,月別入力!$E:$E,設定!$C104,月別入力!$D:$D,設定!L$8,月別入力!$B:$B,設定!$B104)</f>
        <v>0</v>
      </c>
      <c r="M104" s="64">
        <f>SUMIFS(月別入力!$I:$I,月別入力!$E:$E,設定!$C104,月別入力!$D:$D,設定!M$8,月別入力!$B:$B,設定!$B104)</f>
        <v>0</v>
      </c>
      <c r="N104" s="64">
        <f>SUMIFS(月別入力!$I:$I,月別入力!$E:$E,設定!$C104,月別入力!$D:$D,設定!N$8,月別入力!$B:$B,設定!$B104)</f>
        <v>0</v>
      </c>
      <c r="O104" s="64">
        <f>SUMIFS(月別入力!$I:$I,月別入力!$E:$E,設定!$C104,月別入力!$D:$D,設定!O$8,月別入力!$B:$B,設定!$B104)</f>
        <v>0</v>
      </c>
      <c r="P104" s="64">
        <f>SUMIFS(月別入力!$I:$I,月別入力!$E:$E,設定!$C104,月別入力!$D:$D,設定!P$8,月別入力!$B:$B,設定!$B104)</f>
        <v>0</v>
      </c>
      <c r="Q104" s="64">
        <f>SUMIFS(月別入力!$I:$I,月別入力!$E:$E,設定!$C104,月別入力!$D:$D,設定!Q$8,月別入力!$B:$B,設定!$B104)</f>
        <v>0</v>
      </c>
      <c r="R104" s="64">
        <f>SUMIFS(月別入力!$I:$I,月別入力!$E:$E,設定!$C104,月別入力!$D:$D,設定!R$8,月別入力!$B:$B,設定!$B104)</f>
        <v>0</v>
      </c>
      <c r="S104" s="64">
        <f>SUMIFS(月別入力!$I:$I,月別入力!$E:$E,設定!$C104,月別入力!$D:$D,設定!S$8,月別入力!$B:$B,設定!$B104)</f>
        <v>0</v>
      </c>
      <c r="T104" s="64">
        <f>SUMIFS(月別入力!$I:$I,月別入力!$E:$E,設定!$C104,月別入力!$D:$D,設定!T$8,月別入力!$B:$B,設定!$B104)</f>
        <v>0</v>
      </c>
      <c r="U104" s="175">
        <f>SUMIFS(月別入力!$I:$I,月別入力!$E:$E,設定!$C104,月別入力!$D:$D,設定!U$8,月別入力!$B:$B,設定!$B104)</f>
        <v>0</v>
      </c>
      <c r="V104" s="175">
        <f>SUMIFS(月別入力!$I:$I,月別入力!$E:$E,設定!$C104,月別入力!$D:$D,設定!V$8,月別入力!$B:$B,設定!$B104)</f>
        <v>0</v>
      </c>
      <c r="W104" s="175">
        <f>SUMIFS(月別入力!$I:$I,月別入力!$E:$E,設定!$C104,月別入力!$D:$D,設定!W$8,月別入力!$B:$B,設定!$B104)</f>
        <v>0</v>
      </c>
      <c r="X104" s="66">
        <f>SUMIFS(月別入力!$I:$I,月別入力!$E:$E,設定!$C104,月別入力!$D:$D,設定!X$8,月別入力!$B:$B,設定!$B104)</f>
        <v>0</v>
      </c>
    </row>
    <row r="105" spans="2:24" s="6" customFormat="1" ht="15" customHeight="1" x14ac:dyDescent="0.2">
      <c r="B105" s="201" t="str">
        <f t="shared" si="5"/>
        <v>&lt;=12</v>
      </c>
      <c r="C105" s="63"/>
      <c r="D105" s="68"/>
      <c r="E105" s="64"/>
      <c r="F105" s="69"/>
      <c r="G105" s="65">
        <f t="shared" si="4"/>
        <v>0</v>
      </c>
      <c r="H105" s="64">
        <f>SUMIFS(月別入力!$I:$I,月別入力!$E:$E,設定!$C105,月別入力!$D:$D,設定!H$8,月別入力!$B:$B,設定!$B105)</f>
        <v>0</v>
      </c>
      <c r="I105" s="64">
        <f>SUMIFS(月別入力!$I:$I,月別入力!$E:$E,設定!$C105,月別入力!$D:$D,設定!I$8,月別入力!$B:$B,設定!$B105)</f>
        <v>0</v>
      </c>
      <c r="J105" s="64">
        <f>SUMIFS(月別入力!$I:$I,月別入力!$E:$E,設定!$C105,月別入力!$D:$D,設定!J$8,月別入力!$B:$B,設定!$B105)</f>
        <v>0</v>
      </c>
      <c r="K105" s="64">
        <f>SUMIFS(月別入力!$I:$I,月別入力!$E:$E,設定!$C105,月別入力!$D:$D,設定!K$8,月別入力!$B:$B,設定!$B105)</f>
        <v>0</v>
      </c>
      <c r="L105" s="64">
        <f>SUMIFS(月別入力!$I:$I,月別入力!$E:$E,設定!$C105,月別入力!$D:$D,設定!L$8,月別入力!$B:$B,設定!$B105)</f>
        <v>0</v>
      </c>
      <c r="M105" s="64">
        <f>SUMIFS(月別入力!$I:$I,月別入力!$E:$E,設定!$C105,月別入力!$D:$D,設定!M$8,月別入力!$B:$B,設定!$B105)</f>
        <v>0</v>
      </c>
      <c r="N105" s="64">
        <f>SUMIFS(月別入力!$I:$I,月別入力!$E:$E,設定!$C105,月別入力!$D:$D,設定!N$8,月別入力!$B:$B,設定!$B105)</f>
        <v>0</v>
      </c>
      <c r="O105" s="64">
        <f>SUMIFS(月別入力!$I:$I,月別入力!$E:$E,設定!$C105,月別入力!$D:$D,設定!O$8,月別入力!$B:$B,設定!$B105)</f>
        <v>0</v>
      </c>
      <c r="P105" s="64">
        <f>SUMIFS(月別入力!$I:$I,月別入力!$E:$E,設定!$C105,月別入力!$D:$D,設定!P$8,月別入力!$B:$B,設定!$B105)</f>
        <v>0</v>
      </c>
      <c r="Q105" s="64">
        <f>SUMIFS(月別入力!$I:$I,月別入力!$E:$E,設定!$C105,月別入力!$D:$D,設定!Q$8,月別入力!$B:$B,設定!$B105)</f>
        <v>0</v>
      </c>
      <c r="R105" s="64">
        <f>SUMIFS(月別入力!$I:$I,月別入力!$E:$E,設定!$C105,月別入力!$D:$D,設定!R$8,月別入力!$B:$B,設定!$B105)</f>
        <v>0</v>
      </c>
      <c r="S105" s="64">
        <f>SUMIFS(月別入力!$I:$I,月別入力!$E:$E,設定!$C105,月別入力!$D:$D,設定!S$8,月別入力!$B:$B,設定!$B105)</f>
        <v>0</v>
      </c>
      <c r="T105" s="64">
        <f>SUMIFS(月別入力!$I:$I,月別入力!$E:$E,設定!$C105,月別入力!$D:$D,設定!T$8,月別入力!$B:$B,設定!$B105)</f>
        <v>0</v>
      </c>
      <c r="U105" s="175">
        <f>SUMIFS(月別入力!$I:$I,月別入力!$E:$E,設定!$C105,月別入力!$D:$D,設定!U$8,月別入力!$B:$B,設定!$B105)</f>
        <v>0</v>
      </c>
      <c r="V105" s="175">
        <f>SUMIFS(月別入力!$I:$I,月別入力!$E:$E,設定!$C105,月別入力!$D:$D,設定!V$8,月別入力!$B:$B,設定!$B105)</f>
        <v>0</v>
      </c>
      <c r="W105" s="175">
        <f>SUMIFS(月別入力!$I:$I,月別入力!$E:$E,設定!$C105,月別入力!$D:$D,設定!W$8,月別入力!$B:$B,設定!$B105)</f>
        <v>0</v>
      </c>
      <c r="X105" s="66">
        <f>SUMIFS(月別入力!$I:$I,月別入力!$E:$E,設定!$C105,月別入力!$D:$D,設定!X$8,月別入力!$B:$B,設定!$B105)</f>
        <v>0</v>
      </c>
    </row>
    <row r="106" spans="2:24" s="6" customFormat="1" ht="15" customHeight="1" x14ac:dyDescent="0.2">
      <c r="B106" s="201" t="str">
        <f t="shared" si="5"/>
        <v>&lt;=12</v>
      </c>
      <c r="C106" s="63"/>
      <c r="D106" s="68"/>
      <c r="E106" s="64"/>
      <c r="F106" s="69"/>
      <c r="G106" s="65">
        <f t="shared" si="4"/>
        <v>0</v>
      </c>
      <c r="H106" s="64">
        <f>SUMIFS(月別入力!$I:$I,月別入力!$E:$E,設定!$C106,月別入力!$D:$D,設定!H$8,月別入力!$B:$B,設定!$B106)</f>
        <v>0</v>
      </c>
      <c r="I106" s="64">
        <f>SUMIFS(月別入力!$I:$I,月別入力!$E:$E,設定!$C106,月別入力!$D:$D,設定!I$8,月別入力!$B:$B,設定!$B106)</f>
        <v>0</v>
      </c>
      <c r="J106" s="64">
        <f>SUMIFS(月別入力!$I:$I,月別入力!$E:$E,設定!$C106,月別入力!$D:$D,設定!J$8,月別入力!$B:$B,設定!$B106)</f>
        <v>0</v>
      </c>
      <c r="K106" s="64">
        <f>SUMIFS(月別入力!$I:$I,月別入力!$E:$E,設定!$C106,月別入力!$D:$D,設定!K$8,月別入力!$B:$B,設定!$B106)</f>
        <v>0</v>
      </c>
      <c r="L106" s="64">
        <f>SUMIFS(月別入力!$I:$I,月別入力!$E:$E,設定!$C106,月別入力!$D:$D,設定!L$8,月別入力!$B:$B,設定!$B106)</f>
        <v>0</v>
      </c>
      <c r="M106" s="64">
        <f>SUMIFS(月別入力!$I:$I,月別入力!$E:$E,設定!$C106,月別入力!$D:$D,設定!M$8,月別入力!$B:$B,設定!$B106)</f>
        <v>0</v>
      </c>
      <c r="N106" s="64">
        <f>SUMIFS(月別入力!$I:$I,月別入力!$E:$E,設定!$C106,月別入力!$D:$D,設定!N$8,月別入力!$B:$B,設定!$B106)</f>
        <v>0</v>
      </c>
      <c r="O106" s="64">
        <f>SUMIFS(月別入力!$I:$I,月別入力!$E:$E,設定!$C106,月別入力!$D:$D,設定!O$8,月別入力!$B:$B,設定!$B106)</f>
        <v>0</v>
      </c>
      <c r="P106" s="64">
        <f>SUMIFS(月別入力!$I:$I,月別入力!$E:$E,設定!$C106,月別入力!$D:$D,設定!P$8,月別入力!$B:$B,設定!$B106)</f>
        <v>0</v>
      </c>
      <c r="Q106" s="64">
        <f>SUMIFS(月別入力!$I:$I,月別入力!$E:$E,設定!$C106,月別入力!$D:$D,設定!Q$8,月別入力!$B:$B,設定!$B106)</f>
        <v>0</v>
      </c>
      <c r="R106" s="64">
        <f>SUMIFS(月別入力!$I:$I,月別入力!$E:$E,設定!$C106,月別入力!$D:$D,設定!R$8,月別入力!$B:$B,設定!$B106)</f>
        <v>0</v>
      </c>
      <c r="S106" s="64">
        <f>SUMIFS(月別入力!$I:$I,月別入力!$E:$E,設定!$C106,月別入力!$D:$D,設定!S$8,月別入力!$B:$B,設定!$B106)</f>
        <v>0</v>
      </c>
      <c r="T106" s="64">
        <f>SUMIFS(月別入力!$I:$I,月別入力!$E:$E,設定!$C106,月別入力!$D:$D,設定!T$8,月別入力!$B:$B,設定!$B106)</f>
        <v>0</v>
      </c>
      <c r="U106" s="175">
        <f>SUMIFS(月別入力!$I:$I,月別入力!$E:$E,設定!$C106,月別入力!$D:$D,設定!U$8,月別入力!$B:$B,設定!$B106)</f>
        <v>0</v>
      </c>
      <c r="V106" s="175">
        <f>SUMIFS(月別入力!$I:$I,月別入力!$E:$E,設定!$C106,月別入力!$D:$D,設定!V$8,月別入力!$B:$B,設定!$B106)</f>
        <v>0</v>
      </c>
      <c r="W106" s="175">
        <f>SUMIFS(月別入力!$I:$I,月別入力!$E:$E,設定!$C106,月別入力!$D:$D,設定!W$8,月別入力!$B:$B,設定!$B106)</f>
        <v>0</v>
      </c>
      <c r="X106" s="66">
        <f>SUMIFS(月別入力!$I:$I,月別入力!$E:$E,設定!$C106,月別入力!$D:$D,設定!X$8,月別入力!$B:$B,設定!$B106)</f>
        <v>0</v>
      </c>
    </row>
    <row r="107" spans="2:24" s="6" customFormat="1" ht="15" customHeight="1" x14ac:dyDescent="0.2">
      <c r="B107" s="201" t="str">
        <f t="shared" si="5"/>
        <v>&lt;=12</v>
      </c>
      <c r="C107" s="63"/>
      <c r="D107" s="68"/>
      <c r="E107" s="64"/>
      <c r="F107" s="69"/>
      <c r="G107" s="65">
        <f t="shared" si="4"/>
        <v>0</v>
      </c>
      <c r="H107" s="64">
        <f>SUMIFS(月別入力!$I:$I,月別入力!$E:$E,設定!$C107,月別入力!$D:$D,設定!H$8,月別入力!$B:$B,設定!$B107)</f>
        <v>0</v>
      </c>
      <c r="I107" s="64">
        <f>SUMIFS(月別入力!$I:$I,月別入力!$E:$E,設定!$C107,月別入力!$D:$D,設定!I$8,月別入力!$B:$B,設定!$B107)</f>
        <v>0</v>
      </c>
      <c r="J107" s="64">
        <f>SUMIFS(月別入力!$I:$I,月別入力!$E:$E,設定!$C107,月別入力!$D:$D,設定!J$8,月別入力!$B:$B,設定!$B107)</f>
        <v>0</v>
      </c>
      <c r="K107" s="64">
        <f>SUMIFS(月別入力!$I:$I,月別入力!$E:$E,設定!$C107,月別入力!$D:$D,設定!K$8,月別入力!$B:$B,設定!$B107)</f>
        <v>0</v>
      </c>
      <c r="L107" s="64">
        <f>SUMIFS(月別入力!$I:$I,月別入力!$E:$E,設定!$C107,月別入力!$D:$D,設定!L$8,月別入力!$B:$B,設定!$B107)</f>
        <v>0</v>
      </c>
      <c r="M107" s="64">
        <f>SUMIFS(月別入力!$I:$I,月別入力!$E:$E,設定!$C107,月別入力!$D:$D,設定!M$8,月別入力!$B:$B,設定!$B107)</f>
        <v>0</v>
      </c>
      <c r="N107" s="64">
        <f>SUMIFS(月別入力!$I:$I,月別入力!$E:$E,設定!$C107,月別入力!$D:$D,設定!N$8,月別入力!$B:$B,設定!$B107)</f>
        <v>0</v>
      </c>
      <c r="O107" s="64">
        <f>SUMIFS(月別入力!$I:$I,月別入力!$E:$E,設定!$C107,月別入力!$D:$D,設定!O$8,月別入力!$B:$B,設定!$B107)</f>
        <v>0</v>
      </c>
      <c r="P107" s="64">
        <f>SUMIFS(月別入力!$I:$I,月別入力!$E:$E,設定!$C107,月別入力!$D:$D,設定!P$8,月別入力!$B:$B,設定!$B107)</f>
        <v>0</v>
      </c>
      <c r="Q107" s="64">
        <f>SUMIFS(月別入力!$I:$I,月別入力!$E:$E,設定!$C107,月別入力!$D:$D,設定!Q$8,月別入力!$B:$B,設定!$B107)</f>
        <v>0</v>
      </c>
      <c r="R107" s="64">
        <f>SUMIFS(月別入力!$I:$I,月別入力!$E:$E,設定!$C107,月別入力!$D:$D,設定!R$8,月別入力!$B:$B,設定!$B107)</f>
        <v>0</v>
      </c>
      <c r="S107" s="64">
        <f>SUMIFS(月別入力!$I:$I,月別入力!$E:$E,設定!$C107,月別入力!$D:$D,設定!S$8,月別入力!$B:$B,設定!$B107)</f>
        <v>0</v>
      </c>
      <c r="T107" s="64">
        <f>SUMIFS(月別入力!$I:$I,月別入力!$E:$E,設定!$C107,月別入力!$D:$D,設定!T$8,月別入力!$B:$B,設定!$B107)</f>
        <v>0</v>
      </c>
      <c r="U107" s="175">
        <f>SUMIFS(月別入力!$I:$I,月別入力!$E:$E,設定!$C107,月別入力!$D:$D,設定!U$8,月別入力!$B:$B,設定!$B107)</f>
        <v>0</v>
      </c>
      <c r="V107" s="175">
        <f>SUMIFS(月別入力!$I:$I,月別入力!$E:$E,設定!$C107,月別入力!$D:$D,設定!V$8,月別入力!$B:$B,設定!$B107)</f>
        <v>0</v>
      </c>
      <c r="W107" s="175">
        <f>SUMIFS(月別入力!$I:$I,月別入力!$E:$E,設定!$C107,月別入力!$D:$D,設定!W$8,月別入力!$B:$B,設定!$B107)</f>
        <v>0</v>
      </c>
      <c r="X107" s="66">
        <f>SUMIFS(月別入力!$I:$I,月別入力!$E:$E,設定!$C107,月別入力!$D:$D,設定!X$8,月別入力!$B:$B,設定!$B107)</f>
        <v>0</v>
      </c>
    </row>
    <row r="108" spans="2:24" s="6" customFormat="1" ht="15" customHeight="1" x14ac:dyDescent="0.2">
      <c r="B108" s="201" t="str">
        <f t="shared" si="5"/>
        <v>&lt;=12</v>
      </c>
      <c r="C108" s="63"/>
      <c r="D108" s="68"/>
      <c r="E108" s="64"/>
      <c r="F108" s="69"/>
      <c r="G108" s="65">
        <f t="shared" si="4"/>
        <v>0</v>
      </c>
      <c r="H108" s="64">
        <f>SUMIFS(月別入力!$I:$I,月別入力!$E:$E,設定!$C108,月別入力!$D:$D,設定!H$8,月別入力!$B:$B,設定!$B108)</f>
        <v>0</v>
      </c>
      <c r="I108" s="64">
        <f>SUMIFS(月別入力!$I:$I,月別入力!$E:$E,設定!$C108,月別入力!$D:$D,設定!I$8,月別入力!$B:$B,設定!$B108)</f>
        <v>0</v>
      </c>
      <c r="J108" s="64">
        <f>SUMIFS(月別入力!$I:$I,月別入力!$E:$E,設定!$C108,月別入力!$D:$D,設定!J$8,月別入力!$B:$B,設定!$B108)</f>
        <v>0</v>
      </c>
      <c r="K108" s="64">
        <f>SUMIFS(月別入力!$I:$I,月別入力!$E:$E,設定!$C108,月別入力!$D:$D,設定!K$8,月別入力!$B:$B,設定!$B108)</f>
        <v>0</v>
      </c>
      <c r="L108" s="64">
        <f>SUMIFS(月別入力!$I:$I,月別入力!$E:$E,設定!$C108,月別入力!$D:$D,設定!L$8,月別入力!$B:$B,設定!$B108)</f>
        <v>0</v>
      </c>
      <c r="M108" s="64">
        <f>SUMIFS(月別入力!$I:$I,月別入力!$E:$E,設定!$C108,月別入力!$D:$D,設定!M$8,月別入力!$B:$B,設定!$B108)</f>
        <v>0</v>
      </c>
      <c r="N108" s="64">
        <f>SUMIFS(月別入力!$I:$I,月別入力!$E:$E,設定!$C108,月別入力!$D:$D,設定!N$8,月別入力!$B:$B,設定!$B108)</f>
        <v>0</v>
      </c>
      <c r="O108" s="64">
        <f>SUMIFS(月別入力!$I:$I,月別入力!$E:$E,設定!$C108,月別入力!$D:$D,設定!O$8,月別入力!$B:$B,設定!$B108)</f>
        <v>0</v>
      </c>
      <c r="P108" s="64">
        <f>SUMIFS(月別入力!$I:$I,月別入力!$E:$E,設定!$C108,月別入力!$D:$D,設定!P$8,月別入力!$B:$B,設定!$B108)</f>
        <v>0</v>
      </c>
      <c r="Q108" s="64">
        <f>SUMIFS(月別入力!$I:$I,月別入力!$E:$E,設定!$C108,月別入力!$D:$D,設定!Q$8,月別入力!$B:$B,設定!$B108)</f>
        <v>0</v>
      </c>
      <c r="R108" s="64">
        <f>SUMIFS(月別入力!$I:$I,月別入力!$E:$E,設定!$C108,月別入力!$D:$D,設定!R$8,月別入力!$B:$B,設定!$B108)</f>
        <v>0</v>
      </c>
      <c r="S108" s="64">
        <f>SUMIFS(月別入力!$I:$I,月別入力!$E:$E,設定!$C108,月別入力!$D:$D,設定!S$8,月別入力!$B:$B,設定!$B108)</f>
        <v>0</v>
      </c>
      <c r="T108" s="64">
        <f>SUMIFS(月別入力!$I:$I,月別入力!$E:$E,設定!$C108,月別入力!$D:$D,設定!T$8,月別入力!$B:$B,設定!$B108)</f>
        <v>0</v>
      </c>
      <c r="U108" s="175">
        <f>SUMIFS(月別入力!$I:$I,月別入力!$E:$E,設定!$C108,月別入力!$D:$D,設定!U$8,月別入力!$B:$B,設定!$B108)</f>
        <v>0</v>
      </c>
      <c r="V108" s="175">
        <f>SUMIFS(月別入力!$I:$I,月別入力!$E:$E,設定!$C108,月別入力!$D:$D,設定!V$8,月別入力!$B:$B,設定!$B108)</f>
        <v>0</v>
      </c>
      <c r="W108" s="175">
        <f>SUMIFS(月別入力!$I:$I,月別入力!$E:$E,設定!$C108,月別入力!$D:$D,設定!W$8,月別入力!$B:$B,設定!$B108)</f>
        <v>0</v>
      </c>
      <c r="X108" s="66">
        <f>SUMIFS(月別入力!$I:$I,月別入力!$E:$E,設定!$C108,月別入力!$D:$D,設定!X$8,月別入力!$B:$B,設定!$B108)</f>
        <v>0</v>
      </c>
    </row>
    <row r="109" spans="2:24" s="6" customFormat="1" ht="15" customHeight="1" thickBot="1" x14ac:dyDescent="0.25">
      <c r="B109" s="201" t="str">
        <f t="shared" si="5"/>
        <v>&lt;=12</v>
      </c>
      <c r="C109" s="70"/>
      <c r="D109" s="71"/>
      <c r="E109" s="72"/>
      <c r="F109" s="73"/>
      <c r="G109" s="74">
        <f t="shared" si="4"/>
        <v>0</v>
      </c>
      <c r="H109" s="72">
        <f>SUMIFS(月別入力!$I:$I,月別入力!$E:$E,設定!$C109,月別入力!$D:$D,設定!H$8,月別入力!$B:$B,設定!$B109)</f>
        <v>0</v>
      </c>
      <c r="I109" s="72">
        <f>SUMIFS(月別入力!$I:$I,月別入力!$E:$E,設定!$C109,月別入力!$D:$D,設定!I$8,月別入力!$B:$B,設定!$B109)</f>
        <v>0</v>
      </c>
      <c r="J109" s="72">
        <f>SUMIFS(月別入力!$I:$I,月別入力!$E:$E,設定!$C109,月別入力!$D:$D,設定!J$8,月別入力!$B:$B,設定!$B109)</f>
        <v>0</v>
      </c>
      <c r="K109" s="72">
        <f>SUMIFS(月別入力!$I:$I,月別入力!$E:$E,設定!$C109,月別入力!$D:$D,設定!K$8,月別入力!$B:$B,設定!$B109)</f>
        <v>0</v>
      </c>
      <c r="L109" s="72">
        <f>SUMIFS(月別入力!$I:$I,月別入力!$E:$E,設定!$C109,月別入力!$D:$D,設定!L$8,月別入力!$B:$B,設定!$B109)</f>
        <v>0</v>
      </c>
      <c r="M109" s="72">
        <f>SUMIFS(月別入力!$I:$I,月別入力!$E:$E,設定!$C109,月別入力!$D:$D,設定!M$8,月別入力!$B:$B,設定!$B109)</f>
        <v>0</v>
      </c>
      <c r="N109" s="72">
        <f>SUMIFS(月別入力!$I:$I,月別入力!$E:$E,設定!$C109,月別入力!$D:$D,設定!N$8,月別入力!$B:$B,設定!$B109)</f>
        <v>0</v>
      </c>
      <c r="O109" s="72">
        <f>SUMIFS(月別入力!$I:$I,月別入力!$E:$E,設定!$C109,月別入力!$D:$D,設定!O$8,月別入力!$B:$B,設定!$B109)</f>
        <v>0</v>
      </c>
      <c r="P109" s="72">
        <f>SUMIFS(月別入力!$I:$I,月別入力!$E:$E,設定!$C109,月別入力!$D:$D,設定!P$8,月別入力!$B:$B,設定!$B109)</f>
        <v>0</v>
      </c>
      <c r="Q109" s="72">
        <f>SUMIFS(月別入力!$I:$I,月別入力!$E:$E,設定!$C109,月別入力!$D:$D,設定!Q$8,月別入力!$B:$B,設定!$B109)</f>
        <v>0</v>
      </c>
      <c r="R109" s="72">
        <f>SUMIFS(月別入力!$I:$I,月別入力!$E:$E,設定!$C109,月別入力!$D:$D,設定!R$8,月別入力!$B:$B,設定!$B109)</f>
        <v>0</v>
      </c>
      <c r="S109" s="72">
        <f>SUMIFS(月別入力!$I:$I,月別入力!$E:$E,設定!$C109,月別入力!$D:$D,設定!S$8,月別入力!$B:$B,設定!$B109)</f>
        <v>0</v>
      </c>
      <c r="T109" s="72">
        <f>SUMIFS(月別入力!$I:$I,月別入力!$E:$E,設定!$C109,月別入力!$D:$D,設定!T$8,月別入力!$B:$B,設定!$B109)</f>
        <v>0</v>
      </c>
      <c r="U109" s="176">
        <f>SUMIFS(月別入力!$I:$I,月別入力!$E:$E,設定!$C109,月別入力!$D:$D,設定!U$8,月別入力!$B:$B,設定!$B109)</f>
        <v>0</v>
      </c>
      <c r="V109" s="176">
        <f>SUMIFS(月別入力!$I:$I,月別入力!$E:$E,設定!$C109,月別入力!$D:$D,設定!V$8,月別入力!$B:$B,設定!$B109)</f>
        <v>0</v>
      </c>
      <c r="W109" s="176">
        <f>SUMIFS(月別入力!$I:$I,月別入力!$E:$E,設定!$C109,月別入力!$D:$D,設定!W$8,月別入力!$B:$B,設定!$B109)</f>
        <v>0</v>
      </c>
      <c r="X109" s="75">
        <f>SUMIFS(月別入力!$I:$I,月別入力!$E:$E,設定!$C109,月別入力!$D:$D,設定!X$8,月別入力!$B:$B,設定!$B109)</f>
        <v>0</v>
      </c>
    </row>
    <row r="110" spans="2:24" ht="15" customHeight="1" x14ac:dyDescent="0.2"/>
    <row r="111" spans="2:24" ht="22.5" customHeight="1" x14ac:dyDescent="0.2"/>
    <row r="112" spans="2:24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  <row r="509" ht="22.5" customHeight="1" x14ac:dyDescent="0.2"/>
    <row r="510" ht="22.5" customHeight="1" x14ac:dyDescent="0.2"/>
    <row r="511" ht="22.5" customHeight="1" x14ac:dyDescent="0.2"/>
    <row r="512" ht="22.5" customHeight="1" x14ac:dyDescent="0.2"/>
    <row r="513" ht="22.5" customHeight="1" x14ac:dyDescent="0.2"/>
    <row r="514" ht="22.5" customHeight="1" x14ac:dyDescent="0.2"/>
    <row r="515" ht="22.5" customHeight="1" x14ac:dyDescent="0.2"/>
    <row r="516" ht="22.5" customHeight="1" x14ac:dyDescent="0.2"/>
    <row r="517" ht="22.5" customHeight="1" x14ac:dyDescent="0.2"/>
    <row r="518" ht="22.5" customHeight="1" x14ac:dyDescent="0.2"/>
    <row r="519" ht="22.5" customHeight="1" x14ac:dyDescent="0.2"/>
    <row r="520" ht="22.5" customHeight="1" x14ac:dyDescent="0.2"/>
    <row r="521" ht="22.5" customHeight="1" x14ac:dyDescent="0.2"/>
    <row r="522" ht="22.5" customHeight="1" x14ac:dyDescent="0.2"/>
    <row r="523" ht="22.5" customHeight="1" x14ac:dyDescent="0.2"/>
    <row r="524" ht="22.5" customHeight="1" x14ac:dyDescent="0.2"/>
    <row r="525" ht="22.5" customHeight="1" x14ac:dyDescent="0.2"/>
    <row r="526" ht="22.5" customHeight="1" x14ac:dyDescent="0.2"/>
    <row r="527" ht="22.5" customHeight="1" x14ac:dyDescent="0.2"/>
    <row r="528" ht="22.5" customHeight="1" x14ac:dyDescent="0.2"/>
    <row r="529" ht="22.5" customHeight="1" x14ac:dyDescent="0.2"/>
    <row r="530" ht="22.5" customHeight="1" x14ac:dyDescent="0.2"/>
    <row r="531" ht="22.5" customHeight="1" x14ac:dyDescent="0.2"/>
    <row r="532" ht="22.5" customHeight="1" x14ac:dyDescent="0.2"/>
    <row r="533" ht="22.5" customHeight="1" x14ac:dyDescent="0.2"/>
    <row r="534" ht="22.5" customHeight="1" x14ac:dyDescent="0.2"/>
    <row r="535" ht="22.5" customHeight="1" x14ac:dyDescent="0.2"/>
    <row r="536" ht="22.5" customHeight="1" x14ac:dyDescent="0.2"/>
    <row r="537" ht="22.5" customHeight="1" x14ac:dyDescent="0.2"/>
    <row r="538" ht="22.5" customHeight="1" x14ac:dyDescent="0.2"/>
    <row r="539" ht="22.5" customHeight="1" x14ac:dyDescent="0.2"/>
    <row r="540" ht="22.5" customHeight="1" x14ac:dyDescent="0.2"/>
    <row r="541" ht="22.5" customHeight="1" x14ac:dyDescent="0.2"/>
    <row r="542" ht="22.5" customHeight="1" x14ac:dyDescent="0.2"/>
    <row r="543" ht="22.5" customHeight="1" x14ac:dyDescent="0.2"/>
    <row r="544" ht="22.5" customHeight="1" x14ac:dyDescent="0.2"/>
    <row r="545" ht="22.5" customHeight="1" x14ac:dyDescent="0.2"/>
    <row r="546" ht="22.5" customHeight="1" x14ac:dyDescent="0.2"/>
    <row r="547" ht="22.5" customHeight="1" x14ac:dyDescent="0.2"/>
    <row r="548" ht="22.5" customHeight="1" x14ac:dyDescent="0.2"/>
    <row r="549" ht="22.5" customHeight="1" x14ac:dyDescent="0.2"/>
    <row r="550" ht="22.5" customHeight="1" x14ac:dyDescent="0.2"/>
    <row r="551" ht="22.5" customHeight="1" x14ac:dyDescent="0.2"/>
    <row r="552" ht="22.5" customHeight="1" x14ac:dyDescent="0.2"/>
    <row r="553" ht="22.5" customHeight="1" x14ac:dyDescent="0.2"/>
    <row r="554" ht="22.5" customHeight="1" x14ac:dyDescent="0.2"/>
    <row r="555" ht="22.5" customHeight="1" x14ac:dyDescent="0.2"/>
    <row r="556" ht="22.5" customHeight="1" x14ac:dyDescent="0.2"/>
    <row r="557" ht="22.5" customHeight="1" x14ac:dyDescent="0.2"/>
    <row r="558" ht="22.5" customHeight="1" x14ac:dyDescent="0.2"/>
    <row r="559" ht="22.5" customHeight="1" x14ac:dyDescent="0.2"/>
    <row r="560" ht="22.5" customHeight="1" x14ac:dyDescent="0.2"/>
    <row r="561" ht="22.5" customHeight="1" x14ac:dyDescent="0.2"/>
    <row r="562" ht="22.5" customHeight="1" x14ac:dyDescent="0.2"/>
    <row r="563" ht="22.5" customHeight="1" x14ac:dyDescent="0.2"/>
    <row r="564" ht="22.5" customHeight="1" x14ac:dyDescent="0.2"/>
    <row r="565" ht="22.5" customHeight="1" x14ac:dyDescent="0.2"/>
    <row r="566" ht="22.5" customHeight="1" x14ac:dyDescent="0.2"/>
    <row r="567" ht="22.5" customHeight="1" x14ac:dyDescent="0.2"/>
    <row r="568" ht="22.5" customHeight="1" x14ac:dyDescent="0.2"/>
    <row r="569" ht="22.5" customHeight="1" x14ac:dyDescent="0.2"/>
    <row r="570" ht="22.5" customHeight="1" x14ac:dyDescent="0.2"/>
    <row r="571" ht="22.5" customHeight="1" x14ac:dyDescent="0.2"/>
  </sheetData>
  <autoFilter ref="B9:X9" xr:uid="{811C0B3F-0D54-4F84-8E2A-9F3B73380BC0}"/>
  <mergeCells count="7">
    <mergeCell ref="C5:F5"/>
    <mergeCell ref="G5:X5"/>
    <mergeCell ref="C1:X1"/>
    <mergeCell ref="B2:C2"/>
    <mergeCell ref="B3:C3"/>
    <mergeCell ref="D2:E2"/>
    <mergeCell ref="D3:E3"/>
  </mergeCells>
  <phoneticPr fontId="2"/>
  <conditionalFormatting sqref="Z10:Z18 Z109">
    <cfRule type="expression" dxfId="1" priority="1">
      <formula>#REF!&lt;&gt;Z31</formula>
    </cfRule>
  </conditionalFormatting>
  <conditionalFormatting sqref="Z19:Z108">
    <cfRule type="expression" dxfId="0" priority="2">
      <formula>#REF!&lt;&gt;Z109</formula>
    </cfRule>
  </conditionalFormatting>
  <dataValidations count="2">
    <dataValidation type="list" allowBlank="1" showInputMessage="1" showErrorMessage="1" sqref="B10" xr:uid="{4330660B-FB99-4B96-BEA2-69A45591C136}">
      <formula1>"&lt;=12,1,2,3,4,5,6,7,8,9,10,11,12"</formula1>
    </dataValidation>
    <dataValidation type="list" allowBlank="1" showInputMessage="1" showErrorMessage="1" sqref="F10:F109" xr:uid="{617232CE-397D-48A9-BE7D-35BE6B271EEA}">
      <formula1>INDIRECT($D$3)</formula1>
    </dataValidation>
  </dataValidations>
  <pageMargins left="0.19685039370078741" right="0.19685039370078741" top="0.31496062992125984" bottom="0.19685039370078741" header="0" footer="0.27559055118110237"/>
  <pageSetup paperSize="9" scale="85" fitToHeight="4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1299CC4-A4BC-4D02-BDE7-77D623EAEECC}">
          <x14:formula1>
            <xm:f>リスト!$C$2:$C$3</xm:f>
          </x14:formula1>
          <xm:sqref>D10:D109</xm:sqref>
        </x14:dataValidation>
        <x14:dataValidation type="list" allowBlank="1" showInputMessage="1" showErrorMessage="1" xr:uid="{04D5D771-CF67-42EB-AB93-1B273DAB01BD}">
          <x14:formula1>
            <xm:f>リスト!$B$2:$B$13</xm:f>
          </x14:formula1>
          <xm:sqref>F3</xm:sqref>
        </x14:dataValidation>
        <x14:dataValidation type="list" allowBlank="1" showInputMessage="1" showErrorMessage="1" xr:uid="{747DAEC9-9AB0-41D7-887B-933623BDDB02}">
          <x14:formula1>
            <xm:f>リスト!$A$2:$A$3</xm:f>
          </x14:formula1>
          <xm:sqref>D3:E3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8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defaultColWidth="1.21875" defaultRowHeight="7.5" customHeight="1" x14ac:dyDescent="0.2"/>
  <cols>
    <col min="1" max="1" width="1" style="1" customWidth="1"/>
    <col min="2" max="2" width="3.77734375" style="1" customWidth="1"/>
    <col min="3" max="4" width="24.77734375" style="1" customWidth="1"/>
    <col min="5" max="5" width="12.77734375" style="1" customWidth="1"/>
    <col min="6" max="7" width="6.77734375" style="4" customWidth="1"/>
    <col min="8" max="8" width="12.77734375" style="4" customWidth="1"/>
    <col min="9" max="9" width="12.77734375" style="1" customWidth="1"/>
    <col min="10" max="10" width="0.88671875" style="1" customWidth="1"/>
    <col min="11" max="16384" width="1.21875" style="1"/>
  </cols>
  <sheetData>
    <row r="1" spans="2:9" ht="24" customHeight="1" x14ac:dyDescent="0.2">
      <c r="B1" s="339" t="s">
        <v>119</v>
      </c>
      <c r="C1" s="339"/>
      <c r="D1" s="339"/>
      <c r="E1" s="339"/>
      <c r="F1" s="339"/>
      <c r="G1" s="339"/>
      <c r="H1" s="339"/>
      <c r="I1" s="339"/>
    </row>
    <row r="2" spans="2:9" ht="15" customHeight="1" x14ac:dyDescent="0.2">
      <c r="B2" s="346" t="s">
        <v>190</v>
      </c>
      <c r="C2" s="347"/>
      <c r="D2" s="348"/>
      <c r="I2" s="7"/>
    </row>
    <row r="3" spans="2:9" ht="24" customHeight="1" x14ac:dyDescent="0.2">
      <c r="B3" s="353">
        <f>設定!B3</f>
        <v>0</v>
      </c>
      <c r="C3" s="354"/>
      <c r="D3" s="355"/>
    </row>
    <row r="4" spans="2:9" ht="7.5" customHeight="1" thickBot="1" x14ac:dyDescent="0.25">
      <c r="E4" s="4"/>
    </row>
    <row r="5" spans="2:9" s="6" customFormat="1" ht="15" customHeight="1" x14ac:dyDescent="0.2">
      <c r="B5" s="358" t="s">
        <v>11</v>
      </c>
      <c r="C5" s="349" t="s">
        <v>39</v>
      </c>
      <c r="D5" s="356" t="s">
        <v>40</v>
      </c>
      <c r="E5" s="360" t="s">
        <v>101</v>
      </c>
      <c r="F5" s="351" t="s">
        <v>41</v>
      </c>
      <c r="G5" s="351" t="s">
        <v>42</v>
      </c>
      <c r="H5" s="351" t="s">
        <v>43</v>
      </c>
      <c r="I5" s="362" t="s">
        <v>44</v>
      </c>
    </row>
    <row r="6" spans="2:9" s="6" customFormat="1" ht="15" customHeight="1" thickBot="1" x14ac:dyDescent="0.25">
      <c r="B6" s="359"/>
      <c r="C6" s="350"/>
      <c r="D6" s="357"/>
      <c r="E6" s="361"/>
      <c r="F6" s="352"/>
      <c r="G6" s="352"/>
      <c r="H6" s="352"/>
      <c r="I6" s="363"/>
    </row>
    <row r="7" spans="2:9" s="6" customFormat="1" ht="24" customHeight="1" x14ac:dyDescent="0.2">
      <c r="B7" s="10"/>
      <c r="C7" s="32"/>
      <c r="D7" s="30"/>
      <c r="E7" s="8"/>
      <c r="F7" s="13" t="str">
        <f>IFERROR(VLOOKUP($E7,設定!$C:$F,2,0),"")</f>
        <v/>
      </c>
      <c r="G7" s="13" t="str">
        <f>IFERROR(VLOOKUP($E7,設定!$C:$F,3,0),"")</f>
        <v/>
      </c>
      <c r="H7" s="32" t="str">
        <f>IFERROR(VLOOKUP($E7,設定!$C:$F,4,0),"")</f>
        <v/>
      </c>
      <c r="I7" s="332"/>
    </row>
    <row r="8" spans="2:9" s="6" customFormat="1" ht="24" customHeight="1" x14ac:dyDescent="0.2">
      <c r="B8" s="10"/>
      <c r="C8" s="32"/>
      <c r="D8" s="30"/>
      <c r="E8" s="8"/>
      <c r="F8" s="13" t="str">
        <f>IFERROR(VLOOKUP($E8,設定!$C:$F,2,0),"")</f>
        <v/>
      </c>
      <c r="G8" s="13" t="str">
        <f>IFERROR(VLOOKUP($E8,設定!$C:$F,3,0),"")</f>
        <v/>
      </c>
      <c r="H8" s="32" t="str">
        <f>IFERROR(VLOOKUP($E8,設定!$C:$F,4,0),"")</f>
        <v/>
      </c>
      <c r="I8" s="332"/>
    </row>
    <row r="9" spans="2:9" s="6" customFormat="1" ht="24" customHeight="1" x14ac:dyDescent="0.2">
      <c r="B9" s="10"/>
      <c r="C9" s="32"/>
      <c r="D9" s="30"/>
      <c r="E9" s="8"/>
      <c r="F9" s="13" t="str">
        <f>IFERROR(VLOOKUP($E9,設定!$C:$F,2,0),"")</f>
        <v/>
      </c>
      <c r="G9" s="13" t="str">
        <f>IFERROR(VLOOKUP($E9,設定!$C:$F,3,0),"")</f>
        <v/>
      </c>
      <c r="H9" s="32" t="str">
        <f>IFERROR(VLOOKUP($E9,設定!$C:$F,4,0),"")</f>
        <v/>
      </c>
      <c r="I9" s="332"/>
    </row>
    <row r="10" spans="2:9" s="6" customFormat="1" ht="24" customHeight="1" x14ac:dyDescent="0.2">
      <c r="B10" s="10"/>
      <c r="C10" s="32"/>
      <c r="D10" s="30"/>
      <c r="E10" s="8"/>
      <c r="F10" s="117" t="str">
        <f>IFERROR(VLOOKUP($E10,設定!$C:$F,2,0),"")</f>
        <v/>
      </c>
      <c r="G10" s="117" t="str">
        <f>IFERROR(VLOOKUP($E10,設定!$C:$F,3,0),"")</f>
        <v/>
      </c>
      <c r="H10" s="118" t="str">
        <f>IFERROR(VLOOKUP($E10,設定!$C:$F,4,0),"")</f>
        <v/>
      </c>
      <c r="I10" s="332"/>
    </row>
    <row r="11" spans="2:9" s="6" customFormat="1" ht="24" customHeight="1" x14ac:dyDescent="0.2">
      <c r="B11" s="10"/>
      <c r="C11" s="32"/>
      <c r="D11" s="30"/>
      <c r="E11" s="8"/>
      <c r="F11" s="117" t="str">
        <f>IFERROR(VLOOKUP($E11,設定!$C:$F,2,0),"")</f>
        <v/>
      </c>
      <c r="G11" s="117" t="str">
        <f>IFERROR(VLOOKUP($E11,設定!$C:$F,3,0),"")</f>
        <v/>
      </c>
      <c r="H11" s="118" t="str">
        <f>IFERROR(VLOOKUP($E11,設定!$C:$F,4,0),"")</f>
        <v/>
      </c>
      <c r="I11" s="332"/>
    </row>
    <row r="12" spans="2:9" s="6" customFormat="1" ht="24" customHeight="1" x14ac:dyDescent="0.2">
      <c r="B12" s="10"/>
      <c r="C12" s="32"/>
      <c r="D12" s="30"/>
      <c r="E12" s="8"/>
      <c r="F12" s="117" t="str">
        <f>IFERROR(VLOOKUP($E12,設定!$C:$F,2,0),"")</f>
        <v/>
      </c>
      <c r="G12" s="117" t="str">
        <f>IFERROR(VLOOKUP($E12,設定!$C:$F,3,0),"")</f>
        <v/>
      </c>
      <c r="H12" s="118" t="str">
        <f>IFERROR(VLOOKUP($E12,設定!$C:$F,4,0),"")</f>
        <v/>
      </c>
      <c r="I12" s="332"/>
    </row>
    <row r="13" spans="2:9" s="6" customFormat="1" ht="24" customHeight="1" x14ac:dyDescent="0.2">
      <c r="B13" s="10"/>
      <c r="C13" s="32"/>
      <c r="D13" s="30"/>
      <c r="E13" s="8"/>
      <c r="F13" s="117" t="str">
        <f>IFERROR(VLOOKUP($E13,設定!$C:$F,2,0),"")</f>
        <v/>
      </c>
      <c r="G13" s="117" t="str">
        <f>IFERROR(VLOOKUP($E13,設定!$C:$F,3,0),"")</f>
        <v/>
      </c>
      <c r="H13" s="118" t="str">
        <f>IFERROR(VLOOKUP($E13,設定!$C:$F,4,0),"")</f>
        <v/>
      </c>
      <c r="I13" s="332"/>
    </row>
    <row r="14" spans="2:9" s="6" customFormat="1" ht="24" customHeight="1" x14ac:dyDescent="0.2">
      <c r="B14" s="10"/>
      <c r="C14" s="32"/>
      <c r="D14" s="30"/>
      <c r="E14" s="8"/>
      <c r="F14" s="117" t="str">
        <f>IFERROR(VLOOKUP($E14,設定!$C:$F,2,0),"")</f>
        <v/>
      </c>
      <c r="G14" s="117" t="str">
        <f>IFERROR(VLOOKUP($E14,設定!$C:$F,3,0),"")</f>
        <v/>
      </c>
      <c r="H14" s="118" t="str">
        <f>IFERROR(VLOOKUP($E14,設定!$C:$F,4,0),"")</f>
        <v/>
      </c>
      <c r="I14" s="332"/>
    </row>
    <row r="15" spans="2:9" s="6" customFormat="1" ht="24" customHeight="1" x14ac:dyDescent="0.2">
      <c r="B15" s="10"/>
      <c r="C15" s="32"/>
      <c r="D15" s="30"/>
      <c r="E15" s="8"/>
      <c r="F15" s="117" t="str">
        <f>IFERROR(VLOOKUP($E15,設定!$C:$F,2,0),"")</f>
        <v/>
      </c>
      <c r="G15" s="117" t="str">
        <f>IFERROR(VLOOKUP($E15,設定!$C:$F,3,0),"")</f>
        <v/>
      </c>
      <c r="H15" s="118" t="str">
        <f>IFERROR(VLOOKUP($E15,設定!$C:$F,4,0),"")</f>
        <v/>
      </c>
      <c r="I15" s="332"/>
    </row>
    <row r="16" spans="2:9" s="6" customFormat="1" ht="24" customHeight="1" x14ac:dyDescent="0.2">
      <c r="B16" s="10"/>
      <c r="C16" s="32"/>
      <c r="D16" s="30"/>
      <c r="E16" s="8"/>
      <c r="F16" s="117" t="str">
        <f>IFERROR(VLOOKUP($E16,設定!$C:$F,2,0),"")</f>
        <v/>
      </c>
      <c r="G16" s="117" t="str">
        <f>IFERROR(VLOOKUP($E16,設定!$C:$F,3,0),"")</f>
        <v/>
      </c>
      <c r="H16" s="118" t="str">
        <f>IFERROR(VLOOKUP($E16,設定!$C:$F,4,0),"")</f>
        <v/>
      </c>
      <c r="I16" s="332"/>
    </row>
    <row r="17" spans="2:9" s="6" customFormat="1" ht="24" customHeight="1" x14ac:dyDescent="0.2">
      <c r="B17" s="10"/>
      <c r="C17" s="32"/>
      <c r="D17" s="30"/>
      <c r="E17" s="8"/>
      <c r="F17" s="117" t="str">
        <f>IFERROR(VLOOKUP($E17,設定!$C:$F,2,0),"")</f>
        <v/>
      </c>
      <c r="G17" s="117" t="str">
        <f>IFERROR(VLOOKUP($E17,設定!$C:$F,3,0),"")</f>
        <v/>
      </c>
      <c r="H17" s="118" t="str">
        <f>IFERROR(VLOOKUP($E17,設定!$C:$F,4,0),"")</f>
        <v/>
      </c>
      <c r="I17" s="332"/>
    </row>
    <row r="18" spans="2:9" s="6" customFormat="1" ht="24" customHeight="1" x14ac:dyDescent="0.2">
      <c r="B18" s="10"/>
      <c r="C18" s="32"/>
      <c r="D18" s="30"/>
      <c r="E18" s="8"/>
      <c r="F18" s="117" t="str">
        <f>IFERROR(VLOOKUP($E18,設定!$C:$F,2,0),"")</f>
        <v/>
      </c>
      <c r="G18" s="117" t="str">
        <f>IFERROR(VLOOKUP($E18,設定!$C:$F,3,0),"")</f>
        <v/>
      </c>
      <c r="H18" s="118" t="str">
        <f>IFERROR(VLOOKUP($E18,設定!$C:$F,4,0),"")</f>
        <v/>
      </c>
      <c r="I18" s="332"/>
    </row>
    <row r="19" spans="2:9" s="6" customFormat="1" ht="24" customHeight="1" x14ac:dyDescent="0.2">
      <c r="B19" s="10"/>
      <c r="C19" s="32"/>
      <c r="D19" s="30"/>
      <c r="E19" s="8"/>
      <c r="F19" s="117" t="str">
        <f>IFERROR(VLOOKUP($E19,設定!$C:$F,2,0),"")</f>
        <v/>
      </c>
      <c r="G19" s="117" t="str">
        <f>IFERROR(VLOOKUP($E19,設定!$C:$F,3,0),"")</f>
        <v/>
      </c>
      <c r="H19" s="118" t="str">
        <f>IFERROR(VLOOKUP($E19,設定!$C:$F,4,0),"")</f>
        <v/>
      </c>
      <c r="I19" s="332"/>
    </row>
    <row r="20" spans="2:9" s="6" customFormat="1" ht="24" customHeight="1" x14ac:dyDescent="0.2">
      <c r="B20" s="10"/>
      <c r="C20" s="32"/>
      <c r="D20" s="30"/>
      <c r="E20" s="8"/>
      <c r="F20" s="117" t="str">
        <f>IFERROR(VLOOKUP($E20,設定!$C:$F,2,0),"")</f>
        <v/>
      </c>
      <c r="G20" s="117" t="str">
        <f>IFERROR(VLOOKUP($E20,設定!$C:$F,3,0),"")</f>
        <v/>
      </c>
      <c r="H20" s="118" t="str">
        <f>IFERROR(VLOOKUP($E20,設定!$C:$F,4,0),"")</f>
        <v/>
      </c>
      <c r="I20" s="332"/>
    </row>
    <row r="21" spans="2:9" s="6" customFormat="1" ht="24" customHeight="1" x14ac:dyDescent="0.2">
      <c r="B21" s="10"/>
      <c r="C21" s="32"/>
      <c r="D21" s="30"/>
      <c r="E21" s="8"/>
      <c r="F21" s="117" t="str">
        <f>IFERROR(VLOOKUP($E21,設定!$C:$F,2,0),"")</f>
        <v/>
      </c>
      <c r="G21" s="117" t="str">
        <f>IFERROR(VLOOKUP($E21,設定!$C:$F,3,0),"")</f>
        <v/>
      </c>
      <c r="H21" s="118" t="str">
        <f>IFERROR(VLOOKUP($E21,設定!$C:$F,4,0),"")</f>
        <v/>
      </c>
      <c r="I21" s="332"/>
    </row>
    <row r="22" spans="2:9" s="6" customFormat="1" ht="24" customHeight="1" x14ac:dyDescent="0.2">
      <c r="B22" s="10"/>
      <c r="C22" s="32"/>
      <c r="D22" s="30"/>
      <c r="E22" s="8"/>
      <c r="F22" s="117" t="str">
        <f>IFERROR(VLOOKUP($E22,設定!$C:$F,2,0),"")</f>
        <v/>
      </c>
      <c r="G22" s="117" t="str">
        <f>IFERROR(VLOOKUP($E22,設定!$C:$F,3,0),"")</f>
        <v/>
      </c>
      <c r="H22" s="118" t="str">
        <f>IFERROR(VLOOKUP($E22,設定!$C:$F,4,0),"")</f>
        <v/>
      </c>
      <c r="I22" s="332"/>
    </row>
    <row r="23" spans="2:9" s="6" customFormat="1" ht="24" customHeight="1" x14ac:dyDescent="0.2">
      <c r="B23" s="10"/>
      <c r="C23" s="32"/>
      <c r="D23" s="30"/>
      <c r="E23" s="8"/>
      <c r="F23" s="117" t="str">
        <f>IFERROR(VLOOKUP($E23,設定!$C:$F,2,0),"")</f>
        <v/>
      </c>
      <c r="G23" s="117" t="str">
        <f>IFERROR(VLOOKUP($E23,設定!$C:$F,3,0),"")</f>
        <v/>
      </c>
      <c r="H23" s="118" t="str">
        <f>IFERROR(VLOOKUP($E23,設定!$C:$F,4,0),"")</f>
        <v/>
      </c>
      <c r="I23" s="332"/>
    </row>
    <row r="24" spans="2:9" s="6" customFormat="1" ht="24" customHeight="1" x14ac:dyDescent="0.2">
      <c r="B24" s="10"/>
      <c r="C24" s="32"/>
      <c r="D24" s="30"/>
      <c r="E24" s="8"/>
      <c r="F24" s="117" t="str">
        <f>IFERROR(VLOOKUP($E24,設定!$C:$F,2,0),"")</f>
        <v/>
      </c>
      <c r="G24" s="117" t="str">
        <f>IFERROR(VLOOKUP($E24,設定!$C:$F,3,0),"")</f>
        <v/>
      </c>
      <c r="H24" s="118" t="str">
        <f>IFERROR(VLOOKUP($E24,設定!$C:$F,4,0),"")</f>
        <v/>
      </c>
      <c r="I24" s="332"/>
    </row>
    <row r="25" spans="2:9" s="6" customFormat="1" ht="24" customHeight="1" x14ac:dyDescent="0.2">
      <c r="B25" s="10"/>
      <c r="C25" s="32"/>
      <c r="D25" s="30"/>
      <c r="E25" s="8"/>
      <c r="F25" s="117" t="str">
        <f>IFERROR(VLOOKUP($E25,設定!$C:$F,2,0),"")</f>
        <v/>
      </c>
      <c r="G25" s="117" t="str">
        <f>IFERROR(VLOOKUP($E25,設定!$C:$F,3,0),"")</f>
        <v/>
      </c>
      <c r="H25" s="118" t="str">
        <f>IFERROR(VLOOKUP($E25,設定!$C:$F,4,0),"")</f>
        <v/>
      </c>
      <c r="I25" s="332"/>
    </row>
    <row r="26" spans="2:9" s="6" customFormat="1" ht="24" customHeight="1" x14ac:dyDescent="0.2">
      <c r="B26" s="10"/>
      <c r="C26" s="32"/>
      <c r="D26" s="30"/>
      <c r="E26" s="8"/>
      <c r="F26" s="117" t="str">
        <f>IFERROR(VLOOKUP($E26,設定!$C:$F,2,0),"")</f>
        <v/>
      </c>
      <c r="G26" s="117" t="str">
        <f>IFERROR(VLOOKUP($E26,設定!$C:$F,3,0),"")</f>
        <v/>
      </c>
      <c r="H26" s="118" t="str">
        <f>IFERROR(VLOOKUP($E26,設定!$C:$F,4,0),"")</f>
        <v/>
      </c>
      <c r="I26" s="332"/>
    </row>
    <row r="27" spans="2:9" s="6" customFormat="1" ht="24" customHeight="1" x14ac:dyDescent="0.2">
      <c r="B27" s="10"/>
      <c r="C27" s="32"/>
      <c r="D27" s="30"/>
      <c r="E27" s="8"/>
      <c r="F27" s="117" t="str">
        <f>IFERROR(VLOOKUP($E27,設定!$C:$F,2,0),"")</f>
        <v/>
      </c>
      <c r="G27" s="117" t="str">
        <f>IFERROR(VLOOKUP($E27,設定!$C:$F,3,0),"")</f>
        <v/>
      </c>
      <c r="H27" s="118" t="str">
        <f>IFERROR(VLOOKUP($E27,設定!$C:$F,4,0),"")</f>
        <v/>
      </c>
      <c r="I27" s="332"/>
    </row>
    <row r="28" spans="2:9" s="6" customFormat="1" ht="24" customHeight="1" x14ac:dyDescent="0.2">
      <c r="B28" s="10"/>
      <c r="C28" s="32"/>
      <c r="D28" s="30"/>
      <c r="E28" s="8"/>
      <c r="F28" s="117" t="str">
        <f>IFERROR(VLOOKUP($E28,設定!$C:$F,2,0),"")</f>
        <v/>
      </c>
      <c r="G28" s="117" t="str">
        <f>IFERROR(VLOOKUP($E28,設定!$C:$F,3,0),"")</f>
        <v/>
      </c>
      <c r="H28" s="118" t="str">
        <f>IFERROR(VLOOKUP($E28,設定!$C:$F,4,0),"")</f>
        <v/>
      </c>
      <c r="I28" s="332"/>
    </row>
    <row r="29" spans="2:9" s="6" customFormat="1" ht="24" customHeight="1" x14ac:dyDescent="0.2">
      <c r="B29" s="10"/>
      <c r="C29" s="32"/>
      <c r="D29" s="30"/>
      <c r="E29" s="8"/>
      <c r="F29" s="117" t="str">
        <f>IFERROR(VLOOKUP($E29,設定!$C:$F,2,0),"")</f>
        <v/>
      </c>
      <c r="G29" s="117" t="str">
        <f>IFERROR(VLOOKUP($E29,設定!$C:$F,3,0),"")</f>
        <v/>
      </c>
      <c r="H29" s="118" t="str">
        <f>IFERROR(VLOOKUP($E29,設定!$C:$F,4,0),"")</f>
        <v/>
      </c>
      <c r="I29" s="332"/>
    </row>
    <row r="30" spans="2:9" s="6" customFormat="1" ht="24" customHeight="1" x14ac:dyDescent="0.2">
      <c r="B30" s="10"/>
      <c r="C30" s="32"/>
      <c r="D30" s="30"/>
      <c r="E30" s="8"/>
      <c r="F30" s="117" t="str">
        <f>IFERROR(VLOOKUP($E30,設定!$C:$F,2,0),"")</f>
        <v/>
      </c>
      <c r="G30" s="117" t="str">
        <f>IFERROR(VLOOKUP($E30,設定!$C:$F,3,0),"")</f>
        <v/>
      </c>
      <c r="H30" s="118" t="str">
        <f>IFERROR(VLOOKUP($E30,設定!$C:$F,4,0),"")</f>
        <v/>
      </c>
      <c r="I30" s="332"/>
    </row>
    <row r="31" spans="2:9" s="6" customFormat="1" ht="24" customHeight="1" x14ac:dyDescent="0.2">
      <c r="B31" s="10"/>
      <c r="C31" s="32"/>
      <c r="D31" s="30"/>
      <c r="E31" s="8"/>
      <c r="F31" s="117" t="str">
        <f>IFERROR(VLOOKUP($E31,設定!$C:$F,2,0),"")</f>
        <v/>
      </c>
      <c r="G31" s="117" t="str">
        <f>IFERROR(VLOOKUP($E31,設定!$C:$F,3,0),"")</f>
        <v/>
      </c>
      <c r="H31" s="118" t="str">
        <f>IFERROR(VLOOKUP($E31,設定!$C:$F,4,0),"")</f>
        <v/>
      </c>
      <c r="I31" s="332"/>
    </row>
    <row r="32" spans="2:9" s="6" customFormat="1" ht="24" customHeight="1" x14ac:dyDescent="0.2">
      <c r="B32" s="10"/>
      <c r="C32" s="32"/>
      <c r="D32" s="30"/>
      <c r="E32" s="8"/>
      <c r="F32" s="117" t="str">
        <f>IFERROR(VLOOKUP($E32,設定!$C:$F,2,0),"")</f>
        <v/>
      </c>
      <c r="G32" s="117" t="str">
        <f>IFERROR(VLOOKUP($E32,設定!$C:$F,3,0),"")</f>
        <v/>
      </c>
      <c r="H32" s="118" t="str">
        <f>IFERROR(VLOOKUP($E32,設定!$C:$F,4,0),"")</f>
        <v/>
      </c>
      <c r="I32" s="332"/>
    </row>
    <row r="33" spans="2:9" s="6" customFormat="1" ht="24" customHeight="1" x14ac:dyDescent="0.2">
      <c r="B33" s="10"/>
      <c r="C33" s="32"/>
      <c r="D33" s="30"/>
      <c r="E33" s="8"/>
      <c r="F33" s="117" t="str">
        <f>IFERROR(VLOOKUP($E33,設定!$C:$F,2,0),"")</f>
        <v/>
      </c>
      <c r="G33" s="117" t="str">
        <f>IFERROR(VLOOKUP($E33,設定!$C:$F,3,0),"")</f>
        <v/>
      </c>
      <c r="H33" s="118" t="str">
        <f>IFERROR(VLOOKUP($E33,設定!$C:$F,4,0),"")</f>
        <v/>
      </c>
      <c r="I33" s="332"/>
    </row>
    <row r="34" spans="2:9" s="6" customFormat="1" ht="24" customHeight="1" x14ac:dyDescent="0.2">
      <c r="B34" s="10"/>
      <c r="C34" s="32"/>
      <c r="D34" s="30"/>
      <c r="E34" s="8"/>
      <c r="F34" s="117" t="str">
        <f>IFERROR(VLOOKUP($E34,設定!$C:$F,2,0),"")</f>
        <v/>
      </c>
      <c r="G34" s="117" t="str">
        <f>IFERROR(VLOOKUP($E34,設定!$C:$F,3,0),"")</f>
        <v/>
      </c>
      <c r="H34" s="118" t="str">
        <f>IFERROR(VLOOKUP($E34,設定!$C:$F,4,0),"")</f>
        <v/>
      </c>
      <c r="I34" s="332"/>
    </row>
    <row r="35" spans="2:9" s="6" customFormat="1" ht="24" customHeight="1" x14ac:dyDescent="0.2">
      <c r="B35" s="10"/>
      <c r="C35" s="32"/>
      <c r="D35" s="30"/>
      <c r="E35" s="8"/>
      <c r="F35" s="117" t="str">
        <f>IFERROR(VLOOKUP($E35,設定!$C:$F,2,0),"")</f>
        <v/>
      </c>
      <c r="G35" s="117" t="str">
        <f>IFERROR(VLOOKUP($E35,設定!$C:$F,3,0),"")</f>
        <v/>
      </c>
      <c r="H35" s="118" t="str">
        <f>IFERROR(VLOOKUP($E35,設定!$C:$F,4,0),"")</f>
        <v/>
      </c>
      <c r="I35" s="332"/>
    </row>
    <row r="36" spans="2:9" s="6" customFormat="1" ht="24" customHeight="1" x14ac:dyDescent="0.2">
      <c r="B36" s="10"/>
      <c r="C36" s="32"/>
      <c r="D36" s="30"/>
      <c r="E36" s="8"/>
      <c r="F36" s="117" t="str">
        <f>IFERROR(VLOOKUP($E36,設定!$C:$F,2,0),"")</f>
        <v/>
      </c>
      <c r="G36" s="117" t="str">
        <f>IFERROR(VLOOKUP($E36,設定!$C:$F,3,0),"")</f>
        <v/>
      </c>
      <c r="H36" s="118" t="str">
        <f>IFERROR(VLOOKUP($E36,設定!$C:$F,4,0),"")</f>
        <v/>
      </c>
      <c r="I36" s="332"/>
    </row>
    <row r="37" spans="2:9" s="6" customFormat="1" ht="24" customHeight="1" x14ac:dyDescent="0.2">
      <c r="B37" s="10"/>
      <c r="C37" s="32"/>
      <c r="D37" s="30"/>
      <c r="E37" s="8"/>
      <c r="F37" s="117" t="str">
        <f>IFERROR(VLOOKUP($E37,設定!$C:$F,2,0),"")</f>
        <v/>
      </c>
      <c r="G37" s="117" t="str">
        <f>IFERROR(VLOOKUP($E37,設定!$C:$F,3,0),"")</f>
        <v/>
      </c>
      <c r="H37" s="118" t="str">
        <f>IFERROR(VLOOKUP($E37,設定!$C:$F,4,0),"")</f>
        <v/>
      </c>
      <c r="I37" s="332"/>
    </row>
    <row r="38" spans="2:9" s="6" customFormat="1" ht="24" customHeight="1" x14ac:dyDescent="0.2">
      <c r="B38" s="10"/>
      <c r="C38" s="32"/>
      <c r="D38" s="30"/>
      <c r="E38" s="8"/>
      <c r="F38" s="117" t="str">
        <f>IFERROR(VLOOKUP($E38,設定!$C:$F,2,0),"")</f>
        <v/>
      </c>
      <c r="G38" s="117" t="str">
        <f>IFERROR(VLOOKUP($E38,設定!$C:$F,3,0),"")</f>
        <v/>
      </c>
      <c r="H38" s="118" t="str">
        <f>IFERROR(VLOOKUP($E38,設定!$C:$F,4,0),"")</f>
        <v/>
      </c>
      <c r="I38" s="332"/>
    </row>
    <row r="39" spans="2:9" s="6" customFormat="1" ht="24" customHeight="1" x14ac:dyDescent="0.2">
      <c r="B39" s="10"/>
      <c r="C39" s="32"/>
      <c r="D39" s="30"/>
      <c r="E39" s="8"/>
      <c r="F39" s="117" t="str">
        <f>IFERROR(VLOOKUP($E39,設定!$C:$F,2,0),"")</f>
        <v/>
      </c>
      <c r="G39" s="117" t="str">
        <f>IFERROR(VLOOKUP($E39,設定!$C:$F,3,0),"")</f>
        <v/>
      </c>
      <c r="H39" s="118" t="str">
        <f>IFERROR(VLOOKUP($E39,設定!$C:$F,4,0),"")</f>
        <v/>
      </c>
      <c r="I39" s="332"/>
    </row>
    <row r="40" spans="2:9" s="6" customFormat="1" ht="24" customHeight="1" x14ac:dyDescent="0.2">
      <c r="B40" s="10"/>
      <c r="C40" s="32"/>
      <c r="D40" s="30"/>
      <c r="E40" s="8"/>
      <c r="F40" s="117" t="str">
        <f>IFERROR(VLOOKUP($E40,設定!$C:$F,2,0),"")</f>
        <v/>
      </c>
      <c r="G40" s="117" t="str">
        <f>IFERROR(VLOOKUP($E40,設定!$C:$F,3,0),"")</f>
        <v/>
      </c>
      <c r="H40" s="118" t="str">
        <f>IFERROR(VLOOKUP($E40,設定!$C:$F,4,0),"")</f>
        <v/>
      </c>
      <c r="I40" s="332"/>
    </row>
    <row r="41" spans="2:9" s="6" customFormat="1" ht="24" customHeight="1" x14ac:dyDescent="0.2">
      <c r="B41" s="10"/>
      <c r="C41" s="32"/>
      <c r="D41" s="30"/>
      <c r="E41" s="8"/>
      <c r="F41" s="117" t="str">
        <f>IFERROR(VLOOKUP($E41,設定!$C:$F,2,0),"")</f>
        <v/>
      </c>
      <c r="G41" s="117" t="str">
        <f>IFERROR(VLOOKUP($E41,設定!$C:$F,3,0),"")</f>
        <v/>
      </c>
      <c r="H41" s="118" t="str">
        <f>IFERROR(VLOOKUP($E41,設定!$C:$F,4,0),"")</f>
        <v/>
      </c>
      <c r="I41" s="332"/>
    </row>
    <row r="42" spans="2:9" s="6" customFormat="1" ht="24" customHeight="1" x14ac:dyDescent="0.2">
      <c r="B42" s="10"/>
      <c r="C42" s="32"/>
      <c r="D42" s="30"/>
      <c r="E42" s="8"/>
      <c r="F42" s="117" t="str">
        <f>IFERROR(VLOOKUP($E42,設定!$C:$F,2,0),"")</f>
        <v/>
      </c>
      <c r="G42" s="117" t="str">
        <f>IFERROR(VLOOKUP($E42,設定!$C:$F,3,0),"")</f>
        <v/>
      </c>
      <c r="H42" s="118" t="str">
        <f>IFERROR(VLOOKUP($E42,設定!$C:$F,4,0),"")</f>
        <v/>
      </c>
      <c r="I42" s="332"/>
    </row>
    <row r="43" spans="2:9" s="6" customFormat="1" ht="24" customHeight="1" x14ac:dyDescent="0.2">
      <c r="B43" s="10"/>
      <c r="C43" s="32"/>
      <c r="D43" s="30"/>
      <c r="E43" s="8"/>
      <c r="F43" s="117" t="str">
        <f>IFERROR(VLOOKUP($E43,設定!$C:$F,2,0),"")</f>
        <v/>
      </c>
      <c r="G43" s="117" t="str">
        <f>IFERROR(VLOOKUP($E43,設定!$C:$F,3,0),"")</f>
        <v/>
      </c>
      <c r="H43" s="118" t="str">
        <f>IFERROR(VLOOKUP($E43,設定!$C:$F,4,0),"")</f>
        <v/>
      </c>
      <c r="I43" s="332"/>
    </row>
    <row r="44" spans="2:9" s="6" customFormat="1" ht="24" customHeight="1" x14ac:dyDescent="0.2">
      <c r="B44" s="10"/>
      <c r="C44" s="32"/>
      <c r="D44" s="30"/>
      <c r="E44" s="8"/>
      <c r="F44" s="117" t="str">
        <f>IFERROR(VLOOKUP($E44,設定!$C:$F,2,0),"")</f>
        <v/>
      </c>
      <c r="G44" s="117" t="str">
        <f>IFERROR(VLOOKUP($E44,設定!$C:$F,3,0),"")</f>
        <v/>
      </c>
      <c r="H44" s="118" t="str">
        <f>IFERROR(VLOOKUP($E44,設定!$C:$F,4,0),"")</f>
        <v/>
      </c>
      <c r="I44" s="332"/>
    </row>
    <row r="45" spans="2:9" s="6" customFormat="1" ht="24" customHeight="1" x14ac:dyDescent="0.2">
      <c r="B45" s="10"/>
      <c r="C45" s="32"/>
      <c r="D45" s="30"/>
      <c r="E45" s="8"/>
      <c r="F45" s="117" t="str">
        <f>IFERROR(VLOOKUP($E45,設定!$C:$F,2,0),"")</f>
        <v/>
      </c>
      <c r="G45" s="117" t="str">
        <f>IFERROR(VLOOKUP($E45,設定!$C:$F,3,0),"")</f>
        <v/>
      </c>
      <c r="H45" s="118" t="str">
        <f>IFERROR(VLOOKUP($E45,設定!$C:$F,4,0),"")</f>
        <v/>
      </c>
      <c r="I45" s="332"/>
    </row>
    <row r="46" spans="2:9" s="6" customFormat="1" ht="24" customHeight="1" x14ac:dyDescent="0.2">
      <c r="B46" s="10"/>
      <c r="C46" s="32"/>
      <c r="D46" s="30"/>
      <c r="E46" s="8"/>
      <c r="F46" s="117" t="str">
        <f>IFERROR(VLOOKUP($E46,設定!$C:$F,2,0),"")</f>
        <v/>
      </c>
      <c r="G46" s="117" t="str">
        <f>IFERROR(VLOOKUP($E46,設定!$C:$F,3,0),"")</f>
        <v/>
      </c>
      <c r="H46" s="118" t="str">
        <f>IFERROR(VLOOKUP($E46,設定!$C:$F,4,0),"")</f>
        <v/>
      </c>
      <c r="I46" s="332"/>
    </row>
    <row r="47" spans="2:9" s="6" customFormat="1" ht="24" customHeight="1" x14ac:dyDescent="0.2">
      <c r="B47" s="10"/>
      <c r="C47" s="32"/>
      <c r="D47" s="30"/>
      <c r="E47" s="8"/>
      <c r="F47" s="117" t="str">
        <f>IFERROR(VLOOKUP($E47,設定!$C:$F,2,0),"")</f>
        <v/>
      </c>
      <c r="G47" s="117" t="str">
        <f>IFERROR(VLOOKUP($E47,設定!$C:$F,3,0),"")</f>
        <v/>
      </c>
      <c r="H47" s="118" t="str">
        <f>IFERROR(VLOOKUP($E47,設定!$C:$F,4,0),"")</f>
        <v/>
      </c>
      <c r="I47" s="332"/>
    </row>
    <row r="48" spans="2:9" s="6" customFormat="1" ht="24" customHeight="1" x14ac:dyDescent="0.2">
      <c r="B48" s="10"/>
      <c r="C48" s="32"/>
      <c r="D48" s="30"/>
      <c r="E48" s="8"/>
      <c r="F48" s="117" t="str">
        <f>IFERROR(VLOOKUP($E48,設定!$C:$F,2,0),"")</f>
        <v/>
      </c>
      <c r="G48" s="117" t="str">
        <f>IFERROR(VLOOKUP($E48,設定!$C:$F,3,0),"")</f>
        <v/>
      </c>
      <c r="H48" s="118" t="str">
        <f>IFERROR(VLOOKUP($E48,設定!$C:$F,4,0),"")</f>
        <v/>
      </c>
      <c r="I48" s="332"/>
    </row>
    <row r="49" spans="2:9" s="6" customFormat="1" ht="24" customHeight="1" x14ac:dyDescent="0.2">
      <c r="B49" s="10"/>
      <c r="C49" s="32"/>
      <c r="D49" s="30"/>
      <c r="E49" s="8"/>
      <c r="F49" s="117" t="str">
        <f>IFERROR(VLOOKUP($E49,設定!$C:$F,2,0),"")</f>
        <v/>
      </c>
      <c r="G49" s="117" t="str">
        <f>IFERROR(VLOOKUP($E49,設定!$C:$F,3,0),"")</f>
        <v/>
      </c>
      <c r="H49" s="118" t="str">
        <f>IFERROR(VLOOKUP($E49,設定!$C:$F,4,0),"")</f>
        <v/>
      </c>
      <c r="I49" s="332"/>
    </row>
    <row r="50" spans="2:9" s="6" customFormat="1" ht="24" customHeight="1" x14ac:dyDescent="0.2">
      <c r="B50" s="10"/>
      <c r="C50" s="32"/>
      <c r="D50" s="30"/>
      <c r="E50" s="8"/>
      <c r="F50" s="117" t="str">
        <f>IFERROR(VLOOKUP($E50,設定!$C:$F,2,0),"")</f>
        <v/>
      </c>
      <c r="G50" s="117" t="str">
        <f>IFERROR(VLOOKUP($E50,設定!$C:$F,3,0),"")</f>
        <v/>
      </c>
      <c r="H50" s="118" t="str">
        <f>IFERROR(VLOOKUP($E50,設定!$C:$F,4,0),"")</f>
        <v/>
      </c>
      <c r="I50" s="332"/>
    </row>
    <row r="51" spans="2:9" s="6" customFormat="1" ht="24" customHeight="1" x14ac:dyDescent="0.2">
      <c r="B51" s="10"/>
      <c r="C51" s="32"/>
      <c r="D51" s="30"/>
      <c r="E51" s="8"/>
      <c r="F51" s="117" t="str">
        <f>IFERROR(VLOOKUP($E51,設定!$C:$F,2,0),"")</f>
        <v/>
      </c>
      <c r="G51" s="117" t="str">
        <f>IFERROR(VLOOKUP($E51,設定!$C:$F,3,0),"")</f>
        <v/>
      </c>
      <c r="H51" s="118" t="str">
        <f>IFERROR(VLOOKUP($E51,設定!$C:$F,4,0),"")</f>
        <v/>
      </c>
      <c r="I51" s="332"/>
    </row>
    <row r="52" spans="2:9" s="6" customFormat="1" ht="24" customHeight="1" x14ac:dyDescent="0.2">
      <c r="B52" s="10"/>
      <c r="C52" s="32"/>
      <c r="D52" s="30"/>
      <c r="E52" s="8"/>
      <c r="F52" s="117" t="str">
        <f>IFERROR(VLOOKUP($E52,設定!$C:$F,2,0),"")</f>
        <v/>
      </c>
      <c r="G52" s="117" t="str">
        <f>IFERROR(VLOOKUP($E52,設定!$C:$F,3,0),"")</f>
        <v/>
      </c>
      <c r="H52" s="118" t="str">
        <f>IFERROR(VLOOKUP($E52,設定!$C:$F,4,0),"")</f>
        <v/>
      </c>
      <c r="I52" s="332"/>
    </row>
    <row r="53" spans="2:9" s="6" customFormat="1" ht="24" customHeight="1" x14ac:dyDescent="0.2">
      <c r="B53" s="10"/>
      <c r="C53" s="32"/>
      <c r="D53" s="30"/>
      <c r="E53" s="8"/>
      <c r="F53" s="117" t="str">
        <f>IFERROR(VLOOKUP($E53,設定!$C:$F,2,0),"")</f>
        <v/>
      </c>
      <c r="G53" s="117" t="str">
        <f>IFERROR(VLOOKUP($E53,設定!$C:$F,3,0),"")</f>
        <v/>
      </c>
      <c r="H53" s="118" t="str">
        <f>IFERROR(VLOOKUP($E53,設定!$C:$F,4,0),"")</f>
        <v/>
      </c>
      <c r="I53" s="332"/>
    </row>
    <row r="54" spans="2:9" s="6" customFormat="1" ht="24" customHeight="1" x14ac:dyDescent="0.2">
      <c r="B54" s="10"/>
      <c r="C54" s="32"/>
      <c r="D54" s="30"/>
      <c r="E54" s="8"/>
      <c r="F54" s="117" t="str">
        <f>IFERROR(VLOOKUP($E54,設定!$C:$F,2,0),"")</f>
        <v/>
      </c>
      <c r="G54" s="117" t="str">
        <f>IFERROR(VLOOKUP($E54,設定!$C:$F,3,0),"")</f>
        <v/>
      </c>
      <c r="H54" s="118" t="str">
        <f>IFERROR(VLOOKUP($E54,設定!$C:$F,4,0),"")</f>
        <v/>
      </c>
      <c r="I54" s="332"/>
    </row>
    <row r="55" spans="2:9" s="6" customFormat="1" ht="24" customHeight="1" x14ac:dyDescent="0.2">
      <c r="B55" s="10"/>
      <c r="C55" s="32"/>
      <c r="D55" s="30"/>
      <c r="E55" s="8"/>
      <c r="F55" s="117" t="str">
        <f>IFERROR(VLOOKUP($E55,設定!$C:$F,2,0),"")</f>
        <v/>
      </c>
      <c r="G55" s="117" t="str">
        <f>IFERROR(VLOOKUP($E55,設定!$C:$F,3,0),"")</f>
        <v/>
      </c>
      <c r="H55" s="118" t="str">
        <f>IFERROR(VLOOKUP($E55,設定!$C:$F,4,0),"")</f>
        <v/>
      </c>
      <c r="I55" s="332"/>
    </row>
    <row r="56" spans="2:9" s="6" customFormat="1" ht="24" customHeight="1" x14ac:dyDescent="0.2">
      <c r="B56" s="10"/>
      <c r="C56" s="32"/>
      <c r="D56" s="30"/>
      <c r="E56" s="8"/>
      <c r="F56" s="117" t="str">
        <f>IFERROR(VLOOKUP($E56,設定!$C:$F,2,0),"")</f>
        <v/>
      </c>
      <c r="G56" s="117" t="str">
        <f>IFERROR(VLOOKUP($E56,設定!$C:$F,3,0),"")</f>
        <v/>
      </c>
      <c r="H56" s="118" t="str">
        <f>IFERROR(VLOOKUP($E56,設定!$C:$F,4,0),"")</f>
        <v/>
      </c>
      <c r="I56" s="332"/>
    </row>
    <row r="57" spans="2:9" s="6" customFormat="1" ht="24" customHeight="1" x14ac:dyDescent="0.2">
      <c r="B57" s="10"/>
      <c r="C57" s="32"/>
      <c r="D57" s="30"/>
      <c r="E57" s="8"/>
      <c r="F57" s="117" t="str">
        <f>IFERROR(VLOOKUP($E57,設定!$C:$F,2,0),"")</f>
        <v/>
      </c>
      <c r="G57" s="117" t="str">
        <f>IFERROR(VLOOKUP($E57,設定!$C:$F,3,0),"")</f>
        <v/>
      </c>
      <c r="H57" s="118" t="str">
        <f>IFERROR(VLOOKUP($E57,設定!$C:$F,4,0),"")</f>
        <v/>
      </c>
      <c r="I57" s="332"/>
    </row>
    <row r="58" spans="2:9" s="6" customFormat="1" ht="24" customHeight="1" x14ac:dyDescent="0.2">
      <c r="B58" s="10"/>
      <c r="C58" s="32"/>
      <c r="D58" s="30"/>
      <c r="E58" s="8"/>
      <c r="F58" s="117" t="str">
        <f>IFERROR(VLOOKUP($E58,設定!$C:$F,2,0),"")</f>
        <v/>
      </c>
      <c r="G58" s="117" t="str">
        <f>IFERROR(VLOOKUP($E58,設定!$C:$F,3,0),"")</f>
        <v/>
      </c>
      <c r="H58" s="118" t="str">
        <f>IFERROR(VLOOKUP($E58,設定!$C:$F,4,0),"")</f>
        <v/>
      </c>
      <c r="I58" s="332"/>
    </row>
    <row r="59" spans="2:9" s="6" customFormat="1" ht="24" customHeight="1" x14ac:dyDescent="0.2">
      <c r="B59" s="10"/>
      <c r="C59" s="32"/>
      <c r="D59" s="30"/>
      <c r="E59" s="8"/>
      <c r="F59" s="117" t="str">
        <f>IFERROR(VLOOKUP($E59,設定!$C:$F,2,0),"")</f>
        <v/>
      </c>
      <c r="G59" s="117" t="str">
        <f>IFERROR(VLOOKUP($E59,設定!$C:$F,3,0),"")</f>
        <v/>
      </c>
      <c r="H59" s="118" t="str">
        <f>IFERROR(VLOOKUP($E59,設定!$C:$F,4,0),"")</f>
        <v/>
      </c>
      <c r="I59" s="332"/>
    </row>
    <row r="60" spans="2:9" s="6" customFormat="1" ht="24" customHeight="1" x14ac:dyDescent="0.2">
      <c r="B60" s="10"/>
      <c r="C60" s="32"/>
      <c r="D60" s="30"/>
      <c r="E60" s="8"/>
      <c r="F60" s="117" t="str">
        <f>IFERROR(VLOOKUP($E60,設定!$C:$F,2,0),"")</f>
        <v/>
      </c>
      <c r="G60" s="117" t="str">
        <f>IFERROR(VLOOKUP($E60,設定!$C:$F,3,0),"")</f>
        <v/>
      </c>
      <c r="H60" s="118" t="str">
        <f>IFERROR(VLOOKUP($E60,設定!$C:$F,4,0),"")</f>
        <v/>
      </c>
      <c r="I60" s="332"/>
    </row>
    <row r="61" spans="2:9" s="6" customFormat="1" ht="24" customHeight="1" x14ac:dyDescent="0.2">
      <c r="B61" s="10"/>
      <c r="C61" s="32"/>
      <c r="D61" s="30"/>
      <c r="E61" s="8"/>
      <c r="F61" s="117" t="str">
        <f>IFERROR(VLOOKUP($E61,設定!$C:$F,2,0),"")</f>
        <v/>
      </c>
      <c r="G61" s="117" t="str">
        <f>IFERROR(VLOOKUP($E61,設定!$C:$F,3,0),"")</f>
        <v/>
      </c>
      <c r="H61" s="118" t="str">
        <f>IFERROR(VLOOKUP($E61,設定!$C:$F,4,0),"")</f>
        <v/>
      </c>
      <c r="I61" s="332"/>
    </row>
    <row r="62" spans="2:9" s="6" customFormat="1" ht="24" customHeight="1" x14ac:dyDescent="0.2">
      <c r="B62" s="10"/>
      <c r="C62" s="32"/>
      <c r="D62" s="30"/>
      <c r="E62" s="8"/>
      <c r="F62" s="117" t="str">
        <f>IFERROR(VLOOKUP($E62,設定!$C:$F,2,0),"")</f>
        <v/>
      </c>
      <c r="G62" s="117" t="str">
        <f>IFERROR(VLOOKUP($E62,設定!$C:$F,3,0),"")</f>
        <v/>
      </c>
      <c r="H62" s="118" t="str">
        <f>IFERROR(VLOOKUP($E62,設定!$C:$F,4,0),"")</f>
        <v/>
      </c>
      <c r="I62" s="332"/>
    </row>
    <row r="63" spans="2:9" s="6" customFormat="1" ht="24" customHeight="1" x14ac:dyDescent="0.2">
      <c r="B63" s="10"/>
      <c r="C63" s="32"/>
      <c r="D63" s="30"/>
      <c r="E63" s="8"/>
      <c r="F63" s="117" t="str">
        <f>IFERROR(VLOOKUP($E63,設定!$C:$F,2,0),"")</f>
        <v/>
      </c>
      <c r="G63" s="117" t="str">
        <f>IFERROR(VLOOKUP($E63,設定!$C:$F,3,0),"")</f>
        <v/>
      </c>
      <c r="H63" s="118" t="str">
        <f>IFERROR(VLOOKUP($E63,設定!$C:$F,4,0),"")</f>
        <v/>
      </c>
      <c r="I63" s="332"/>
    </row>
    <row r="64" spans="2:9" s="6" customFormat="1" ht="24" customHeight="1" x14ac:dyDescent="0.2">
      <c r="B64" s="10"/>
      <c r="C64" s="32"/>
      <c r="D64" s="30"/>
      <c r="E64" s="8"/>
      <c r="F64" s="117" t="str">
        <f>IFERROR(VLOOKUP($E64,設定!$C:$F,2,0),"")</f>
        <v/>
      </c>
      <c r="G64" s="117" t="str">
        <f>IFERROR(VLOOKUP($E64,設定!$C:$F,3,0),"")</f>
        <v/>
      </c>
      <c r="H64" s="118" t="str">
        <f>IFERROR(VLOOKUP($E64,設定!$C:$F,4,0),"")</f>
        <v/>
      </c>
      <c r="I64" s="332"/>
    </row>
    <row r="65" spans="2:9" s="6" customFormat="1" ht="24" customHeight="1" x14ac:dyDescent="0.2">
      <c r="B65" s="10"/>
      <c r="C65" s="32"/>
      <c r="D65" s="30"/>
      <c r="E65" s="8"/>
      <c r="F65" s="117" t="str">
        <f>IFERROR(VLOOKUP($E65,設定!$C:$F,2,0),"")</f>
        <v/>
      </c>
      <c r="G65" s="117" t="str">
        <f>IFERROR(VLOOKUP($E65,設定!$C:$F,3,0),"")</f>
        <v/>
      </c>
      <c r="H65" s="118" t="str">
        <f>IFERROR(VLOOKUP($E65,設定!$C:$F,4,0),"")</f>
        <v/>
      </c>
      <c r="I65" s="332"/>
    </row>
    <row r="66" spans="2:9" s="6" customFormat="1" ht="24" customHeight="1" x14ac:dyDescent="0.2">
      <c r="B66" s="10"/>
      <c r="C66" s="32"/>
      <c r="D66" s="30"/>
      <c r="E66" s="8"/>
      <c r="F66" s="117" t="str">
        <f>IFERROR(VLOOKUP($E66,設定!$C:$F,2,0),"")</f>
        <v/>
      </c>
      <c r="G66" s="117" t="str">
        <f>IFERROR(VLOOKUP($E66,設定!$C:$F,3,0),"")</f>
        <v/>
      </c>
      <c r="H66" s="118" t="str">
        <f>IFERROR(VLOOKUP($E66,設定!$C:$F,4,0),"")</f>
        <v/>
      </c>
      <c r="I66" s="332"/>
    </row>
    <row r="67" spans="2:9" s="6" customFormat="1" ht="24" customHeight="1" x14ac:dyDescent="0.2">
      <c r="B67" s="10"/>
      <c r="C67" s="32"/>
      <c r="D67" s="30"/>
      <c r="E67" s="8"/>
      <c r="F67" s="117" t="str">
        <f>IFERROR(VLOOKUP($E67,設定!$C:$F,2,0),"")</f>
        <v/>
      </c>
      <c r="G67" s="117" t="str">
        <f>IFERROR(VLOOKUP($E67,設定!$C:$F,3,0),"")</f>
        <v/>
      </c>
      <c r="H67" s="118" t="str">
        <f>IFERROR(VLOOKUP($E67,設定!$C:$F,4,0),"")</f>
        <v/>
      </c>
      <c r="I67" s="332"/>
    </row>
    <row r="68" spans="2:9" s="6" customFormat="1" ht="24" customHeight="1" x14ac:dyDescent="0.2">
      <c r="B68" s="10"/>
      <c r="C68" s="32"/>
      <c r="D68" s="30"/>
      <c r="E68" s="8"/>
      <c r="F68" s="117" t="str">
        <f>IFERROR(VLOOKUP($E68,設定!$C:$F,2,0),"")</f>
        <v/>
      </c>
      <c r="G68" s="117" t="str">
        <f>IFERROR(VLOOKUP($E68,設定!$C:$F,3,0),"")</f>
        <v/>
      </c>
      <c r="H68" s="118" t="str">
        <f>IFERROR(VLOOKUP($E68,設定!$C:$F,4,0),"")</f>
        <v/>
      </c>
      <c r="I68" s="332"/>
    </row>
    <row r="69" spans="2:9" s="6" customFormat="1" ht="24" customHeight="1" x14ac:dyDescent="0.2">
      <c r="B69" s="10"/>
      <c r="C69" s="32"/>
      <c r="D69" s="30"/>
      <c r="E69" s="8"/>
      <c r="F69" s="117" t="str">
        <f>IFERROR(VLOOKUP($E69,設定!$C:$F,2,0),"")</f>
        <v/>
      </c>
      <c r="G69" s="117" t="str">
        <f>IFERROR(VLOOKUP($E69,設定!$C:$F,3,0),"")</f>
        <v/>
      </c>
      <c r="H69" s="118" t="str">
        <f>IFERROR(VLOOKUP($E69,設定!$C:$F,4,0),"")</f>
        <v/>
      </c>
      <c r="I69" s="332"/>
    </row>
    <row r="70" spans="2:9" s="6" customFormat="1" ht="24" customHeight="1" x14ac:dyDescent="0.2">
      <c r="B70" s="10"/>
      <c r="C70" s="32"/>
      <c r="D70" s="30"/>
      <c r="E70" s="8"/>
      <c r="F70" s="117" t="str">
        <f>IFERROR(VLOOKUP($E70,設定!$C:$F,2,0),"")</f>
        <v/>
      </c>
      <c r="G70" s="117" t="str">
        <f>IFERROR(VLOOKUP($E70,設定!$C:$F,3,0),"")</f>
        <v/>
      </c>
      <c r="H70" s="118" t="str">
        <f>IFERROR(VLOOKUP($E70,設定!$C:$F,4,0),"")</f>
        <v/>
      </c>
      <c r="I70" s="332"/>
    </row>
    <row r="71" spans="2:9" s="6" customFormat="1" ht="24" customHeight="1" x14ac:dyDescent="0.2">
      <c r="B71" s="10"/>
      <c r="C71" s="32"/>
      <c r="D71" s="30"/>
      <c r="E71" s="8"/>
      <c r="F71" s="117" t="str">
        <f>IFERROR(VLOOKUP($E71,設定!$C:$F,2,0),"")</f>
        <v/>
      </c>
      <c r="G71" s="117" t="str">
        <f>IFERROR(VLOOKUP($E71,設定!$C:$F,3,0),"")</f>
        <v/>
      </c>
      <c r="H71" s="118" t="str">
        <f>IFERROR(VLOOKUP($E71,設定!$C:$F,4,0),"")</f>
        <v/>
      </c>
      <c r="I71" s="332"/>
    </row>
    <row r="72" spans="2:9" s="6" customFormat="1" ht="24" customHeight="1" x14ac:dyDescent="0.2">
      <c r="B72" s="10"/>
      <c r="C72" s="32"/>
      <c r="D72" s="30"/>
      <c r="E72" s="8"/>
      <c r="F72" s="117" t="str">
        <f>IFERROR(VLOOKUP($E72,設定!$C:$F,2,0),"")</f>
        <v/>
      </c>
      <c r="G72" s="117" t="str">
        <f>IFERROR(VLOOKUP($E72,設定!$C:$F,3,0),"")</f>
        <v/>
      </c>
      <c r="H72" s="118" t="str">
        <f>IFERROR(VLOOKUP($E72,設定!$C:$F,4,0),"")</f>
        <v/>
      </c>
      <c r="I72" s="332"/>
    </row>
    <row r="73" spans="2:9" s="6" customFormat="1" ht="24" customHeight="1" x14ac:dyDescent="0.2">
      <c r="B73" s="10"/>
      <c r="C73" s="32"/>
      <c r="D73" s="30"/>
      <c r="E73" s="8"/>
      <c r="F73" s="117" t="str">
        <f>IFERROR(VLOOKUP($E73,設定!$C:$F,2,0),"")</f>
        <v/>
      </c>
      <c r="G73" s="117" t="str">
        <f>IFERROR(VLOOKUP($E73,設定!$C:$F,3,0),"")</f>
        <v/>
      </c>
      <c r="H73" s="118" t="str">
        <f>IFERROR(VLOOKUP($E73,設定!$C:$F,4,0),"")</f>
        <v/>
      </c>
      <c r="I73" s="332"/>
    </row>
    <row r="74" spans="2:9" s="6" customFormat="1" ht="24" customHeight="1" x14ac:dyDescent="0.2">
      <c r="B74" s="10"/>
      <c r="C74" s="32"/>
      <c r="D74" s="30"/>
      <c r="E74" s="8"/>
      <c r="F74" s="117" t="str">
        <f>IFERROR(VLOOKUP($E74,設定!$C:$F,2,0),"")</f>
        <v/>
      </c>
      <c r="G74" s="117" t="str">
        <f>IFERROR(VLOOKUP($E74,設定!$C:$F,3,0),"")</f>
        <v/>
      </c>
      <c r="H74" s="118" t="str">
        <f>IFERROR(VLOOKUP($E74,設定!$C:$F,4,0),"")</f>
        <v/>
      </c>
      <c r="I74" s="332"/>
    </row>
    <row r="75" spans="2:9" s="6" customFormat="1" ht="24" customHeight="1" x14ac:dyDescent="0.2">
      <c r="B75" s="10"/>
      <c r="C75" s="32"/>
      <c r="D75" s="30"/>
      <c r="E75" s="8"/>
      <c r="F75" s="117" t="str">
        <f>IFERROR(VLOOKUP($E75,設定!$C:$F,2,0),"")</f>
        <v/>
      </c>
      <c r="G75" s="117" t="str">
        <f>IFERROR(VLOOKUP($E75,設定!$C:$F,3,0),"")</f>
        <v/>
      </c>
      <c r="H75" s="118" t="str">
        <f>IFERROR(VLOOKUP($E75,設定!$C:$F,4,0),"")</f>
        <v/>
      </c>
      <c r="I75" s="332"/>
    </row>
    <row r="76" spans="2:9" s="6" customFormat="1" ht="24" customHeight="1" x14ac:dyDescent="0.2">
      <c r="B76" s="10"/>
      <c r="C76" s="32"/>
      <c r="D76" s="30"/>
      <c r="E76" s="8"/>
      <c r="F76" s="117" t="str">
        <f>IFERROR(VLOOKUP($E76,設定!$C:$F,2,0),"")</f>
        <v/>
      </c>
      <c r="G76" s="117" t="str">
        <f>IFERROR(VLOOKUP($E76,設定!$C:$F,3,0),"")</f>
        <v/>
      </c>
      <c r="H76" s="118" t="str">
        <f>IFERROR(VLOOKUP($E76,設定!$C:$F,4,0),"")</f>
        <v/>
      </c>
      <c r="I76" s="332"/>
    </row>
    <row r="77" spans="2:9" s="6" customFormat="1" ht="24" customHeight="1" x14ac:dyDescent="0.2">
      <c r="B77" s="10"/>
      <c r="C77" s="32"/>
      <c r="D77" s="30"/>
      <c r="E77" s="8"/>
      <c r="F77" s="117" t="str">
        <f>IFERROR(VLOOKUP($E77,設定!$C:$F,2,0),"")</f>
        <v/>
      </c>
      <c r="G77" s="117" t="str">
        <f>IFERROR(VLOOKUP($E77,設定!$C:$F,3,0),"")</f>
        <v/>
      </c>
      <c r="H77" s="118" t="str">
        <f>IFERROR(VLOOKUP($E77,設定!$C:$F,4,0),"")</f>
        <v/>
      </c>
      <c r="I77" s="332"/>
    </row>
    <row r="78" spans="2:9" s="6" customFormat="1" ht="24" customHeight="1" x14ac:dyDescent="0.2">
      <c r="B78" s="10"/>
      <c r="C78" s="32"/>
      <c r="D78" s="30"/>
      <c r="E78" s="8"/>
      <c r="F78" s="117" t="str">
        <f>IFERROR(VLOOKUP($E78,設定!$C:$F,2,0),"")</f>
        <v/>
      </c>
      <c r="G78" s="117" t="str">
        <f>IFERROR(VLOOKUP($E78,設定!$C:$F,3,0),"")</f>
        <v/>
      </c>
      <c r="H78" s="118" t="str">
        <f>IFERROR(VLOOKUP($E78,設定!$C:$F,4,0),"")</f>
        <v/>
      </c>
      <c r="I78" s="332"/>
    </row>
    <row r="79" spans="2:9" s="6" customFormat="1" ht="24" customHeight="1" x14ac:dyDescent="0.2">
      <c r="B79" s="10"/>
      <c r="C79" s="32"/>
      <c r="D79" s="30"/>
      <c r="E79" s="8"/>
      <c r="F79" s="117" t="str">
        <f>IFERROR(VLOOKUP($E79,設定!$C:$F,2,0),"")</f>
        <v/>
      </c>
      <c r="G79" s="117" t="str">
        <f>IFERROR(VLOOKUP($E79,設定!$C:$F,3,0),"")</f>
        <v/>
      </c>
      <c r="H79" s="118" t="str">
        <f>IFERROR(VLOOKUP($E79,設定!$C:$F,4,0),"")</f>
        <v/>
      </c>
      <c r="I79" s="332"/>
    </row>
    <row r="80" spans="2:9" s="6" customFormat="1" ht="24" customHeight="1" x14ac:dyDescent="0.2">
      <c r="B80" s="10"/>
      <c r="C80" s="32"/>
      <c r="D80" s="30"/>
      <c r="E80" s="8"/>
      <c r="F80" s="117" t="str">
        <f>IFERROR(VLOOKUP($E80,設定!$C:$F,2,0),"")</f>
        <v/>
      </c>
      <c r="G80" s="117" t="str">
        <f>IFERROR(VLOOKUP($E80,設定!$C:$F,3,0),"")</f>
        <v/>
      </c>
      <c r="H80" s="118" t="str">
        <f>IFERROR(VLOOKUP($E80,設定!$C:$F,4,0),"")</f>
        <v/>
      </c>
      <c r="I80" s="332"/>
    </row>
    <row r="81" spans="2:9" s="6" customFormat="1" ht="24" customHeight="1" x14ac:dyDescent="0.2">
      <c r="B81" s="10"/>
      <c r="C81" s="32"/>
      <c r="D81" s="30"/>
      <c r="E81" s="8"/>
      <c r="F81" s="117" t="str">
        <f>IFERROR(VLOOKUP($E81,設定!$C:$F,2,0),"")</f>
        <v/>
      </c>
      <c r="G81" s="117" t="str">
        <f>IFERROR(VLOOKUP($E81,設定!$C:$F,3,0),"")</f>
        <v/>
      </c>
      <c r="H81" s="118" t="str">
        <f>IFERROR(VLOOKUP($E81,設定!$C:$F,4,0),"")</f>
        <v/>
      </c>
      <c r="I81" s="332"/>
    </row>
    <row r="82" spans="2:9" s="6" customFormat="1" ht="24" customHeight="1" x14ac:dyDescent="0.2">
      <c r="B82" s="10"/>
      <c r="C82" s="32"/>
      <c r="D82" s="30"/>
      <c r="E82" s="8"/>
      <c r="F82" s="117" t="str">
        <f>IFERROR(VLOOKUP($E82,設定!$C:$F,2,0),"")</f>
        <v/>
      </c>
      <c r="G82" s="117" t="str">
        <f>IFERROR(VLOOKUP($E82,設定!$C:$F,3,0),"")</f>
        <v/>
      </c>
      <c r="H82" s="118" t="str">
        <f>IFERROR(VLOOKUP($E82,設定!$C:$F,4,0),"")</f>
        <v/>
      </c>
      <c r="I82" s="332"/>
    </row>
    <row r="83" spans="2:9" s="6" customFormat="1" ht="24" customHeight="1" x14ac:dyDescent="0.2">
      <c r="B83" s="10"/>
      <c r="C83" s="32"/>
      <c r="D83" s="30"/>
      <c r="E83" s="8"/>
      <c r="F83" s="117" t="str">
        <f>IFERROR(VLOOKUP($E83,設定!$C:$F,2,0),"")</f>
        <v/>
      </c>
      <c r="G83" s="117" t="str">
        <f>IFERROR(VLOOKUP($E83,設定!$C:$F,3,0),"")</f>
        <v/>
      </c>
      <c r="H83" s="118" t="str">
        <f>IFERROR(VLOOKUP($E83,設定!$C:$F,4,0),"")</f>
        <v/>
      </c>
      <c r="I83" s="332"/>
    </row>
    <row r="84" spans="2:9" s="6" customFormat="1" ht="24" customHeight="1" x14ac:dyDescent="0.2">
      <c r="B84" s="10"/>
      <c r="C84" s="32"/>
      <c r="D84" s="30"/>
      <c r="E84" s="8"/>
      <c r="F84" s="117" t="str">
        <f>IFERROR(VLOOKUP($E84,設定!$C:$F,2,0),"")</f>
        <v/>
      </c>
      <c r="G84" s="117" t="str">
        <f>IFERROR(VLOOKUP($E84,設定!$C:$F,3,0),"")</f>
        <v/>
      </c>
      <c r="H84" s="118" t="str">
        <f>IFERROR(VLOOKUP($E84,設定!$C:$F,4,0),"")</f>
        <v/>
      </c>
      <c r="I84" s="332"/>
    </row>
    <row r="85" spans="2:9" s="6" customFormat="1" ht="24" customHeight="1" x14ac:dyDescent="0.2">
      <c r="B85" s="10"/>
      <c r="C85" s="32"/>
      <c r="D85" s="30"/>
      <c r="E85" s="8"/>
      <c r="F85" s="117" t="str">
        <f>IFERROR(VLOOKUP($E85,設定!$C:$F,2,0),"")</f>
        <v/>
      </c>
      <c r="G85" s="117" t="str">
        <f>IFERROR(VLOOKUP($E85,設定!$C:$F,3,0),"")</f>
        <v/>
      </c>
      <c r="H85" s="118" t="str">
        <f>IFERROR(VLOOKUP($E85,設定!$C:$F,4,0),"")</f>
        <v/>
      </c>
      <c r="I85" s="332"/>
    </row>
    <row r="86" spans="2:9" s="6" customFormat="1" ht="24" customHeight="1" x14ac:dyDescent="0.2">
      <c r="B86" s="10"/>
      <c r="C86" s="32"/>
      <c r="D86" s="30"/>
      <c r="E86" s="8"/>
      <c r="F86" s="117" t="str">
        <f>IFERROR(VLOOKUP($E86,設定!$C:$F,2,0),"")</f>
        <v/>
      </c>
      <c r="G86" s="117" t="str">
        <f>IFERROR(VLOOKUP($E86,設定!$C:$F,3,0),"")</f>
        <v/>
      </c>
      <c r="H86" s="118" t="str">
        <f>IFERROR(VLOOKUP($E86,設定!$C:$F,4,0),"")</f>
        <v/>
      </c>
      <c r="I86" s="332"/>
    </row>
    <row r="87" spans="2:9" s="6" customFormat="1" ht="24" customHeight="1" x14ac:dyDescent="0.2">
      <c r="B87" s="10"/>
      <c r="C87" s="32"/>
      <c r="D87" s="30"/>
      <c r="E87" s="8"/>
      <c r="F87" s="117" t="str">
        <f>IFERROR(VLOOKUP($E87,設定!$C:$F,2,0),"")</f>
        <v/>
      </c>
      <c r="G87" s="117" t="str">
        <f>IFERROR(VLOOKUP($E87,設定!$C:$F,3,0),"")</f>
        <v/>
      </c>
      <c r="H87" s="118" t="str">
        <f>IFERROR(VLOOKUP($E87,設定!$C:$F,4,0),"")</f>
        <v/>
      </c>
      <c r="I87" s="332"/>
    </row>
    <row r="88" spans="2:9" s="6" customFormat="1" ht="24" customHeight="1" x14ac:dyDescent="0.2">
      <c r="B88" s="10"/>
      <c r="C88" s="32"/>
      <c r="D88" s="30"/>
      <c r="E88" s="8"/>
      <c r="F88" s="117" t="str">
        <f>IFERROR(VLOOKUP($E88,設定!$C:$F,2,0),"")</f>
        <v/>
      </c>
      <c r="G88" s="117" t="str">
        <f>IFERROR(VLOOKUP($E88,設定!$C:$F,3,0),"")</f>
        <v/>
      </c>
      <c r="H88" s="118" t="str">
        <f>IFERROR(VLOOKUP($E88,設定!$C:$F,4,0),"")</f>
        <v/>
      </c>
      <c r="I88" s="332"/>
    </row>
    <row r="89" spans="2:9" s="6" customFormat="1" ht="24" customHeight="1" x14ac:dyDescent="0.2">
      <c r="B89" s="10"/>
      <c r="C89" s="32"/>
      <c r="D89" s="30"/>
      <c r="E89" s="8"/>
      <c r="F89" s="117" t="str">
        <f>IFERROR(VLOOKUP($E89,設定!$C:$F,2,0),"")</f>
        <v/>
      </c>
      <c r="G89" s="117" t="str">
        <f>IFERROR(VLOOKUP($E89,設定!$C:$F,3,0),"")</f>
        <v/>
      </c>
      <c r="H89" s="118" t="str">
        <f>IFERROR(VLOOKUP($E89,設定!$C:$F,4,0),"")</f>
        <v/>
      </c>
      <c r="I89" s="332"/>
    </row>
    <row r="90" spans="2:9" s="6" customFormat="1" ht="24" customHeight="1" x14ac:dyDescent="0.2">
      <c r="B90" s="10"/>
      <c r="C90" s="32"/>
      <c r="D90" s="30"/>
      <c r="E90" s="8"/>
      <c r="F90" s="117" t="str">
        <f>IFERROR(VLOOKUP($E90,設定!$C:$F,2,0),"")</f>
        <v/>
      </c>
      <c r="G90" s="117" t="str">
        <f>IFERROR(VLOOKUP($E90,設定!$C:$F,3,0),"")</f>
        <v/>
      </c>
      <c r="H90" s="118" t="str">
        <f>IFERROR(VLOOKUP($E90,設定!$C:$F,4,0),"")</f>
        <v/>
      </c>
      <c r="I90" s="332"/>
    </row>
    <row r="91" spans="2:9" s="6" customFormat="1" ht="24" customHeight="1" x14ac:dyDescent="0.2">
      <c r="B91" s="10"/>
      <c r="C91" s="32"/>
      <c r="D91" s="30"/>
      <c r="E91" s="8"/>
      <c r="F91" s="117" t="str">
        <f>IFERROR(VLOOKUP($E91,設定!$C:$F,2,0),"")</f>
        <v/>
      </c>
      <c r="G91" s="117" t="str">
        <f>IFERROR(VLOOKUP($E91,設定!$C:$F,3,0),"")</f>
        <v/>
      </c>
      <c r="H91" s="118" t="str">
        <f>IFERROR(VLOOKUP($E91,設定!$C:$F,4,0),"")</f>
        <v/>
      </c>
      <c r="I91" s="332"/>
    </row>
    <row r="92" spans="2:9" s="6" customFormat="1" ht="24" customHeight="1" x14ac:dyDescent="0.2">
      <c r="B92" s="10"/>
      <c r="C92" s="32"/>
      <c r="D92" s="30"/>
      <c r="E92" s="8"/>
      <c r="F92" s="117" t="str">
        <f>IFERROR(VLOOKUP($E92,設定!$C:$F,2,0),"")</f>
        <v/>
      </c>
      <c r="G92" s="117" t="str">
        <f>IFERROR(VLOOKUP($E92,設定!$C:$F,3,0),"")</f>
        <v/>
      </c>
      <c r="H92" s="118" t="str">
        <f>IFERROR(VLOOKUP($E92,設定!$C:$F,4,0),"")</f>
        <v/>
      </c>
      <c r="I92" s="332"/>
    </row>
    <row r="93" spans="2:9" s="6" customFormat="1" ht="24" customHeight="1" x14ac:dyDescent="0.2">
      <c r="B93" s="10"/>
      <c r="C93" s="32"/>
      <c r="D93" s="30"/>
      <c r="E93" s="8"/>
      <c r="F93" s="117" t="str">
        <f>IFERROR(VLOOKUP($E93,設定!$C:$F,2,0),"")</f>
        <v/>
      </c>
      <c r="G93" s="117" t="str">
        <f>IFERROR(VLOOKUP($E93,設定!$C:$F,3,0),"")</f>
        <v/>
      </c>
      <c r="H93" s="118" t="str">
        <f>IFERROR(VLOOKUP($E93,設定!$C:$F,4,0),"")</f>
        <v/>
      </c>
      <c r="I93" s="332"/>
    </row>
    <row r="94" spans="2:9" s="6" customFormat="1" ht="24" customHeight="1" x14ac:dyDescent="0.2">
      <c r="B94" s="10"/>
      <c r="C94" s="32"/>
      <c r="D94" s="30"/>
      <c r="E94" s="8"/>
      <c r="F94" s="117" t="str">
        <f>IFERROR(VLOOKUP($E94,設定!$C:$F,2,0),"")</f>
        <v/>
      </c>
      <c r="G94" s="117" t="str">
        <f>IFERROR(VLOOKUP($E94,設定!$C:$F,3,0),"")</f>
        <v/>
      </c>
      <c r="H94" s="118" t="str">
        <f>IFERROR(VLOOKUP($E94,設定!$C:$F,4,0),"")</f>
        <v/>
      </c>
      <c r="I94" s="332"/>
    </row>
    <row r="95" spans="2:9" s="6" customFormat="1" ht="24" customHeight="1" x14ac:dyDescent="0.2">
      <c r="B95" s="10"/>
      <c r="C95" s="32"/>
      <c r="D95" s="30"/>
      <c r="E95" s="8"/>
      <c r="F95" s="117" t="str">
        <f>IFERROR(VLOOKUP($E95,設定!$C:$F,2,0),"")</f>
        <v/>
      </c>
      <c r="G95" s="117" t="str">
        <f>IFERROR(VLOOKUP($E95,設定!$C:$F,3,0),"")</f>
        <v/>
      </c>
      <c r="H95" s="118" t="str">
        <f>IFERROR(VLOOKUP($E95,設定!$C:$F,4,0),"")</f>
        <v/>
      </c>
      <c r="I95" s="332"/>
    </row>
    <row r="96" spans="2:9" s="6" customFormat="1" ht="24" customHeight="1" x14ac:dyDescent="0.2">
      <c r="B96" s="10"/>
      <c r="C96" s="32"/>
      <c r="D96" s="30"/>
      <c r="E96" s="8"/>
      <c r="F96" s="117" t="str">
        <f>IFERROR(VLOOKUP($E96,設定!$C:$F,2,0),"")</f>
        <v/>
      </c>
      <c r="G96" s="117" t="str">
        <f>IFERROR(VLOOKUP($E96,設定!$C:$F,3,0),"")</f>
        <v/>
      </c>
      <c r="H96" s="118" t="str">
        <f>IFERROR(VLOOKUP($E96,設定!$C:$F,4,0),"")</f>
        <v/>
      </c>
      <c r="I96" s="332"/>
    </row>
    <row r="97" spans="2:9" s="6" customFormat="1" ht="24" customHeight="1" x14ac:dyDescent="0.2">
      <c r="B97" s="10"/>
      <c r="C97" s="32"/>
      <c r="D97" s="30"/>
      <c r="E97" s="8"/>
      <c r="F97" s="117" t="str">
        <f>IFERROR(VLOOKUP($E97,設定!$C:$F,2,0),"")</f>
        <v/>
      </c>
      <c r="G97" s="117" t="str">
        <f>IFERROR(VLOOKUP($E97,設定!$C:$F,3,0),"")</f>
        <v/>
      </c>
      <c r="H97" s="118" t="str">
        <f>IFERROR(VLOOKUP($E97,設定!$C:$F,4,0),"")</f>
        <v/>
      </c>
      <c r="I97" s="332"/>
    </row>
    <row r="98" spans="2:9" s="6" customFormat="1" ht="24" customHeight="1" x14ac:dyDescent="0.2">
      <c r="B98" s="10"/>
      <c r="C98" s="32"/>
      <c r="D98" s="30"/>
      <c r="E98" s="8"/>
      <c r="F98" s="117" t="str">
        <f>IFERROR(VLOOKUP($E98,設定!$C:$F,2,0),"")</f>
        <v/>
      </c>
      <c r="G98" s="117" t="str">
        <f>IFERROR(VLOOKUP($E98,設定!$C:$F,3,0),"")</f>
        <v/>
      </c>
      <c r="H98" s="118" t="str">
        <f>IFERROR(VLOOKUP($E98,設定!$C:$F,4,0),"")</f>
        <v/>
      </c>
      <c r="I98" s="332"/>
    </row>
    <row r="99" spans="2:9" s="6" customFormat="1" ht="24" customHeight="1" x14ac:dyDescent="0.2">
      <c r="B99" s="10"/>
      <c r="C99" s="32"/>
      <c r="D99" s="30"/>
      <c r="E99" s="8"/>
      <c r="F99" s="117" t="str">
        <f>IFERROR(VLOOKUP($E99,設定!$C:$F,2,0),"")</f>
        <v/>
      </c>
      <c r="G99" s="117" t="str">
        <f>IFERROR(VLOOKUP($E99,設定!$C:$F,3,0),"")</f>
        <v/>
      </c>
      <c r="H99" s="118" t="str">
        <f>IFERROR(VLOOKUP($E99,設定!$C:$F,4,0),"")</f>
        <v/>
      </c>
      <c r="I99" s="332"/>
    </row>
    <row r="100" spans="2:9" s="6" customFormat="1" ht="24" customHeight="1" x14ac:dyDescent="0.2">
      <c r="B100" s="10"/>
      <c r="C100" s="32"/>
      <c r="D100" s="30"/>
      <c r="E100" s="8"/>
      <c r="F100" s="117" t="str">
        <f>IFERROR(VLOOKUP($E100,設定!$C:$F,2,0),"")</f>
        <v/>
      </c>
      <c r="G100" s="117" t="str">
        <f>IFERROR(VLOOKUP($E100,設定!$C:$F,3,0),"")</f>
        <v/>
      </c>
      <c r="H100" s="118" t="str">
        <f>IFERROR(VLOOKUP($E100,設定!$C:$F,4,0),"")</f>
        <v/>
      </c>
      <c r="I100" s="332"/>
    </row>
    <row r="101" spans="2:9" s="6" customFormat="1" ht="24" customHeight="1" x14ac:dyDescent="0.2">
      <c r="B101" s="10"/>
      <c r="C101" s="32"/>
      <c r="D101" s="30"/>
      <c r="E101" s="8"/>
      <c r="F101" s="117" t="str">
        <f>IFERROR(VLOOKUP($E101,設定!$C:$F,2,0),"")</f>
        <v/>
      </c>
      <c r="G101" s="117" t="str">
        <f>IFERROR(VLOOKUP($E101,設定!$C:$F,3,0),"")</f>
        <v/>
      </c>
      <c r="H101" s="118" t="str">
        <f>IFERROR(VLOOKUP($E101,設定!$C:$F,4,0),"")</f>
        <v/>
      </c>
      <c r="I101" s="332"/>
    </row>
    <row r="102" spans="2:9" s="6" customFormat="1" ht="24" customHeight="1" x14ac:dyDescent="0.2">
      <c r="B102" s="10"/>
      <c r="C102" s="32"/>
      <c r="D102" s="30"/>
      <c r="E102" s="8"/>
      <c r="F102" s="117" t="str">
        <f>IFERROR(VLOOKUP($E102,設定!$C:$F,2,0),"")</f>
        <v/>
      </c>
      <c r="G102" s="117" t="str">
        <f>IFERROR(VLOOKUP($E102,設定!$C:$F,3,0),"")</f>
        <v/>
      </c>
      <c r="H102" s="118" t="str">
        <f>IFERROR(VLOOKUP($E102,設定!$C:$F,4,0),"")</f>
        <v/>
      </c>
      <c r="I102" s="332"/>
    </row>
    <row r="103" spans="2:9" s="6" customFormat="1" ht="24" customHeight="1" x14ac:dyDescent="0.2">
      <c r="B103" s="10"/>
      <c r="C103" s="32"/>
      <c r="D103" s="30"/>
      <c r="E103" s="8"/>
      <c r="F103" s="117" t="str">
        <f>IFERROR(VLOOKUP($E103,設定!$C:$F,2,0),"")</f>
        <v/>
      </c>
      <c r="G103" s="117" t="str">
        <f>IFERROR(VLOOKUP($E103,設定!$C:$F,3,0),"")</f>
        <v/>
      </c>
      <c r="H103" s="118" t="str">
        <f>IFERROR(VLOOKUP($E103,設定!$C:$F,4,0),"")</f>
        <v/>
      </c>
      <c r="I103" s="332"/>
    </row>
    <row r="104" spans="2:9" s="6" customFormat="1" ht="24" customHeight="1" x14ac:dyDescent="0.2">
      <c r="B104" s="10"/>
      <c r="C104" s="32"/>
      <c r="D104" s="30"/>
      <c r="E104" s="8"/>
      <c r="F104" s="117" t="str">
        <f>IFERROR(VLOOKUP($E104,設定!$C:$F,2,0),"")</f>
        <v/>
      </c>
      <c r="G104" s="117" t="str">
        <f>IFERROR(VLOOKUP($E104,設定!$C:$F,3,0),"")</f>
        <v/>
      </c>
      <c r="H104" s="118" t="str">
        <f>IFERROR(VLOOKUP($E104,設定!$C:$F,4,0),"")</f>
        <v/>
      </c>
      <c r="I104" s="332"/>
    </row>
    <row r="105" spans="2:9" s="6" customFormat="1" ht="24" customHeight="1" x14ac:dyDescent="0.2">
      <c r="B105" s="10"/>
      <c r="C105" s="32"/>
      <c r="D105" s="30"/>
      <c r="E105" s="8"/>
      <c r="F105" s="117" t="str">
        <f>IFERROR(VLOOKUP($E105,設定!$C:$F,2,0),"")</f>
        <v/>
      </c>
      <c r="G105" s="117" t="str">
        <f>IFERROR(VLOOKUP($E105,設定!$C:$F,3,0),"")</f>
        <v/>
      </c>
      <c r="H105" s="118" t="str">
        <f>IFERROR(VLOOKUP($E105,設定!$C:$F,4,0),"")</f>
        <v/>
      </c>
      <c r="I105" s="332"/>
    </row>
    <row r="106" spans="2:9" s="6" customFormat="1" ht="24" customHeight="1" thickBot="1" x14ac:dyDescent="0.25">
      <c r="B106" s="11"/>
      <c r="C106" s="33"/>
      <c r="D106" s="31"/>
      <c r="E106" s="9"/>
      <c r="F106" s="119" t="str">
        <f>IFERROR(VLOOKUP($E106,設定!$C:$F,2,0),"")</f>
        <v/>
      </c>
      <c r="G106" s="119" t="str">
        <f>IFERROR(VLOOKUP($E106,設定!$C:$F,3,0),"")</f>
        <v/>
      </c>
      <c r="H106" s="120" t="str">
        <f>IFERROR(VLOOKUP($E106,設定!$C:$F,4,0),"")</f>
        <v/>
      </c>
      <c r="I106" s="333"/>
    </row>
    <row r="107" spans="2:9" ht="7.5" customHeight="1" x14ac:dyDescent="0.2">
      <c r="E107" s="2"/>
      <c r="I107" s="3"/>
    </row>
    <row r="108" spans="2:9" ht="7.5" customHeight="1" x14ac:dyDescent="0.2">
      <c r="E108" s="3"/>
      <c r="I108" s="2"/>
    </row>
  </sheetData>
  <mergeCells count="11">
    <mergeCell ref="B1:I1"/>
    <mergeCell ref="B2:D2"/>
    <mergeCell ref="C5:C6"/>
    <mergeCell ref="H5:H6"/>
    <mergeCell ref="G5:G6"/>
    <mergeCell ref="F5:F6"/>
    <mergeCell ref="B3:D3"/>
    <mergeCell ref="D5:D6"/>
    <mergeCell ref="B5:B6"/>
    <mergeCell ref="E5:E6"/>
    <mergeCell ref="I5:I6"/>
  </mergeCells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>
    <oddHeader>&amp;R&amp;14
別紙２－１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9F326C-9E19-4561-A902-D8515798761D}">
          <x14:formula1>
            <xm:f>INDIRECT(設定!$F$3)</xm:f>
          </x14:formula1>
          <xm:sqref>D7:D106</xm:sqref>
        </x14:dataValidation>
        <x14:dataValidation type="list" allowBlank="1" showInputMessage="1" showErrorMessage="1" xr:uid="{E4C8C84B-F6B8-431D-AB16-47C9EE71E21D}">
          <x14:formula1>
            <xm:f>設定!$C$10:$C$109</xm:f>
          </x14:formula1>
          <xm:sqref>E7:E106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5D0-79D6-4BF3-9401-EE446E22BFB2}">
  <sheetPr>
    <pageSetUpPr fitToPage="1"/>
  </sheetPr>
  <dimension ref="A1:CW55"/>
  <sheetViews>
    <sheetView showGridLines="0" zoomScale="70" zoomScaleNormal="70" zoomScaleSheetLayoutView="70" workbookViewId="0"/>
  </sheetViews>
  <sheetFormatPr defaultColWidth="2.77734375" defaultRowHeight="14.25" customHeight="1" x14ac:dyDescent="0.2"/>
  <cols>
    <col min="1" max="1" width="0.88671875" style="19" customWidth="1"/>
    <col min="2" max="2" width="2.6640625" style="19" customWidth="1"/>
    <col min="3" max="5" width="2.77734375" style="19" customWidth="1"/>
    <col min="6" max="15" width="2.6640625" style="19" customWidth="1"/>
    <col min="16" max="36" width="17.33203125" style="19" customWidth="1"/>
    <col min="37" max="37" width="17.33203125" style="18" customWidth="1"/>
    <col min="38" max="46" width="2.6640625" style="18" customWidth="1"/>
    <col min="47" max="53" width="2.77734375" style="19"/>
    <col min="54" max="54" width="4.6640625" customWidth="1"/>
    <col min="55" max="55" width="17.77734375" customWidth="1"/>
    <col min="56" max="70" width="12.6640625" customWidth="1"/>
    <col min="71" max="83" width="12.33203125" customWidth="1"/>
    <col min="84" max="84" width="2.6640625" style="19" customWidth="1"/>
    <col min="85" max="96" width="12.33203125" style="19" customWidth="1"/>
    <col min="97" max="16384" width="2.77734375" style="19"/>
  </cols>
  <sheetData>
    <row r="1" spans="1:101" ht="14.25" customHeight="1" x14ac:dyDescent="0.2">
      <c r="A1" s="195" t="s">
        <v>120</v>
      </c>
      <c r="AK1" s="19"/>
      <c r="AL1" s="19"/>
      <c r="AM1" s="19"/>
      <c r="AN1" s="19"/>
      <c r="AO1" s="19"/>
      <c r="AP1" s="19"/>
      <c r="AQ1" s="19"/>
      <c r="AR1" s="19"/>
      <c r="AS1" s="19"/>
      <c r="AT1" s="19"/>
      <c r="BB1" s="202" t="s">
        <v>124</v>
      </c>
      <c r="BC1" s="203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3"/>
      <c r="BO1" s="203"/>
      <c r="BP1" s="203"/>
      <c r="BQ1" s="203"/>
      <c r="BR1" s="203"/>
    </row>
    <row r="2" spans="1:101" s="178" customFormat="1" ht="16.2" x14ac:dyDescent="0.2">
      <c r="A2" s="15" t="s">
        <v>114</v>
      </c>
      <c r="B2" s="15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3"/>
      <c r="AV2" s="83"/>
      <c r="AW2" s="83"/>
      <c r="AX2" s="83"/>
      <c r="BB2" s="205" t="s">
        <v>114</v>
      </c>
      <c r="BC2" s="203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3"/>
      <c r="BO2" s="203"/>
      <c r="BP2" s="203"/>
      <c r="BQ2" s="203"/>
      <c r="BR2" s="203"/>
      <c r="BS2" s="177"/>
      <c r="BT2" s="177"/>
      <c r="BU2" s="177"/>
      <c r="BV2" s="177"/>
      <c r="BW2" s="177"/>
      <c r="BX2" s="177"/>
      <c r="BY2" s="177"/>
      <c r="BZ2" s="177"/>
      <c r="CA2" s="177"/>
      <c r="CB2" s="177"/>
      <c r="CC2" s="177"/>
      <c r="CD2" s="177"/>
      <c r="CE2" s="177"/>
    </row>
    <row r="3" spans="1:101" ht="14.1" customHeight="1" x14ac:dyDescent="0.2">
      <c r="A3" s="15"/>
      <c r="B3" s="15"/>
      <c r="C3" s="20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82"/>
      <c r="AK3" s="461"/>
      <c r="AL3" s="461"/>
      <c r="AM3" s="461"/>
      <c r="AN3" s="461"/>
      <c r="AO3" s="462"/>
      <c r="AP3" s="461"/>
      <c r="AQ3" s="461"/>
      <c r="AR3" s="461"/>
      <c r="AS3" s="461"/>
      <c r="AT3" s="461"/>
      <c r="AU3" s="83"/>
      <c r="AV3" s="83"/>
      <c r="AW3" s="83"/>
      <c r="AX3" s="83"/>
      <c r="BB3" s="203"/>
      <c r="BC3" s="203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3"/>
      <c r="BO3" s="203"/>
      <c r="BP3" s="203"/>
      <c r="BQ3" s="203"/>
      <c r="BR3" s="203"/>
    </row>
    <row r="4" spans="1:101" s="21" customFormat="1" ht="14.1" hidden="1" customHeight="1" x14ac:dyDescent="0.2">
      <c r="C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82"/>
      <c r="AK4" s="461"/>
      <c r="AL4" s="461"/>
      <c r="AM4" s="461"/>
      <c r="AN4" s="461"/>
      <c r="AO4" s="462"/>
      <c r="AP4" s="461"/>
      <c r="AQ4" s="461"/>
      <c r="AR4" s="461"/>
      <c r="AS4" s="461"/>
      <c r="AT4" s="461"/>
      <c r="AU4" s="84"/>
      <c r="AV4" s="84"/>
      <c r="AW4" s="84"/>
      <c r="AX4" s="84"/>
      <c r="BB4" s="206"/>
      <c r="BC4" s="206"/>
      <c r="BD4" s="207"/>
      <c r="BE4" s="207"/>
      <c r="BF4" s="207"/>
      <c r="BG4" s="206"/>
      <c r="BH4" s="207"/>
      <c r="BI4" s="207"/>
      <c r="BJ4" s="206"/>
      <c r="BK4" s="207"/>
      <c r="BL4" s="207"/>
      <c r="BM4" s="206"/>
      <c r="BN4" s="206"/>
      <c r="BO4" s="206"/>
      <c r="BP4" s="206"/>
      <c r="BQ4" s="206"/>
      <c r="BR4" s="206"/>
      <c r="BS4"/>
      <c r="BT4"/>
      <c r="BU4"/>
      <c r="BV4"/>
      <c r="BW4"/>
      <c r="BX4"/>
      <c r="BY4"/>
      <c r="BZ4"/>
      <c r="CA4"/>
      <c r="CB4"/>
      <c r="CC4"/>
      <c r="CD4"/>
      <c r="CE4"/>
    </row>
    <row r="5" spans="1:101" s="21" customFormat="1" ht="14.1" hidden="1" customHeight="1" x14ac:dyDescent="0.2">
      <c r="C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82"/>
      <c r="AK5" s="461"/>
      <c r="AL5" s="461"/>
      <c r="AM5" s="461"/>
      <c r="AN5" s="461"/>
      <c r="AO5" s="462"/>
      <c r="AP5" s="461"/>
      <c r="AQ5" s="461"/>
      <c r="AR5" s="461"/>
      <c r="AS5" s="461"/>
      <c r="AT5" s="461"/>
      <c r="AU5" s="84"/>
      <c r="AV5" s="84"/>
      <c r="AW5" s="84"/>
      <c r="AX5" s="84"/>
      <c r="BB5" s="206"/>
      <c r="BC5" s="206"/>
      <c r="BD5" s="207"/>
      <c r="BE5" s="207"/>
      <c r="BF5" s="207"/>
      <c r="BG5" s="206"/>
      <c r="BH5" s="207"/>
      <c r="BI5" s="207"/>
      <c r="BJ5" s="206"/>
      <c r="BK5" s="207"/>
      <c r="BL5" s="207"/>
      <c r="BM5" s="206"/>
      <c r="BN5" s="206"/>
      <c r="BO5" s="206"/>
      <c r="BP5" s="206"/>
      <c r="BQ5" s="206"/>
      <c r="BR5" s="206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1:101" ht="14.4" hidden="1" x14ac:dyDescent="0.2"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82"/>
      <c r="AK6" s="461"/>
      <c r="AL6" s="461"/>
      <c r="AM6" s="461"/>
      <c r="AN6" s="461"/>
      <c r="AO6" s="462"/>
      <c r="AP6" s="461"/>
      <c r="AQ6" s="461"/>
      <c r="AR6" s="461"/>
      <c r="AS6" s="461"/>
      <c r="AT6" s="461"/>
      <c r="AU6" s="83"/>
      <c r="AV6" s="83"/>
      <c r="AW6" s="83"/>
      <c r="AX6" s="83"/>
      <c r="BB6" s="208" t="s">
        <v>125</v>
      </c>
      <c r="BC6" s="208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8"/>
      <c r="BO6" s="208"/>
      <c r="BP6" s="203"/>
      <c r="BQ6" s="203"/>
      <c r="BR6" s="203"/>
    </row>
    <row r="7" spans="1:101" s="23" customFormat="1" ht="18" customHeight="1" x14ac:dyDescent="0.2">
      <c r="A7" s="22" t="s">
        <v>115</v>
      </c>
      <c r="B7" s="22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2" t="s">
        <v>116</v>
      </c>
      <c r="AK7" s="24"/>
      <c r="AL7" s="25"/>
      <c r="AM7" s="25"/>
      <c r="AN7" s="24"/>
      <c r="AO7" s="24"/>
      <c r="AP7" s="24"/>
      <c r="AQ7" s="24"/>
      <c r="AR7" s="24"/>
      <c r="AS7" s="24"/>
      <c r="AT7" s="24"/>
      <c r="BB7" s="210"/>
      <c r="BC7" s="202"/>
      <c r="BD7" s="204"/>
      <c r="BE7" s="204"/>
      <c r="BF7" s="204"/>
      <c r="BG7" s="204"/>
      <c r="BH7" s="204"/>
      <c r="BI7" s="204"/>
      <c r="BJ7" s="204"/>
      <c r="BK7" s="204"/>
      <c r="BL7" s="204"/>
      <c r="BM7" s="204"/>
      <c r="BN7" s="202"/>
      <c r="BO7" s="202"/>
      <c r="BP7" s="202"/>
      <c r="BQ7" s="202"/>
      <c r="BR7" s="202"/>
      <c r="BS7" s="177"/>
      <c r="BT7" s="177"/>
      <c r="BU7" s="177"/>
      <c r="BV7" s="177"/>
      <c r="BW7" s="177"/>
      <c r="BX7" s="177"/>
      <c r="BY7" s="177"/>
      <c r="BZ7" s="177"/>
      <c r="CA7" s="177"/>
      <c r="CB7" s="177"/>
      <c r="CC7" s="177"/>
      <c r="CD7" s="177"/>
      <c r="CE7" s="177"/>
    </row>
    <row r="8" spans="1:101" s="87" customFormat="1" ht="19.5" customHeight="1" x14ac:dyDescent="0.2">
      <c r="A8" s="85"/>
      <c r="B8" s="85"/>
      <c r="C8" s="86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9"/>
      <c r="AK8" s="88"/>
      <c r="AL8" s="90"/>
      <c r="AM8" s="90"/>
      <c r="AN8" s="88"/>
      <c r="AO8" s="88"/>
      <c r="AP8" s="88"/>
      <c r="AQ8" s="88"/>
      <c r="AR8" s="88"/>
      <c r="AS8" s="88"/>
      <c r="AT8" s="88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212"/>
      <c r="BN8" s="211"/>
      <c r="BO8" s="211"/>
      <c r="BP8" s="211"/>
      <c r="BQ8" s="212"/>
      <c r="BR8" s="212"/>
      <c r="BS8"/>
      <c r="BT8"/>
      <c r="BU8"/>
      <c r="BV8"/>
      <c r="BW8"/>
      <c r="BX8"/>
      <c r="BY8"/>
      <c r="BZ8"/>
      <c r="CA8"/>
      <c r="CB8"/>
      <c r="CC8"/>
      <c r="CD8"/>
      <c r="CE8"/>
    </row>
    <row r="9" spans="1:101" s="87" customFormat="1" ht="19.5" customHeight="1" thickBot="1" x14ac:dyDescent="0.25">
      <c r="A9" s="85"/>
      <c r="B9" s="85"/>
      <c r="C9" s="86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90" t="s">
        <v>45</v>
      </c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89"/>
      <c r="AK9" s="88"/>
      <c r="AL9" s="90"/>
      <c r="AM9" s="90"/>
      <c r="AN9" s="88"/>
      <c r="AO9" s="88"/>
      <c r="AP9" s="88"/>
      <c r="AQ9" s="88"/>
      <c r="AR9" s="88"/>
      <c r="AS9" s="88"/>
      <c r="AT9" s="88"/>
      <c r="AX9" s="90" t="s">
        <v>45</v>
      </c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3" t="s">
        <v>45</v>
      </c>
      <c r="BN9" s="211"/>
      <c r="BO9" s="211"/>
      <c r="BP9" s="211"/>
      <c r="BQ9" s="212"/>
      <c r="BR9" s="212"/>
      <c r="BS9"/>
      <c r="BT9"/>
      <c r="BU9"/>
      <c r="BV9"/>
      <c r="BW9"/>
      <c r="BX9"/>
      <c r="BY9"/>
      <c r="BZ9"/>
      <c r="CA9"/>
      <c r="CB9"/>
      <c r="CC9"/>
      <c r="CD9"/>
      <c r="CE9"/>
    </row>
    <row r="10" spans="1:101" ht="30.75" customHeight="1" x14ac:dyDescent="0.2">
      <c r="C10" s="463" t="s">
        <v>21</v>
      </c>
      <c r="D10" s="464"/>
      <c r="E10" s="464"/>
      <c r="F10" s="469" t="s">
        <v>22</v>
      </c>
      <c r="G10" s="470"/>
      <c r="H10" s="470"/>
      <c r="I10" s="470"/>
      <c r="J10" s="470"/>
      <c r="K10" s="470"/>
      <c r="L10" s="470"/>
      <c r="M10" s="91"/>
      <c r="N10" s="91"/>
      <c r="O10" s="91"/>
      <c r="P10" s="92">
        <v>1</v>
      </c>
      <c r="Q10" s="93">
        <v>2</v>
      </c>
      <c r="R10" s="93">
        <v>3</v>
      </c>
      <c r="S10" s="93">
        <v>4</v>
      </c>
      <c r="T10" s="93">
        <v>5</v>
      </c>
      <c r="U10" s="94">
        <v>6</v>
      </c>
      <c r="V10" s="93">
        <v>7</v>
      </c>
      <c r="W10" s="93">
        <v>8</v>
      </c>
      <c r="X10" s="93">
        <v>9</v>
      </c>
      <c r="Y10" s="93">
        <v>10</v>
      </c>
      <c r="Z10" s="93">
        <v>11</v>
      </c>
      <c r="AA10" s="93">
        <v>12</v>
      </c>
      <c r="AB10" s="93">
        <v>13</v>
      </c>
      <c r="AC10" s="93">
        <v>14</v>
      </c>
      <c r="AD10" s="93">
        <v>15</v>
      </c>
      <c r="AE10" s="93">
        <v>16</v>
      </c>
      <c r="AF10" s="93">
        <v>17</v>
      </c>
      <c r="AG10" s="93">
        <v>18</v>
      </c>
      <c r="AH10" s="93">
        <v>19</v>
      </c>
      <c r="AI10" s="290">
        <v>20</v>
      </c>
      <c r="AJ10" s="475" t="s">
        <v>24</v>
      </c>
      <c r="AK10" s="478" t="s">
        <v>25</v>
      </c>
      <c r="AL10" s="463" t="s">
        <v>21</v>
      </c>
      <c r="AM10" s="464"/>
      <c r="AN10" s="464"/>
      <c r="AO10" s="481" t="s">
        <v>22</v>
      </c>
      <c r="AP10" s="464"/>
      <c r="AQ10" s="464"/>
      <c r="AR10" s="464"/>
      <c r="AS10" s="464"/>
      <c r="AT10" s="464"/>
      <c r="AU10" s="464"/>
      <c r="AV10" s="464"/>
      <c r="AW10" s="464"/>
      <c r="AX10" s="482"/>
      <c r="BB10" s="405"/>
      <c r="BC10" s="405"/>
      <c r="BD10" s="406" t="s">
        <v>126</v>
      </c>
      <c r="BE10" s="406"/>
      <c r="BF10" s="407"/>
      <c r="BG10" s="408" t="s">
        <v>127</v>
      </c>
      <c r="BH10" s="406"/>
      <c r="BI10" s="406"/>
      <c r="BJ10" s="406"/>
      <c r="BK10" s="406"/>
      <c r="BL10" s="406"/>
      <c r="BM10" s="407"/>
      <c r="BN10" s="203"/>
      <c r="BO10" s="214"/>
      <c r="BP10" s="214"/>
      <c r="BQ10" s="215"/>
      <c r="BR10" s="215"/>
    </row>
    <row r="11" spans="1:101" ht="30" customHeight="1" thickBot="1" x14ac:dyDescent="0.25">
      <c r="C11" s="465"/>
      <c r="D11" s="466"/>
      <c r="E11" s="466"/>
      <c r="F11" s="471"/>
      <c r="G11" s="472"/>
      <c r="H11" s="472"/>
      <c r="I11" s="472"/>
      <c r="J11" s="472"/>
      <c r="K11" s="472"/>
      <c r="L11" s="472"/>
      <c r="M11" s="487" t="s">
        <v>23</v>
      </c>
      <c r="N11" s="488"/>
      <c r="O11" s="488"/>
      <c r="P11" s="287" t="str">
        <f>リスト!T2</f>
        <v/>
      </c>
      <c r="Q11" s="288" t="str">
        <f>リスト!T3</f>
        <v/>
      </c>
      <c r="R11" s="288" t="str">
        <f>リスト!T4</f>
        <v/>
      </c>
      <c r="S11" s="288" t="str">
        <f>リスト!T5</f>
        <v/>
      </c>
      <c r="T11" s="288" t="str">
        <f>リスト!T6</f>
        <v/>
      </c>
      <c r="U11" s="288" t="str">
        <f>リスト!T7</f>
        <v/>
      </c>
      <c r="V11" s="288" t="str">
        <f>リスト!T8</f>
        <v/>
      </c>
      <c r="W11" s="288" t="str">
        <f>リスト!T9</f>
        <v/>
      </c>
      <c r="X11" s="288" t="str">
        <f>リスト!T10</f>
        <v/>
      </c>
      <c r="Y11" s="288" t="str">
        <f>リスト!T11</f>
        <v/>
      </c>
      <c r="Z11" s="288" t="str">
        <f>リスト!T12</f>
        <v/>
      </c>
      <c r="AA11" s="288" t="str">
        <f>リスト!T13</f>
        <v/>
      </c>
      <c r="AB11" s="288" t="str">
        <f>リスト!T14</f>
        <v/>
      </c>
      <c r="AC11" s="288" t="str">
        <f>リスト!T15</f>
        <v/>
      </c>
      <c r="AD11" s="288" t="str">
        <f>リスト!T16</f>
        <v/>
      </c>
      <c r="AE11" s="288" t="str">
        <f>リスト!T17</f>
        <v/>
      </c>
      <c r="AF11" s="288" t="str">
        <f>リスト!T18</f>
        <v/>
      </c>
      <c r="AG11" s="288" t="str">
        <f>リスト!T19</f>
        <v/>
      </c>
      <c r="AH11" s="288" t="str">
        <f>リスト!T20</f>
        <v/>
      </c>
      <c r="AI11" s="289" t="str">
        <f>リスト!T21</f>
        <v/>
      </c>
      <c r="AJ11" s="476"/>
      <c r="AK11" s="479"/>
      <c r="AL11" s="465"/>
      <c r="AM11" s="466"/>
      <c r="AN11" s="466"/>
      <c r="AO11" s="483"/>
      <c r="AP11" s="466"/>
      <c r="AQ11" s="466"/>
      <c r="AR11" s="466"/>
      <c r="AS11" s="466"/>
      <c r="AT11" s="466"/>
      <c r="AU11" s="466"/>
      <c r="AV11" s="466"/>
      <c r="AW11" s="466"/>
      <c r="AX11" s="484"/>
      <c r="BB11" s="405"/>
      <c r="BC11" s="405"/>
      <c r="BD11" s="389" t="s">
        <v>128</v>
      </c>
      <c r="BE11" s="389" t="s">
        <v>129</v>
      </c>
      <c r="BF11" s="389" t="s">
        <v>130</v>
      </c>
      <c r="BG11" s="394" t="s">
        <v>131</v>
      </c>
      <c r="BH11" s="398"/>
      <c r="BI11" s="409"/>
      <c r="BJ11" s="410" t="s">
        <v>132</v>
      </c>
      <c r="BK11" s="411"/>
      <c r="BL11" s="411"/>
      <c r="BM11" s="389" t="s">
        <v>133</v>
      </c>
      <c r="BN11" s="203"/>
      <c r="BO11" s="214"/>
      <c r="BP11" s="214"/>
      <c r="BQ11" s="215"/>
      <c r="BR11" s="215"/>
    </row>
    <row r="12" spans="1:101" ht="30" customHeight="1" thickTop="1" x14ac:dyDescent="0.2">
      <c r="C12" s="465"/>
      <c r="D12" s="466"/>
      <c r="E12" s="466"/>
      <c r="F12" s="471"/>
      <c r="G12" s="472"/>
      <c r="H12" s="472"/>
      <c r="I12" s="472"/>
      <c r="J12" s="472"/>
      <c r="K12" s="472"/>
      <c r="L12" s="472"/>
      <c r="M12" s="487" t="s">
        <v>46</v>
      </c>
      <c r="N12" s="488"/>
      <c r="O12" s="488"/>
      <c r="P12" s="95" t="str">
        <f>IFERROR(VLOOKUP(P11,設定!$C:$E,2,0),"")</f>
        <v/>
      </c>
      <c r="Q12" s="96" t="str">
        <f>IFERROR(VLOOKUP(Q11,設定!$C:$E,2,0),"")</f>
        <v/>
      </c>
      <c r="R12" s="96" t="str">
        <f>IFERROR(VLOOKUP(R11,設定!$C:$E,2,0),"")</f>
        <v/>
      </c>
      <c r="S12" s="96" t="str">
        <f>IFERROR(VLOOKUP(S11,設定!$C:$E,2,0),"")</f>
        <v/>
      </c>
      <c r="T12" s="96" t="str">
        <f>IFERROR(VLOOKUP(T11,設定!$C:$E,2,0),"")</f>
        <v/>
      </c>
      <c r="U12" s="108" t="str">
        <f>IFERROR(VLOOKUP(U11,設定!$C:$E,2,0),"")</f>
        <v/>
      </c>
      <c r="V12" s="109" t="str">
        <f>IFERROR(VLOOKUP(V11,設定!$C:$E,2,0),"")</f>
        <v/>
      </c>
      <c r="W12" s="109" t="str">
        <f>IFERROR(VLOOKUP(W11,設定!$C:$E,2,0),"")</f>
        <v/>
      </c>
      <c r="X12" s="109" t="str">
        <f>IFERROR(VLOOKUP(X11,設定!$C:$E,2,0),"")</f>
        <v/>
      </c>
      <c r="Y12" s="109" t="str">
        <f>IFERROR(VLOOKUP(Y11,設定!$C:$E,2,0),"")</f>
        <v/>
      </c>
      <c r="Z12" s="109" t="str">
        <f>IFERROR(VLOOKUP(Z11,設定!$C:$E,2,0),"")</f>
        <v/>
      </c>
      <c r="AA12" s="109" t="str">
        <f>IFERROR(VLOOKUP(AA11,設定!$C:$E,2,0),"")</f>
        <v/>
      </c>
      <c r="AB12" s="109" t="str">
        <f>IFERROR(VLOOKUP(AB11,設定!$C:$E,2,0),"")</f>
        <v/>
      </c>
      <c r="AC12" s="109" t="str">
        <f>IFERROR(VLOOKUP(AC11,設定!$C:$E,2,0),"")</f>
        <v/>
      </c>
      <c r="AD12" s="109" t="str">
        <f>IFERROR(VLOOKUP(AD11,設定!$C:$E,2,0),"")</f>
        <v/>
      </c>
      <c r="AE12" s="109" t="str">
        <f>IFERROR(VLOOKUP(AE11,設定!$C:$E,2,0),"")</f>
        <v/>
      </c>
      <c r="AF12" s="109" t="str">
        <f>IFERROR(VLOOKUP(AF11,設定!$C:$E,2,0),"")</f>
        <v/>
      </c>
      <c r="AG12" s="109" t="str">
        <f>IFERROR(VLOOKUP(AG11,設定!$C:$E,2,0),"")</f>
        <v/>
      </c>
      <c r="AH12" s="109" t="str">
        <f>IFERROR(VLOOKUP(AH11,設定!$C:$E,2,0),"")</f>
        <v/>
      </c>
      <c r="AI12" s="110" t="str">
        <f>IFERROR(VLOOKUP(AI11,設定!$C:$E,2,0),"")</f>
        <v/>
      </c>
      <c r="AJ12" s="476"/>
      <c r="AK12" s="479"/>
      <c r="AL12" s="465"/>
      <c r="AM12" s="466"/>
      <c r="AN12" s="466"/>
      <c r="AO12" s="483"/>
      <c r="AP12" s="466"/>
      <c r="AQ12" s="466"/>
      <c r="AR12" s="466"/>
      <c r="AS12" s="466"/>
      <c r="AT12" s="466"/>
      <c r="AU12" s="466"/>
      <c r="AV12" s="466"/>
      <c r="AW12" s="466"/>
      <c r="AX12" s="484"/>
      <c r="BB12" s="405"/>
      <c r="BC12" s="405"/>
      <c r="BD12" s="390"/>
      <c r="BE12" s="390"/>
      <c r="BF12" s="390"/>
      <c r="BG12" s="389" t="s">
        <v>134</v>
      </c>
      <c r="BH12" s="412" t="s">
        <v>135</v>
      </c>
      <c r="BI12" s="414" t="s">
        <v>136</v>
      </c>
      <c r="BJ12" s="389" t="s">
        <v>134</v>
      </c>
      <c r="BK12" s="412" t="s">
        <v>135</v>
      </c>
      <c r="BL12" s="414" t="s">
        <v>136</v>
      </c>
      <c r="BM12" s="390"/>
      <c r="BN12" s="203"/>
      <c r="BO12" s="214"/>
      <c r="BP12" s="214"/>
      <c r="BQ12" s="215"/>
      <c r="BR12" s="215"/>
    </row>
    <row r="13" spans="1:101" ht="30" customHeight="1" thickBot="1" x14ac:dyDescent="0.25">
      <c r="C13" s="467"/>
      <c r="D13" s="468"/>
      <c r="E13" s="468"/>
      <c r="F13" s="473"/>
      <c r="G13" s="474"/>
      <c r="H13" s="474"/>
      <c r="I13" s="474"/>
      <c r="J13" s="474"/>
      <c r="K13" s="474"/>
      <c r="L13" s="474"/>
      <c r="M13" s="489" t="s">
        <v>47</v>
      </c>
      <c r="N13" s="490"/>
      <c r="O13" s="491"/>
      <c r="P13" s="97" t="str">
        <f>IFERROR(VLOOKUP(P11,設定!$C:$E,3,0),"")</f>
        <v/>
      </c>
      <c r="Q13" s="98" t="str">
        <f>IFERROR(VLOOKUP(Q11,設定!$C:$E,3,0),"")</f>
        <v/>
      </c>
      <c r="R13" s="98" t="str">
        <f>IFERROR(VLOOKUP(R11,設定!$C:$E,3,0),"")</f>
        <v/>
      </c>
      <c r="S13" s="98" t="str">
        <f>IFERROR(VLOOKUP(S11,設定!$C:$E,3,0),"")</f>
        <v/>
      </c>
      <c r="T13" s="98" t="str">
        <f>IFERROR(VLOOKUP(T11,設定!$C:$E,3,0),"")</f>
        <v/>
      </c>
      <c r="U13" s="111" t="str">
        <f>IFERROR(VLOOKUP(U11,設定!$C:$E,3,0),"")</f>
        <v/>
      </c>
      <c r="V13" s="112" t="str">
        <f>IFERROR(VLOOKUP(V11,設定!$C:$E,3,0),"")</f>
        <v/>
      </c>
      <c r="W13" s="112" t="str">
        <f>IFERROR(VLOOKUP(W11,設定!$C:$E,3,0),"")</f>
        <v/>
      </c>
      <c r="X13" s="112" t="str">
        <f>IFERROR(VLOOKUP(X11,設定!$C:$E,3,0),"")</f>
        <v/>
      </c>
      <c r="Y13" s="112" t="str">
        <f>IFERROR(VLOOKUP(Y11,設定!$C:$E,3,0),"")</f>
        <v/>
      </c>
      <c r="Z13" s="112" t="str">
        <f>IFERROR(VLOOKUP(Z11,設定!$C:$E,3,0),"")</f>
        <v/>
      </c>
      <c r="AA13" s="112" t="str">
        <f>IFERROR(VLOOKUP(AA11,設定!$C:$E,3,0),"")</f>
        <v/>
      </c>
      <c r="AB13" s="112" t="str">
        <f>IFERROR(VLOOKUP(AB11,設定!$C:$E,3,0),"")</f>
        <v/>
      </c>
      <c r="AC13" s="112" t="str">
        <f>IFERROR(VLOOKUP(AC11,設定!$C:$E,3,0),"")</f>
        <v/>
      </c>
      <c r="AD13" s="112" t="str">
        <f>IFERROR(VLOOKUP(AD11,設定!$C:$E,3,0),"")</f>
        <v/>
      </c>
      <c r="AE13" s="112" t="str">
        <f>IFERROR(VLOOKUP(AE11,設定!$C:$E,3,0),"")</f>
        <v/>
      </c>
      <c r="AF13" s="112" t="str">
        <f>IFERROR(VLOOKUP(AF11,設定!$C:$E,3,0),"")</f>
        <v/>
      </c>
      <c r="AG13" s="112" t="str">
        <f>IFERROR(VLOOKUP(AG11,設定!$C:$E,3,0),"")</f>
        <v/>
      </c>
      <c r="AH13" s="112" t="str">
        <f>IFERROR(VLOOKUP(AH11,設定!$C:$E,3,0),"")</f>
        <v/>
      </c>
      <c r="AI13" s="113" t="str">
        <f>IFERROR(VLOOKUP(AI11,設定!$C:$E,3,0),"")</f>
        <v/>
      </c>
      <c r="AJ13" s="477"/>
      <c r="AK13" s="480"/>
      <c r="AL13" s="467"/>
      <c r="AM13" s="468"/>
      <c r="AN13" s="468"/>
      <c r="AO13" s="485"/>
      <c r="AP13" s="468"/>
      <c r="AQ13" s="468"/>
      <c r="AR13" s="468"/>
      <c r="AS13" s="468"/>
      <c r="AT13" s="468"/>
      <c r="AU13" s="468"/>
      <c r="AV13" s="468"/>
      <c r="AW13" s="468"/>
      <c r="AX13" s="486"/>
      <c r="BB13" s="405"/>
      <c r="BC13" s="405"/>
      <c r="BD13" s="391"/>
      <c r="BE13" s="391"/>
      <c r="BF13" s="391"/>
      <c r="BG13" s="391"/>
      <c r="BH13" s="413"/>
      <c r="BI13" s="415"/>
      <c r="BJ13" s="391"/>
      <c r="BK13" s="413"/>
      <c r="BL13" s="415"/>
      <c r="BM13" s="391"/>
      <c r="BN13" s="203"/>
      <c r="BO13" s="214"/>
      <c r="BP13" s="214"/>
      <c r="BQ13" s="216"/>
      <c r="BR13" s="216"/>
    </row>
    <row r="14" spans="1:101" ht="30" customHeight="1" thickTop="1" thickBot="1" x14ac:dyDescent="0.25">
      <c r="A14" s="99" t="s">
        <v>48</v>
      </c>
      <c r="B14" s="100"/>
      <c r="C14" s="101"/>
      <c r="D14" s="101"/>
      <c r="E14" s="101"/>
      <c r="F14" s="449" t="s">
        <v>49</v>
      </c>
      <c r="G14" s="449"/>
      <c r="H14" s="449"/>
      <c r="I14" s="449"/>
      <c r="J14" s="449"/>
      <c r="K14" s="449"/>
      <c r="L14" s="450"/>
      <c r="M14" s="451" t="s">
        <v>50</v>
      </c>
      <c r="N14" s="452"/>
      <c r="O14" s="453"/>
      <c r="P14" s="102" t="str">
        <f>IFERROR(VLOOKUP(P11,設定!$C:$F,4,0),"")</f>
        <v/>
      </c>
      <c r="Q14" s="103" t="str">
        <f>IFERROR(VLOOKUP(Q11,設定!$C:$F,4,0),"")</f>
        <v/>
      </c>
      <c r="R14" s="103" t="str">
        <f>IFERROR(VLOOKUP(R11,設定!$C:$F,4,0),"")</f>
        <v/>
      </c>
      <c r="S14" s="103" t="str">
        <f>IFERROR(VLOOKUP(S11,設定!$C:$F,4,0),"")</f>
        <v/>
      </c>
      <c r="T14" s="103" t="str">
        <f>IFERROR(VLOOKUP(T11,設定!$C:$F,4,0),"")</f>
        <v/>
      </c>
      <c r="U14" s="114" t="str">
        <f>IFERROR(VLOOKUP(U11,設定!$C:$F,4,0),"")</f>
        <v/>
      </c>
      <c r="V14" s="115" t="str">
        <f>IFERROR(VLOOKUP(V11,設定!$C:$F,4,0),"")</f>
        <v/>
      </c>
      <c r="W14" s="115" t="str">
        <f>IFERROR(VLOOKUP(W11,設定!$C:$F,4,0),"")</f>
        <v/>
      </c>
      <c r="X14" s="115" t="str">
        <f>IFERROR(VLOOKUP(X11,設定!$C:$F,4,0),"")</f>
        <v/>
      </c>
      <c r="Y14" s="115" t="str">
        <f>IFERROR(VLOOKUP(Y11,設定!$C:$F,4,0),"")</f>
        <v/>
      </c>
      <c r="Z14" s="115" t="str">
        <f>IFERROR(VLOOKUP(Z11,設定!$C:$F,4,0),"")</f>
        <v/>
      </c>
      <c r="AA14" s="115" t="str">
        <f>IFERROR(VLOOKUP(AA11,設定!$C:$F,4,0),"")</f>
        <v/>
      </c>
      <c r="AB14" s="115" t="str">
        <f>IFERROR(VLOOKUP(AB11,設定!$C:$F,4,0),"")</f>
        <v/>
      </c>
      <c r="AC14" s="115" t="str">
        <f>IFERROR(VLOOKUP(AC11,設定!$C:$F,4,0),"")</f>
        <v/>
      </c>
      <c r="AD14" s="115" t="str">
        <f>IFERROR(VLOOKUP(AD11,設定!$C:$F,4,0),"")</f>
        <v/>
      </c>
      <c r="AE14" s="115" t="str">
        <f>IFERROR(VLOOKUP(AE11,設定!$C:$F,4,0),"")</f>
        <v/>
      </c>
      <c r="AF14" s="115" t="str">
        <f>IFERROR(VLOOKUP(AF11,設定!$C:$F,4,0),"")</f>
        <v/>
      </c>
      <c r="AG14" s="115" t="str">
        <f>IFERROR(VLOOKUP(AG11,設定!$C:$F,4,0),"")</f>
        <v/>
      </c>
      <c r="AH14" s="115" t="str">
        <f>IFERROR(VLOOKUP(AH11,設定!$C:$F,4,0),"")</f>
        <v/>
      </c>
      <c r="AI14" s="116" t="str">
        <f>IFERROR(VLOOKUP(AI11,設定!$C:$F,4,0),"")</f>
        <v/>
      </c>
      <c r="AJ14" s="104"/>
      <c r="AK14" s="77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BB14" s="397" t="s">
        <v>137</v>
      </c>
      <c r="BC14" s="398"/>
      <c r="BD14" s="217">
        <f>SUBTOTAL(109,BD15:BD30)</f>
        <v>0</v>
      </c>
      <c r="BE14" s="217">
        <f>SUBTOTAL(109,BE15:BE30)</f>
        <v>0</v>
      </c>
      <c r="BF14" s="218">
        <f>SUM(BD14:BE14)</f>
        <v>0</v>
      </c>
      <c r="BG14" s="218">
        <f>SUBTOTAL(109,BG15:BG29)</f>
        <v>0</v>
      </c>
      <c r="BH14" s="218">
        <f>SUBTOTAL(109,BH15:BH29)</f>
        <v>0</v>
      </c>
      <c r="BI14" s="217">
        <f t="shared" ref="BI14:BI29" si="0">SUM(BG14:BH14)</f>
        <v>0</v>
      </c>
      <c r="BJ14" s="218">
        <f>SUBTOTAL(109,BJ15:BJ29)</f>
        <v>0</v>
      </c>
      <c r="BK14" s="218">
        <f>SUBTOTAL(109,BK15:BK29)</f>
        <v>0</v>
      </c>
      <c r="BL14" s="217">
        <f t="shared" ref="BL14:BL32" si="1">SUM(BJ14:BK14)</f>
        <v>0</v>
      </c>
      <c r="BM14" s="218">
        <f>SUM(BI14,BL14)</f>
        <v>0</v>
      </c>
      <c r="BN14" s="203"/>
      <c r="BO14" s="219"/>
      <c r="BP14" s="216"/>
      <c r="BQ14" s="220"/>
      <c r="BR14" s="220"/>
    </row>
    <row r="15" spans="1:101" ht="31.5" customHeight="1" thickTop="1" thickBot="1" x14ac:dyDescent="0.25">
      <c r="C15" s="454" t="str">
        <f>設定!H8</f>
        <v/>
      </c>
      <c r="D15" s="455"/>
      <c r="E15" s="456"/>
      <c r="F15" s="457"/>
      <c r="G15" s="458"/>
      <c r="H15" s="458"/>
      <c r="I15" s="458"/>
      <c r="J15" s="458"/>
      <c r="K15" s="458"/>
      <c r="L15" s="458"/>
      <c r="M15" s="458"/>
      <c r="N15" s="458"/>
      <c r="O15" s="458"/>
      <c r="P15" s="291">
        <f>ROUND(SUMIFS(月別入力!$I:$I,月別入力!$D:$D,$C15,月別入力!$E:$E,P$11),1)</f>
        <v>0</v>
      </c>
      <c r="Q15" s="292">
        <f>ROUND(SUMIFS(月別入力!$I:$I,月別入力!$D:$D,$C15,月別入力!$E:$E,Q$11),1)</f>
        <v>0</v>
      </c>
      <c r="R15" s="292">
        <f>ROUND(SUMIFS(月別入力!$I:$I,月別入力!$D:$D,$C15,月別入力!$E:$E,R$11),1)</f>
        <v>0</v>
      </c>
      <c r="S15" s="292">
        <f>ROUND(SUMIFS(月別入力!$I:$I,月別入力!$D:$D,$C15,月別入力!$E:$E,S$11),1)</f>
        <v>0</v>
      </c>
      <c r="T15" s="292">
        <f>ROUND(SUMIFS(月別入力!$I:$I,月別入力!$D:$D,$C15,月別入力!$E:$E,T$11),1)</f>
        <v>0</v>
      </c>
      <c r="U15" s="293">
        <f>ROUND(SUMIFS(月別入力!$I:$I,月別入力!$D:$D,$C15,月別入力!$E:$E,U$11),1)</f>
        <v>0</v>
      </c>
      <c r="V15" s="294">
        <f>ROUND(SUMIFS(月別入力!$I:$I,月別入力!$D:$D,$C15,月別入力!$E:$E,V$11),1)</f>
        <v>0</v>
      </c>
      <c r="W15" s="294">
        <f>ROUND(SUMIFS(月別入力!$I:$I,月別入力!$D:$D,$C15,月別入力!$E:$E,W$11),1)</f>
        <v>0</v>
      </c>
      <c r="X15" s="294">
        <f>ROUND(SUMIFS(月別入力!$I:$I,月別入力!$D:$D,$C15,月別入力!$E:$E,X$11),1)</f>
        <v>0</v>
      </c>
      <c r="Y15" s="294">
        <f>ROUND(SUMIFS(月別入力!$I:$I,月別入力!$D:$D,$C15,月別入力!$E:$E,Y$11),1)</f>
        <v>0</v>
      </c>
      <c r="Z15" s="294">
        <f>ROUND(SUMIFS(月別入力!$I:$I,月別入力!$D:$D,$C15,月別入力!$E:$E,Z$11),1)</f>
        <v>0</v>
      </c>
      <c r="AA15" s="294">
        <f>ROUND(SUMIFS(月別入力!$I:$I,月別入力!$D:$D,$C15,月別入力!$E:$E,AA$11),1)</f>
        <v>0</v>
      </c>
      <c r="AB15" s="294">
        <f>ROUND(SUMIFS(月別入力!$I:$I,月別入力!$D:$D,$C15,月別入力!$E:$E,AB$11),1)</f>
        <v>0</v>
      </c>
      <c r="AC15" s="294">
        <f>ROUND(SUMIFS(月別入力!$I:$I,月別入力!$D:$D,$C15,月別入力!$E:$E,AC$11),1)</f>
        <v>0</v>
      </c>
      <c r="AD15" s="294">
        <f>ROUND(SUMIFS(月別入力!$I:$I,月別入力!$D:$D,$C15,月別入力!$E:$E,AD$11),1)</f>
        <v>0</v>
      </c>
      <c r="AE15" s="294">
        <f>ROUND(SUMIFS(月別入力!$I:$I,月別入力!$D:$D,$C15,月別入力!$E:$E,AE$11),1)</f>
        <v>0</v>
      </c>
      <c r="AF15" s="294">
        <f>ROUND(SUMIFS(月別入力!$I:$I,月別入力!$D:$D,$C15,月別入力!$E:$E,AF$11),1)</f>
        <v>0</v>
      </c>
      <c r="AG15" s="294">
        <f>ROUND(SUMIFS(月別入力!$I:$I,月別入力!$D:$D,$C15,月別入力!$E:$E,AG$11),1)</f>
        <v>0</v>
      </c>
      <c r="AH15" s="294">
        <f>ROUND(SUMIFS(月別入力!$I:$I,月別入力!$D:$D,$C15,月別入力!$E:$E,AH$11),1)</f>
        <v>0</v>
      </c>
      <c r="AI15" s="295">
        <f>ROUND(SUMIFS(月別入力!$I:$I,月別入力!$D:$D,$C15,月別入力!$E:$E,AI$11),1)</f>
        <v>0</v>
      </c>
      <c r="AJ15" s="293">
        <f>ROUND(SUMIFS(月別入力!$I:$I,月別入力!$D:$D,$C15,月別入力!$H:$H,"[5]雇用",月別入力!$F:$F,"[1]男"),1)</f>
        <v>0</v>
      </c>
      <c r="AK15" s="295">
        <f>ROUND(SUMIFS(月別入力!$I:$I,月別入力!$D:$D,$C15,月別入力!$H:$H,"[5]雇用",月別入力!$F:$F,"[2]女"),1)</f>
        <v>0</v>
      </c>
      <c r="AL15" s="459" t="str">
        <f>C15</f>
        <v/>
      </c>
      <c r="AM15" s="459"/>
      <c r="AN15" s="460"/>
      <c r="AO15" s="446"/>
      <c r="AP15" s="447"/>
      <c r="AQ15" s="447"/>
      <c r="AR15" s="447"/>
      <c r="AS15" s="447"/>
      <c r="AT15" s="447"/>
      <c r="AU15" s="447"/>
      <c r="AV15" s="447"/>
      <c r="AW15" s="447"/>
      <c r="AX15" s="448"/>
      <c r="BB15" s="399" t="s">
        <v>138</v>
      </c>
      <c r="BC15" s="221" t="s">
        <v>139</v>
      </c>
      <c r="BD15" s="222">
        <f>SUM(SUMIFS(P15:AI15,P14:AI14,{"[1]家族","[3]ゆい・手間替え受け"},P12:AI12,"[1]男"))</f>
        <v>0</v>
      </c>
      <c r="BE15" s="223">
        <f>SUM(SUMIFS(P15:AI15,P14:AI14,{"[1]家族","[3]ゆい・手間替え受け"},P12:AI12,"[2]女"))</f>
        <v>0</v>
      </c>
      <c r="BF15" s="224">
        <f t="shared" ref="BF15:BF32" si="2">SUM(BD15:BE15)</f>
        <v>0</v>
      </c>
      <c r="BG15" s="218">
        <f>AJ15</f>
        <v>0</v>
      </c>
      <c r="BH15" s="225">
        <f>SUM(SUMIFS(P15:AI15,P14:AI14,{"[2]同居人","[4]手伝い・共同作業受け"},P12:AI12,"[1]男"))</f>
        <v>0</v>
      </c>
      <c r="BI15" s="226">
        <f t="shared" si="0"/>
        <v>0</v>
      </c>
      <c r="BJ15" s="227">
        <f t="shared" ref="BJ15:BJ29" si="3">AK15</f>
        <v>0</v>
      </c>
      <c r="BK15" s="225">
        <f>SUM(SUMIFS(P15:AI15,P14:AI14,{"[2]同居人","[4]手伝い・共同作業受け"},P12:AI12,"[2]女"))</f>
        <v>0</v>
      </c>
      <c r="BL15" s="226">
        <f t="shared" si="1"/>
        <v>0</v>
      </c>
      <c r="BM15" s="218">
        <f t="shared" ref="BM15:BM29" si="4">SUM(BI15,BL15)</f>
        <v>0</v>
      </c>
      <c r="BN15" s="203"/>
      <c r="BO15" s="219"/>
      <c r="BP15" s="216"/>
      <c r="BQ15" s="220"/>
      <c r="BR15" s="220"/>
      <c r="CS15" s="105"/>
      <c r="CT15" s="105"/>
      <c r="CU15" s="105"/>
      <c r="CV15" s="105"/>
      <c r="CW15" s="105"/>
    </row>
    <row r="16" spans="1:101" ht="31.5" customHeight="1" x14ac:dyDescent="0.2">
      <c r="C16" s="416" t="str">
        <f>設定!I8</f>
        <v/>
      </c>
      <c r="D16" s="417"/>
      <c r="E16" s="418"/>
      <c r="F16" s="434"/>
      <c r="G16" s="435"/>
      <c r="H16" s="435"/>
      <c r="I16" s="435"/>
      <c r="J16" s="435"/>
      <c r="K16" s="435"/>
      <c r="L16" s="435"/>
      <c r="M16" s="435"/>
      <c r="N16" s="435"/>
      <c r="O16" s="435"/>
      <c r="P16" s="296">
        <f>ROUND(SUMIFS(月別入力!$I:$I,月別入力!$D:$D,$C16,月別入力!$E:$E,P$11),1)</f>
        <v>0</v>
      </c>
      <c r="Q16" s="297">
        <f>ROUND(SUMIFS(月別入力!$I:$I,月別入力!$D:$D,$C16,月別入力!$E:$E,Q$11),1)</f>
        <v>0</v>
      </c>
      <c r="R16" s="297">
        <f>ROUND(SUMIFS(月別入力!$I:$I,月別入力!$D:$D,$C16,月別入力!$E:$E,R$11),1)</f>
        <v>0</v>
      </c>
      <c r="S16" s="297">
        <f>ROUND(SUMIFS(月別入力!$I:$I,月別入力!$D:$D,$C16,月別入力!$E:$E,S$11),1)</f>
        <v>0</v>
      </c>
      <c r="T16" s="297">
        <f>ROUND(SUMIFS(月別入力!$I:$I,月別入力!$D:$D,$C16,月別入力!$E:$E,T$11),1)</f>
        <v>0</v>
      </c>
      <c r="U16" s="298">
        <f>ROUND(SUMIFS(月別入力!$I:$I,月別入力!$D:$D,$C16,月別入力!$E:$E,U$11),1)</f>
        <v>0</v>
      </c>
      <c r="V16" s="299">
        <f>ROUND(SUMIFS(月別入力!$I:$I,月別入力!$D:$D,$C16,月別入力!$E:$E,V$11),1)</f>
        <v>0</v>
      </c>
      <c r="W16" s="299">
        <f>ROUND(SUMIFS(月別入力!$I:$I,月別入力!$D:$D,$C16,月別入力!$E:$E,W$11),1)</f>
        <v>0</v>
      </c>
      <c r="X16" s="299">
        <f>ROUND(SUMIFS(月別入力!$I:$I,月別入力!$D:$D,$C16,月別入力!$E:$E,X$11),1)</f>
        <v>0</v>
      </c>
      <c r="Y16" s="299">
        <f>ROUND(SUMIFS(月別入力!$I:$I,月別入力!$D:$D,$C16,月別入力!$E:$E,Y$11),1)</f>
        <v>0</v>
      </c>
      <c r="Z16" s="299">
        <f>ROUND(SUMIFS(月別入力!$I:$I,月別入力!$D:$D,$C16,月別入力!$E:$E,Z$11),1)</f>
        <v>0</v>
      </c>
      <c r="AA16" s="299">
        <f>ROUND(SUMIFS(月別入力!$I:$I,月別入力!$D:$D,$C16,月別入力!$E:$E,AA$11),1)</f>
        <v>0</v>
      </c>
      <c r="AB16" s="299">
        <f>ROUND(SUMIFS(月別入力!$I:$I,月別入力!$D:$D,$C16,月別入力!$E:$E,AB$11),1)</f>
        <v>0</v>
      </c>
      <c r="AC16" s="299">
        <f>ROUND(SUMIFS(月別入力!$I:$I,月別入力!$D:$D,$C16,月別入力!$E:$E,AC$11),1)</f>
        <v>0</v>
      </c>
      <c r="AD16" s="299">
        <f>ROUND(SUMIFS(月別入力!$I:$I,月別入力!$D:$D,$C16,月別入力!$E:$E,AD$11),1)</f>
        <v>0</v>
      </c>
      <c r="AE16" s="299">
        <f>ROUND(SUMIFS(月別入力!$I:$I,月別入力!$D:$D,$C16,月別入力!$E:$E,AE$11),1)</f>
        <v>0</v>
      </c>
      <c r="AF16" s="299">
        <f>ROUND(SUMIFS(月別入力!$I:$I,月別入力!$D:$D,$C16,月別入力!$E:$E,AF$11),1)</f>
        <v>0</v>
      </c>
      <c r="AG16" s="299">
        <f>ROUND(SUMIFS(月別入力!$I:$I,月別入力!$D:$D,$C16,月別入力!$E:$E,AG$11),1)</f>
        <v>0</v>
      </c>
      <c r="AH16" s="299">
        <f>ROUND(SUMIFS(月別入力!$I:$I,月別入力!$D:$D,$C16,月別入力!$E:$E,AH$11),1)</f>
        <v>0</v>
      </c>
      <c r="AI16" s="300">
        <f>ROUND(SUMIFS(月別入力!$I:$I,月別入力!$D:$D,$C16,月別入力!$E:$E,AI$11),1)</f>
        <v>0</v>
      </c>
      <c r="AJ16" s="311">
        <f>ROUND(SUMIFS(月別入力!$I:$I,月別入力!$D:$D,$C16,月別入力!$H:$H,"[5]雇用",月別入力!$F:$F,"[1]男"),1)</f>
        <v>0</v>
      </c>
      <c r="AK16" s="300">
        <f>ROUND(SUMIFS(月別入力!$I:$I,月別入力!$D:$D,$C16,月別入力!$H:$H,"[5]雇用",月別入力!$F:$F,"[2]女"),1)</f>
        <v>0</v>
      </c>
      <c r="AL16" s="436" t="str">
        <f t="shared" ref="AL16:AL31" si="5">C16</f>
        <v/>
      </c>
      <c r="AM16" s="437"/>
      <c r="AN16" s="438"/>
      <c r="AO16" s="439"/>
      <c r="AP16" s="440"/>
      <c r="AQ16" s="440"/>
      <c r="AR16" s="440"/>
      <c r="AS16" s="440"/>
      <c r="AT16" s="440"/>
      <c r="AU16" s="440"/>
      <c r="AV16" s="440"/>
      <c r="AW16" s="440"/>
      <c r="AX16" s="441"/>
      <c r="BB16" s="400"/>
      <c r="BC16" s="221" t="s">
        <v>140</v>
      </c>
      <c r="BD16" s="222">
        <f>SUM(SUMIFS(P16:AI16,P14:AI14,{"[1]家族","[3]ゆい・手間替え受け"},P12:AI12,"[1]男"))</f>
        <v>0</v>
      </c>
      <c r="BE16" s="223">
        <f>SUM(SUMIFS(P16:AI16,P14:AI14,{"[1]家族","[3]ゆい・手間替え受け"},P12:AI12,"[2]女"))</f>
        <v>0</v>
      </c>
      <c r="BF16" s="224">
        <f t="shared" si="2"/>
        <v>0</v>
      </c>
      <c r="BG16" s="218">
        <f t="shared" ref="BG16:BG28" si="6">AJ16</f>
        <v>0</v>
      </c>
      <c r="BH16" s="225">
        <f>SUM(SUMIFS(P16:AI16,P14:AI14,{"[2]同居人","[4]手伝い・共同作業受け"},P12:AI12,"[1]男"))</f>
        <v>0</v>
      </c>
      <c r="BI16" s="228">
        <f t="shared" si="0"/>
        <v>0</v>
      </c>
      <c r="BJ16" s="227">
        <f t="shared" si="3"/>
        <v>0</v>
      </c>
      <c r="BK16" s="225">
        <f>SUM(SUMIFS(P16:AI16,P14:AI14,{"[2]同居人","[4]手伝い・共同作業受け"},P12:AI12,"[2]女"))</f>
        <v>0</v>
      </c>
      <c r="BL16" s="228">
        <f t="shared" si="1"/>
        <v>0</v>
      </c>
      <c r="BM16" s="218">
        <f t="shared" si="4"/>
        <v>0</v>
      </c>
      <c r="BN16" s="203"/>
      <c r="BO16" s="219"/>
      <c r="BP16" s="216"/>
      <c r="BQ16" s="220"/>
      <c r="BR16" s="220"/>
    </row>
    <row r="17" spans="3:83" ht="31.5" customHeight="1" x14ac:dyDescent="0.2">
      <c r="C17" s="416" t="str">
        <f>設定!J8</f>
        <v/>
      </c>
      <c r="D17" s="417"/>
      <c r="E17" s="418"/>
      <c r="F17" s="434"/>
      <c r="G17" s="435"/>
      <c r="H17" s="435"/>
      <c r="I17" s="435"/>
      <c r="J17" s="435"/>
      <c r="K17" s="435"/>
      <c r="L17" s="435"/>
      <c r="M17" s="435"/>
      <c r="N17" s="435"/>
      <c r="O17" s="435"/>
      <c r="P17" s="296">
        <f>ROUND(SUMIFS(月別入力!$I:$I,月別入力!$D:$D,$C17,月別入力!$E:$E,P$11),1)</f>
        <v>0</v>
      </c>
      <c r="Q17" s="297">
        <f>ROUND(SUMIFS(月別入力!$I:$I,月別入力!$D:$D,$C17,月別入力!$E:$E,Q$11),1)</f>
        <v>0</v>
      </c>
      <c r="R17" s="297">
        <f>ROUND(SUMIFS(月別入力!$I:$I,月別入力!$D:$D,$C17,月別入力!$E:$E,R$11),1)</f>
        <v>0</v>
      </c>
      <c r="S17" s="297">
        <f>ROUND(SUMIFS(月別入力!$I:$I,月別入力!$D:$D,$C17,月別入力!$E:$E,S$11),1)</f>
        <v>0</v>
      </c>
      <c r="T17" s="297">
        <f>ROUND(SUMIFS(月別入力!$I:$I,月別入力!$D:$D,$C17,月別入力!$E:$E,T$11),1)</f>
        <v>0</v>
      </c>
      <c r="U17" s="298">
        <f>ROUND(SUMIFS(月別入力!$I:$I,月別入力!$D:$D,$C17,月別入力!$E:$E,U$11),1)</f>
        <v>0</v>
      </c>
      <c r="V17" s="299">
        <f>ROUND(SUMIFS(月別入力!$I:$I,月別入力!$D:$D,$C17,月別入力!$E:$E,V$11),1)</f>
        <v>0</v>
      </c>
      <c r="W17" s="299">
        <f>ROUND(SUMIFS(月別入力!$I:$I,月別入力!$D:$D,$C17,月別入力!$E:$E,W$11),1)</f>
        <v>0</v>
      </c>
      <c r="X17" s="299">
        <f>ROUND(SUMIFS(月別入力!$I:$I,月別入力!$D:$D,$C17,月別入力!$E:$E,X$11),1)</f>
        <v>0</v>
      </c>
      <c r="Y17" s="299">
        <f>ROUND(SUMIFS(月別入力!$I:$I,月別入力!$D:$D,$C17,月別入力!$E:$E,Y$11),1)</f>
        <v>0</v>
      </c>
      <c r="Z17" s="299">
        <f>ROUND(SUMIFS(月別入力!$I:$I,月別入力!$D:$D,$C17,月別入力!$E:$E,Z$11),1)</f>
        <v>0</v>
      </c>
      <c r="AA17" s="299">
        <f>ROUND(SUMIFS(月別入力!$I:$I,月別入力!$D:$D,$C17,月別入力!$E:$E,AA$11),1)</f>
        <v>0</v>
      </c>
      <c r="AB17" s="299">
        <f>ROUND(SUMIFS(月別入力!$I:$I,月別入力!$D:$D,$C17,月別入力!$E:$E,AB$11),1)</f>
        <v>0</v>
      </c>
      <c r="AC17" s="299">
        <f>ROUND(SUMIFS(月別入力!$I:$I,月別入力!$D:$D,$C17,月別入力!$E:$E,AC$11),1)</f>
        <v>0</v>
      </c>
      <c r="AD17" s="299">
        <f>ROUND(SUMIFS(月別入力!$I:$I,月別入力!$D:$D,$C17,月別入力!$E:$E,AD$11),1)</f>
        <v>0</v>
      </c>
      <c r="AE17" s="299">
        <f>ROUND(SUMIFS(月別入力!$I:$I,月別入力!$D:$D,$C17,月別入力!$E:$E,AE$11),1)</f>
        <v>0</v>
      </c>
      <c r="AF17" s="299">
        <f>ROUND(SUMIFS(月別入力!$I:$I,月別入力!$D:$D,$C17,月別入力!$E:$E,AF$11),1)</f>
        <v>0</v>
      </c>
      <c r="AG17" s="299">
        <f>ROUND(SUMIFS(月別入力!$I:$I,月別入力!$D:$D,$C17,月別入力!$E:$E,AG$11),1)</f>
        <v>0</v>
      </c>
      <c r="AH17" s="299">
        <f>ROUND(SUMIFS(月別入力!$I:$I,月別入力!$D:$D,$C17,月別入力!$E:$E,AH$11),1)</f>
        <v>0</v>
      </c>
      <c r="AI17" s="300">
        <f>ROUND(SUMIFS(月別入力!$I:$I,月別入力!$D:$D,$C17,月別入力!$E:$E,AI$11),1)</f>
        <v>0</v>
      </c>
      <c r="AJ17" s="311">
        <f>ROUND(SUMIFS(月別入力!$I:$I,月別入力!$D:$D,$C17,月別入力!$H:$H,"[5]雇用",月別入力!$F:$F,"[1]男"),1)</f>
        <v>0</v>
      </c>
      <c r="AK17" s="300">
        <f>ROUND(SUMIFS(月別入力!$I:$I,月別入力!$D:$D,$C17,月別入力!$H:$H,"[5]雇用",月別入力!$F:$F,"[2]女"),1)</f>
        <v>0</v>
      </c>
      <c r="AL17" s="436" t="str">
        <f t="shared" si="5"/>
        <v/>
      </c>
      <c r="AM17" s="437"/>
      <c r="AN17" s="438"/>
      <c r="AO17" s="439"/>
      <c r="AP17" s="440"/>
      <c r="AQ17" s="440"/>
      <c r="AR17" s="440"/>
      <c r="AS17" s="440"/>
      <c r="AT17" s="440"/>
      <c r="AU17" s="440"/>
      <c r="AV17" s="440"/>
      <c r="AW17" s="440"/>
      <c r="AX17" s="441"/>
      <c r="BB17" s="400"/>
      <c r="BC17" s="221" t="s">
        <v>141</v>
      </c>
      <c r="BD17" s="229">
        <f>SUM(SUMIFS(P17:AI17,P14:AI14,{"[1]家族","[3]ゆい・手間替え受け"},P12:AI12,"[1]男"))</f>
        <v>0</v>
      </c>
      <c r="BE17" s="230">
        <f>SUM(SUMIFS(P17:AI17,P14:AI14,{"[1]家族","[3]ゆい・手間替え受け"},P12:AI12,"[2]女"))</f>
        <v>0</v>
      </c>
      <c r="BF17" s="224">
        <f t="shared" si="2"/>
        <v>0</v>
      </c>
      <c r="BG17" s="218">
        <f t="shared" si="6"/>
        <v>0</v>
      </c>
      <c r="BH17" s="225">
        <f>SUM(SUMIFS(P17:AI17,P14:AI14,{"[2]同居人","[4]手伝い・共同作業受け"},P12:AI12,"[1]男"))</f>
        <v>0</v>
      </c>
      <c r="BI17" s="228">
        <f t="shared" si="0"/>
        <v>0</v>
      </c>
      <c r="BJ17" s="227">
        <f t="shared" si="3"/>
        <v>0</v>
      </c>
      <c r="BK17" s="225">
        <f>SUM(SUMIFS(P17:AI17,P14:AI14,{"[2]同居人","[4]手伝い・共同作業受け"},P12:AI12,"[2]女"))</f>
        <v>0</v>
      </c>
      <c r="BL17" s="228">
        <f t="shared" si="1"/>
        <v>0</v>
      </c>
      <c r="BM17" s="218">
        <f t="shared" si="4"/>
        <v>0</v>
      </c>
      <c r="BN17" s="203"/>
      <c r="BO17" s="219"/>
      <c r="BP17" s="216"/>
      <c r="BQ17" s="220"/>
      <c r="BR17" s="220"/>
    </row>
    <row r="18" spans="3:83" ht="31.5" customHeight="1" x14ac:dyDescent="0.2">
      <c r="C18" s="416" t="str">
        <f>設定!K8</f>
        <v/>
      </c>
      <c r="D18" s="417"/>
      <c r="E18" s="418"/>
      <c r="F18" s="434"/>
      <c r="G18" s="435"/>
      <c r="H18" s="435"/>
      <c r="I18" s="435"/>
      <c r="J18" s="435"/>
      <c r="K18" s="435"/>
      <c r="L18" s="435"/>
      <c r="M18" s="435"/>
      <c r="N18" s="435"/>
      <c r="O18" s="435"/>
      <c r="P18" s="296">
        <f>ROUND(SUMIFS(月別入力!$I:$I,月別入力!$D:$D,$C18,月別入力!$E:$E,P$11),1)</f>
        <v>0</v>
      </c>
      <c r="Q18" s="297">
        <f>ROUND(SUMIFS(月別入力!$I:$I,月別入力!$D:$D,$C18,月別入力!$E:$E,Q$11),1)</f>
        <v>0</v>
      </c>
      <c r="R18" s="297">
        <f>ROUND(SUMIFS(月別入力!$I:$I,月別入力!$D:$D,$C18,月別入力!$E:$E,R$11),1)</f>
        <v>0</v>
      </c>
      <c r="S18" s="297">
        <f>ROUND(SUMIFS(月別入力!$I:$I,月別入力!$D:$D,$C18,月別入力!$E:$E,S$11),1)</f>
        <v>0</v>
      </c>
      <c r="T18" s="297">
        <f>ROUND(SUMIFS(月別入力!$I:$I,月別入力!$D:$D,$C18,月別入力!$E:$E,T$11),1)</f>
        <v>0</v>
      </c>
      <c r="U18" s="298">
        <f>ROUND(SUMIFS(月別入力!$I:$I,月別入力!$D:$D,$C18,月別入力!$E:$E,U$11),1)</f>
        <v>0</v>
      </c>
      <c r="V18" s="299">
        <f>ROUND(SUMIFS(月別入力!$I:$I,月別入力!$D:$D,$C18,月別入力!$E:$E,V$11),1)</f>
        <v>0</v>
      </c>
      <c r="W18" s="299">
        <f>ROUND(SUMIFS(月別入力!$I:$I,月別入力!$D:$D,$C18,月別入力!$E:$E,W$11),1)</f>
        <v>0</v>
      </c>
      <c r="X18" s="299">
        <f>ROUND(SUMIFS(月別入力!$I:$I,月別入力!$D:$D,$C18,月別入力!$E:$E,X$11),1)</f>
        <v>0</v>
      </c>
      <c r="Y18" s="299">
        <f>ROUND(SUMIFS(月別入力!$I:$I,月別入力!$D:$D,$C18,月別入力!$E:$E,Y$11),1)</f>
        <v>0</v>
      </c>
      <c r="Z18" s="299">
        <f>ROUND(SUMIFS(月別入力!$I:$I,月別入力!$D:$D,$C18,月別入力!$E:$E,Z$11),1)</f>
        <v>0</v>
      </c>
      <c r="AA18" s="299">
        <f>ROUND(SUMIFS(月別入力!$I:$I,月別入力!$D:$D,$C18,月別入力!$E:$E,AA$11),1)</f>
        <v>0</v>
      </c>
      <c r="AB18" s="299">
        <f>ROUND(SUMIFS(月別入力!$I:$I,月別入力!$D:$D,$C18,月別入力!$E:$E,AB$11),1)</f>
        <v>0</v>
      </c>
      <c r="AC18" s="299">
        <f>ROUND(SUMIFS(月別入力!$I:$I,月別入力!$D:$D,$C18,月別入力!$E:$E,AC$11),1)</f>
        <v>0</v>
      </c>
      <c r="AD18" s="299">
        <f>ROUND(SUMIFS(月別入力!$I:$I,月別入力!$D:$D,$C18,月別入力!$E:$E,AD$11),1)</f>
        <v>0</v>
      </c>
      <c r="AE18" s="299">
        <f>ROUND(SUMIFS(月別入力!$I:$I,月別入力!$D:$D,$C18,月別入力!$E:$E,AE$11),1)</f>
        <v>0</v>
      </c>
      <c r="AF18" s="299">
        <f>ROUND(SUMIFS(月別入力!$I:$I,月別入力!$D:$D,$C18,月別入力!$E:$E,AF$11),1)</f>
        <v>0</v>
      </c>
      <c r="AG18" s="299">
        <f>ROUND(SUMIFS(月別入力!$I:$I,月別入力!$D:$D,$C18,月別入力!$E:$E,AG$11),1)</f>
        <v>0</v>
      </c>
      <c r="AH18" s="299">
        <f>ROUND(SUMIFS(月別入力!$I:$I,月別入力!$D:$D,$C18,月別入力!$E:$E,AH$11),1)</f>
        <v>0</v>
      </c>
      <c r="AI18" s="300">
        <f>ROUND(SUMIFS(月別入力!$I:$I,月別入力!$D:$D,$C18,月別入力!$E:$E,AI$11),1)</f>
        <v>0</v>
      </c>
      <c r="AJ18" s="311">
        <f>ROUND(SUMIFS(月別入力!$I:$I,月別入力!$D:$D,$C18,月別入力!$H:$H,"[5]雇用",月別入力!$F:$F,"[1]男"),1)</f>
        <v>0</v>
      </c>
      <c r="AK18" s="300">
        <f>ROUND(SUMIFS(月別入力!$I:$I,月別入力!$D:$D,$C18,月別入力!$H:$H,"[5]雇用",月別入力!$F:$F,"[2]女"),1)</f>
        <v>0</v>
      </c>
      <c r="AL18" s="436" t="str">
        <f t="shared" si="5"/>
        <v/>
      </c>
      <c r="AM18" s="437"/>
      <c r="AN18" s="438"/>
      <c r="AO18" s="439"/>
      <c r="AP18" s="440"/>
      <c r="AQ18" s="440"/>
      <c r="AR18" s="440"/>
      <c r="AS18" s="440"/>
      <c r="AT18" s="440"/>
      <c r="AU18" s="440"/>
      <c r="AV18" s="440"/>
      <c r="AW18" s="440"/>
      <c r="AX18" s="441"/>
      <c r="BB18" s="400"/>
      <c r="BC18" s="221" t="s">
        <v>142</v>
      </c>
      <c r="BD18" s="229">
        <f>SUM(SUMIFS(P18:AI18,P14:AI14,{"[1]家族","[3]ゆい・手間替え受け"},P12:AI12,"[1]男"))</f>
        <v>0</v>
      </c>
      <c r="BE18" s="230">
        <f>SUM(SUMIFS(P18:AI18,P14:AI14,{"[1]家族","[3]ゆい・手間替え受け"},P12:AI12,"[2]女"))</f>
        <v>0</v>
      </c>
      <c r="BF18" s="224">
        <f t="shared" si="2"/>
        <v>0</v>
      </c>
      <c r="BG18" s="218">
        <f t="shared" si="6"/>
        <v>0</v>
      </c>
      <c r="BH18" s="225">
        <f>SUM(SUMIFS(P18:AI18,P14:AI14,{"[2]同居人","[4]手伝い・共同作業受け"},P12:AI12,"[1]男"))</f>
        <v>0</v>
      </c>
      <c r="BI18" s="228">
        <f t="shared" si="0"/>
        <v>0</v>
      </c>
      <c r="BJ18" s="227">
        <f t="shared" si="3"/>
        <v>0</v>
      </c>
      <c r="BK18" s="225">
        <f>SUM(SUMIFS(P18:AI18,P14:AI14,{"[2]同居人","[4]手伝い・共同作業受け"},P12:AI12,"[2]女"))</f>
        <v>0</v>
      </c>
      <c r="BL18" s="228">
        <f t="shared" si="1"/>
        <v>0</v>
      </c>
      <c r="BM18" s="218">
        <f t="shared" si="4"/>
        <v>0</v>
      </c>
      <c r="BN18" s="203"/>
      <c r="BO18" s="219"/>
      <c r="BP18" s="216"/>
      <c r="BQ18" s="220"/>
      <c r="BR18" s="220"/>
    </row>
    <row r="19" spans="3:83" ht="31.5" customHeight="1" x14ac:dyDescent="0.2">
      <c r="C19" s="416" t="str">
        <f>設定!L8</f>
        <v/>
      </c>
      <c r="D19" s="417"/>
      <c r="E19" s="418"/>
      <c r="F19" s="434"/>
      <c r="G19" s="435"/>
      <c r="H19" s="435"/>
      <c r="I19" s="435"/>
      <c r="J19" s="435"/>
      <c r="K19" s="435"/>
      <c r="L19" s="435"/>
      <c r="M19" s="435"/>
      <c r="N19" s="435"/>
      <c r="O19" s="435"/>
      <c r="P19" s="296">
        <f>ROUND(SUMIFS(月別入力!$I:$I,月別入力!$D:$D,$C19,月別入力!$E:$E,P$11),1)</f>
        <v>0</v>
      </c>
      <c r="Q19" s="297">
        <f>ROUND(SUMIFS(月別入力!$I:$I,月別入力!$D:$D,$C19,月別入力!$E:$E,Q$11),1)</f>
        <v>0</v>
      </c>
      <c r="R19" s="297">
        <f>ROUND(SUMIFS(月別入力!$I:$I,月別入力!$D:$D,$C19,月別入力!$E:$E,R$11),1)</f>
        <v>0</v>
      </c>
      <c r="S19" s="297">
        <f>ROUND(SUMIFS(月別入力!$I:$I,月別入力!$D:$D,$C19,月別入力!$E:$E,S$11),1)</f>
        <v>0</v>
      </c>
      <c r="T19" s="297">
        <f>ROUND(SUMIFS(月別入力!$I:$I,月別入力!$D:$D,$C19,月別入力!$E:$E,T$11),1)</f>
        <v>0</v>
      </c>
      <c r="U19" s="298">
        <f>ROUND(SUMIFS(月別入力!$I:$I,月別入力!$D:$D,$C19,月別入力!$E:$E,U$11),1)</f>
        <v>0</v>
      </c>
      <c r="V19" s="299">
        <f>ROUND(SUMIFS(月別入力!$I:$I,月別入力!$D:$D,$C19,月別入力!$E:$E,V$11),1)</f>
        <v>0</v>
      </c>
      <c r="W19" s="299">
        <f>ROUND(SUMIFS(月別入力!$I:$I,月別入力!$D:$D,$C19,月別入力!$E:$E,W$11),1)</f>
        <v>0</v>
      </c>
      <c r="X19" s="299">
        <f>ROUND(SUMIFS(月別入力!$I:$I,月別入力!$D:$D,$C19,月別入力!$E:$E,X$11),1)</f>
        <v>0</v>
      </c>
      <c r="Y19" s="299">
        <f>ROUND(SUMIFS(月別入力!$I:$I,月別入力!$D:$D,$C19,月別入力!$E:$E,Y$11),1)</f>
        <v>0</v>
      </c>
      <c r="Z19" s="299">
        <f>ROUND(SUMIFS(月別入力!$I:$I,月別入力!$D:$D,$C19,月別入力!$E:$E,Z$11),1)</f>
        <v>0</v>
      </c>
      <c r="AA19" s="299">
        <f>ROUND(SUMIFS(月別入力!$I:$I,月別入力!$D:$D,$C19,月別入力!$E:$E,AA$11),1)</f>
        <v>0</v>
      </c>
      <c r="AB19" s="299">
        <f>ROUND(SUMIFS(月別入力!$I:$I,月別入力!$D:$D,$C19,月別入力!$E:$E,AB$11),1)</f>
        <v>0</v>
      </c>
      <c r="AC19" s="299">
        <f>ROUND(SUMIFS(月別入力!$I:$I,月別入力!$D:$D,$C19,月別入力!$E:$E,AC$11),1)</f>
        <v>0</v>
      </c>
      <c r="AD19" s="299">
        <f>ROUND(SUMIFS(月別入力!$I:$I,月別入力!$D:$D,$C19,月別入力!$E:$E,AD$11),1)</f>
        <v>0</v>
      </c>
      <c r="AE19" s="299">
        <f>ROUND(SUMIFS(月別入力!$I:$I,月別入力!$D:$D,$C19,月別入力!$E:$E,AE$11),1)</f>
        <v>0</v>
      </c>
      <c r="AF19" s="299">
        <f>ROUND(SUMIFS(月別入力!$I:$I,月別入力!$D:$D,$C19,月別入力!$E:$E,AF$11),1)</f>
        <v>0</v>
      </c>
      <c r="AG19" s="299">
        <f>ROUND(SUMIFS(月別入力!$I:$I,月別入力!$D:$D,$C19,月別入力!$E:$E,AG$11),1)</f>
        <v>0</v>
      </c>
      <c r="AH19" s="299">
        <f>ROUND(SUMIFS(月別入力!$I:$I,月別入力!$D:$D,$C19,月別入力!$E:$E,AH$11),1)</f>
        <v>0</v>
      </c>
      <c r="AI19" s="300">
        <f>ROUND(SUMIFS(月別入力!$I:$I,月別入力!$D:$D,$C19,月別入力!$E:$E,AI$11),1)</f>
        <v>0</v>
      </c>
      <c r="AJ19" s="311">
        <f>ROUND(SUMIFS(月別入力!$I:$I,月別入力!$D:$D,$C19,月別入力!$H:$H,"[5]雇用",月別入力!$F:$F,"[1]男"),1)</f>
        <v>0</v>
      </c>
      <c r="AK19" s="300">
        <f>ROUND(SUMIFS(月別入力!$I:$I,月別入力!$D:$D,$C19,月別入力!$H:$H,"[5]雇用",月別入力!$F:$F,"[2]女"),1)</f>
        <v>0</v>
      </c>
      <c r="AL19" s="436" t="str">
        <f t="shared" si="5"/>
        <v/>
      </c>
      <c r="AM19" s="437"/>
      <c r="AN19" s="438"/>
      <c r="AO19" s="439"/>
      <c r="AP19" s="440"/>
      <c r="AQ19" s="440"/>
      <c r="AR19" s="440"/>
      <c r="AS19" s="440"/>
      <c r="AT19" s="440"/>
      <c r="AU19" s="440"/>
      <c r="AV19" s="440"/>
      <c r="AW19" s="440"/>
      <c r="AX19" s="441"/>
      <c r="BB19" s="400"/>
      <c r="BC19" s="221" t="s">
        <v>143</v>
      </c>
      <c r="BD19" s="229">
        <f>SUM(SUMIFS(P19:AI19,P14:AI14,{"[1]家族","[3]ゆい・手間替え受け"},P12:AI12,"[1]男"))</f>
        <v>0</v>
      </c>
      <c r="BE19" s="230">
        <f>SUM(SUMIFS(P19:AI19,P14:AI14,{"[1]家族","[3]ゆい・手間替え受け"},P12:AI12,"[2]女"))</f>
        <v>0</v>
      </c>
      <c r="BF19" s="224">
        <f t="shared" si="2"/>
        <v>0</v>
      </c>
      <c r="BG19" s="218">
        <f t="shared" si="6"/>
        <v>0</v>
      </c>
      <c r="BH19" s="225">
        <f>SUM(SUMIFS(P19:AI19,P14:AI14,{"[2]同居人","[4]手伝い・共同作業受け"},P12:AI12,"[1]男"))</f>
        <v>0</v>
      </c>
      <c r="BI19" s="228">
        <f t="shared" si="0"/>
        <v>0</v>
      </c>
      <c r="BJ19" s="227">
        <f t="shared" si="3"/>
        <v>0</v>
      </c>
      <c r="BK19" s="225">
        <f>SUM(SUMIFS(P19:AI19,P14:AI14,{"[2]同居人","[4]手伝い・共同作業受け"},P12:AI12,"[2]女"))</f>
        <v>0</v>
      </c>
      <c r="BL19" s="228">
        <f t="shared" si="1"/>
        <v>0</v>
      </c>
      <c r="BM19" s="218">
        <f t="shared" si="4"/>
        <v>0</v>
      </c>
      <c r="BN19" s="203"/>
      <c r="BO19" s="219"/>
      <c r="BP19" s="216"/>
      <c r="BQ19" s="220"/>
      <c r="BR19" s="220"/>
    </row>
    <row r="20" spans="3:83" ht="31.5" customHeight="1" x14ac:dyDescent="0.2">
      <c r="C20" s="416" t="str">
        <f>設定!M8</f>
        <v/>
      </c>
      <c r="D20" s="417"/>
      <c r="E20" s="418"/>
      <c r="F20" s="434"/>
      <c r="G20" s="435"/>
      <c r="H20" s="435"/>
      <c r="I20" s="435"/>
      <c r="J20" s="435"/>
      <c r="K20" s="435"/>
      <c r="L20" s="435"/>
      <c r="M20" s="435"/>
      <c r="N20" s="435"/>
      <c r="O20" s="435"/>
      <c r="P20" s="296">
        <f>ROUND(SUMIFS(月別入力!$I:$I,月別入力!$D:$D,$C20,月別入力!$E:$E,P$11),1)</f>
        <v>0</v>
      </c>
      <c r="Q20" s="297">
        <f>ROUND(SUMIFS(月別入力!$I:$I,月別入力!$D:$D,$C20,月別入力!$E:$E,Q$11),1)</f>
        <v>0</v>
      </c>
      <c r="R20" s="297">
        <f>ROUND(SUMIFS(月別入力!$I:$I,月別入力!$D:$D,$C20,月別入力!$E:$E,R$11),1)</f>
        <v>0</v>
      </c>
      <c r="S20" s="297">
        <f>ROUND(SUMIFS(月別入力!$I:$I,月別入力!$D:$D,$C20,月別入力!$E:$E,S$11),1)</f>
        <v>0</v>
      </c>
      <c r="T20" s="297">
        <f>ROUND(SUMIFS(月別入力!$I:$I,月別入力!$D:$D,$C20,月別入力!$E:$E,T$11),1)</f>
        <v>0</v>
      </c>
      <c r="U20" s="298">
        <f>ROUND(SUMIFS(月別入力!$I:$I,月別入力!$D:$D,$C20,月別入力!$E:$E,U$11),1)</f>
        <v>0</v>
      </c>
      <c r="V20" s="299">
        <f>ROUND(SUMIFS(月別入力!$I:$I,月別入力!$D:$D,$C20,月別入力!$E:$E,V$11),1)</f>
        <v>0</v>
      </c>
      <c r="W20" s="299">
        <f>ROUND(SUMIFS(月別入力!$I:$I,月別入力!$D:$D,$C20,月別入力!$E:$E,W$11),1)</f>
        <v>0</v>
      </c>
      <c r="X20" s="299">
        <f>ROUND(SUMIFS(月別入力!$I:$I,月別入力!$D:$D,$C20,月別入力!$E:$E,X$11),1)</f>
        <v>0</v>
      </c>
      <c r="Y20" s="299">
        <f>ROUND(SUMIFS(月別入力!$I:$I,月別入力!$D:$D,$C20,月別入力!$E:$E,Y$11),1)</f>
        <v>0</v>
      </c>
      <c r="Z20" s="299">
        <f>ROUND(SUMIFS(月別入力!$I:$I,月別入力!$D:$D,$C20,月別入力!$E:$E,Z$11),1)</f>
        <v>0</v>
      </c>
      <c r="AA20" s="299">
        <f>ROUND(SUMIFS(月別入力!$I:$I,月別入力!$D:$D,$C20,月別入力!$E:$E,AA$11),1)</f>
        <v>0</v>
      </c>
      <c r="AB20" s="299">
        <f>ROUND(SUMIFS(月別入力!$I:$I,月別入力!$D:$D,$C20,月別入力!$E:$E,AB$11),1)</f>
        <v>0</v>
      </c>
      <c r="AC20" s="299">
        <f>ROUND(SUMIFS(月別入力!$I:$I,月別入力!$D:$D,$C20,月別入力!$E:$E,AC$11),1)</f>
        <v>0</v>
      </c>
      <c r="AD20" s="299">
        <f>ROUND(SUMIFS(月別入力!$I:$I,月別入力!$D:$D,$C20,月別入力!$E:$E,AD$11),1)</f>
        <v>0</v>
      </c>
      <c r="AE20" s="299">
        <f>ROUND(SUMIFS(月別入力!$I:$I,月別入力!$D:$D,$C20,月別入力!$E:$E,AE$11),1)</f>
        <v>0</v>
      </c>
      <c r="AF20" s="299">
        <f>ROUND(SUMIFS(月別入力!$I:$I,月別入力!$D:$D,$C20,月別入力!$E:$E,AF$11),1)</f>
        <v>0</v>
      </c>
      <c r="AG20" s="299">
        <f>ROUND(SUMIFS(月別入力!$I:$I,月別入力!$D:$D,$C20,月別入力!$E:$E,AG$11),1)</f>
        <v>0</v>
      </c>
      <c r="AH20" s="299">
        <f>ROUND(SUMIFS(月別入力!$I:$I,月別入力!$D:$D,$C20,月別入力!$E:$E,AH$11),1)</f>
        <v>0</v>
      </c>
      <c r="AI20" s="300">
        <f>ROUND(SUMIFS(月別入力!$I:$I,月別入力!$D:$D,$C20,月別入力!$E:$E,AI$11),1)</f>
        <v>0</v>
      </c>
      <c r="AJ20" s="311">
        <f>ROUND(SUMIFS(月別入力!$I:$I,月別入力!$D:$D,$C20,月別入力!$H:$H,"[5]雇用",月別入力!$F:$F,"[1]男"),1)</f>
        <v>0</v>
      </c>
      <c r="AK20" s="300">
        <f>ROUND(SUMIFS(月別入力!$I:$I,月別入力!$D:$D,$C20,月別入力!$H:$H,"[5]雇用",月別入力!$F:$F,"[2]女"),1)</f>
        <v>0</v>
      </c>
      <c r="AL20" s="436" t="str">
        <f t="shared" si="5"/>
        <v/>
      </c>
      <c r="AM20" s="437"/>
      <c r="AN20" s="438"/>
      <c r="AO20" s="439"/>
      <c r="AP20" s="440"/>
      <c r="AQ20" s="440"/>
      <c r="AR20" s="440"/>
      <c r="AS20" s="440"/>
      <c r="AT20" s="440"/>
      <c r="AU20" s="440"/>
      <c r="AV20" s="440"/>
      <c r="AW20" s="440"/>
      <c r="AX20" s="441"/>
      <c r="BB20" s="400"/>
      <c r="BC20" s="221" t="s">
        <v>144</v>
      </c>
      <c r="BD20" s="229">
        <f>SUM(SUMIFS(P20:AI20,P14:AI14,{"[1]家族","[3]ゆい・手間替え受け"},P12:AI12,"[1]男"))</f>
        <v>0</v>
      </c>
      <c r="BE20" s="230">
        <f>SUM(SUMIFS(P20:AI20,P14:AI14,{"[1]家族","[3]ゆい・手間替え受け"},P12:AI12,"[2]女"))</f>
        <v>0</v>
      </c>
      <c r="BF20" s="224">
        <f t="shared" si="2"/>
        <v>0</v>
      </c>
      <c r="BG20" s="218">
        <f t="shared" si="6"/>
        <v>0</v>
      </c>
      <c r="BH20" s="225">
        <f>SUM(SUMIFS(P20:AI20,P14:AI14,{"[2]同居人","[4]手伝い・共同作業受け"},P12:AI12,"[1]男"))</f>
        <v>0</v>
      </c>
      <c r="BI20" s="228">
        <f t="shared" si="0"/>
        <v>0</v>
      </c>
      <c r="BJ20" s="227">
        <f t="shared" si="3"/>
        <v>0</v>
      </c>
      <c r="BK20" s="225">
        <f>SUM(SUMIFS(P20:AI20,P14:AI14,{"[2]同居人","[4]手伝い・共同作業受け"},P12:AI12,"[2]女"))</f>
        <v>0</v>
      </c>
      <c r="BL20" s="228">
        <f t="shared" si="1"/>
        <v>0</v>
      </c>
      <c r="BM20" s="218">
        <f t="shared" si="4"/>
        <v>0</v>
      </c>
      <c r="BN20" s="203"/>
      <c r="BO20" s="203"/>
      <c r="BP20" s="203"/>
      <c r="BQ20" s="203"/>
      <c r="BR20" s="203"/>
    </row>
    <row r="21" spans="3:83" ht="31.5" customHeight="1" x14ac:dyDescent="0.2">
      <c r="C21" s="416" t="str">
        <f>設定!N8</f>
        <v/>
      </c>
      <c r="D21" s="417"/>
      <c r="E21" s="418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296">
        <f>ROUND(SUMIFS(月別入力!$I:$I,月別入力!$D:$D,$C21,月別入力!$E:$E,P$11),1)</f>
        <v>0</v>
      </c>
      <c r="Q21" s="297">
        <f>ROUND(SUMIFS(月別入力!$I:$I,月別入力!$D:$D,$C21,月別入力!$E:$E,Q$11),1)</f>
        <v>0</v>
      </c>
      <c r="R21" s="297">
        <f>ROUND(SUMIFS(月別入力!$I:$I,月別入力!$D:$D,$C21,月別入力!$E:$E,R$11),1)</f>
        <v>0</v>
      </c>
      <c r="S21" s="297">
        <f>ROUND(SUMIFS(月別入力!$I:$I,月別入力!$D:$D,$C21,月別入力!$E:$E,S$11),1)</f>
        <v>0</v>
      </c>
      <c r="T21" s="297">
        <f>ROUND(SUMIFS(月別入力!$I:$I,月別入力!$D:$D,$C21,月別入力!$E:$E,T$11),1)</f>
        <v>0</v>
      </c>
      <c r="U21" s="298">
        <f>ROUND(SUMIFS(月別入力!$I:$I,月別入力!$D:$D,$C21,月別入力!$E:$E,U$11),1)</f>
        <v>0</v>
      </c>
      <c r="V21" s="299">
        <f>ROUND(SUMIFS(月別入力!$I:$I,月別入力!$D:$D,$C21,月別入力!$E:$E,V$11),1)</f>
        <v>0</v>
      </c>
      <c r="W21" s="299">
        <f>ROUND(SUMIFS(月別入力!$I:$I,月別入力!$D:$D,$C21,月別入力!$E:$E,W$11),1)</f>
        <v>0</v>
      </c>
      <c r="X21" s="299">
        <f>ROUND(SUMIFS(月別入力!$I:$I,月別入力!$D:$D,$C21,月別入力!$E:$E,X$11),1)</f>
        <v>0</v>
      </c>
      <c r="Y21" s="299">
        <f>ROUND(SUMIFS(月別入力!$I:$I,月別入力!$D:$D,$C21,月別入力!$E:$E,Y$11),1)</f>
        <v>0</v>
      </c>
      <c r="Z21" s="299">
        <f>ROUND(SUMIFS(月別入力!$I:$I,月別入力!$D:$D,$C21,月別入力!$E:$E,Z$11),1)</f>
        <v>0</v>
      </c>
      <c r="AA21" s="299">
        <f>ROUND(SUMIFS(月別入力!$I:$I,月別入力!$D:$D,$C21,月別入力!$E:$E,AA$11),1)</f>
        <v>0</v>
      </c>
      <c r="AB21" s="299">
        <f>ROUND(SUMIFS(月別入力!$I:$I,月別入力!$D:$D,$C21,月別入力!$E:$E,AB$11),1)</f>
        <v>0</v>
      </c>
      <c r="AC21" s="299">
        <f>ROUND(SUMIFS(月別入力!$I:$I,月別入力!$D:$D,$C21,月別入力!$E:$E,AC$11),1)</f>
        <v>0</v>
      </c>
      <c r="AD21" s="299">
        <f>ROUND(SUMIFS(月別入力!$I:$I,月別入力!$D:$D,$C21,月別入力!$E:$E,AD$11),1)</f>
        <v>0</v>
      </c>
      <c r="AE21" s="299">
        <f>ROUND(SUMIFS(月別入力!$I:$I,月別入力!$D:$D,$C21,月別入力!$E:$E,AE$11),1)</f>
        <v>0</v>
      </c>
      <c r="AF21" s="299">
        <f>ROUND(SUMIFS(月別入力!$I:$I,月別入力!$D:$D,$C21,月別入力!$E:$E,AF$11),1)</f>
        <v>0</v>
      </c>
      <c r="AG21" s="299">
        <f>ROUND(SUMIFS(月別入力!$I:$I,月別入力!$D:$D,$C21,月別入力!$E:$E,AG$11),1)</f>
        <v>0</v>
      </c>
      <c r="AH21" s="299">
        <f>ROUND(SUMIFS(月別入力!$I:$I,月別入力!$D:$D,$C21,月別入力!$E:$E,AH$11),1)</f>
        <v>0</v>
      </c>
      <c r="AI21" s="300">
        <f>ROUND(SUMIFS(月別入力!$I:$I,月別入力!$D:$D,$C21,月別入力!$E:$E,AI$11),1)</f>
        <v>0</v>
      </c>
      <c r="AJ21" s="311">
        <f>ROUND(SUMIFS(月別入力!$I:$I,月別入力!$D:$D,$C21,月別入力!$H:$H,"[5]雇用",月別入力!$F:$F,"[1]男"),1)</f>
        <v>0</v>
      </c>
      <c r="AK21" s="300">
        <f>ROUND(SUMIFS(月別入力!$I:$I,月別入力!$D:$D,$C21,月別入力!$H:$H,"[5]雇用",月別入力!$F:$F,"[2]女"),1)</f>
        <v>0</v>
      </c>
      <c r="AL21" s="416" t="str">
        <f t="shared" si="5"/>
        <v/>
      </c>
      <c r="AM21" s="417"/>
      <c r="AN21" s="418"/>
      <c r="AO21" s="419"/>
      <c r="AP21" s="419"/>
      <c r="AQ21" s="419"/>
      <c r="AR21" s="419"/>
      <c r="AS21" s="419"/>
      <c r="AT21" s="419"/>
      <c r="AU21" s="419"/>
      <c r="AV21" s="419"/>
      <c r="AW21" s="419"/>
      <c r="AX21" s="420"/>
      <c r="BB21" s="400"/>
      <c r="BC21" s="221" t="s">
        <v>145</v>
      </c>
      <c r="BD21" s="229">
        <f>SUM(SUMIFS(P21:AI21,P14:AI14,{"[1]家族","[3]ゆい・手間替え受け"},P12:AI12,"[1]男"))</f>
        <v>0</v>
      </c>
      <c r="BE21" s="230">
        <f>SUM(SUMIFS(P21:AI21,P14:AI14,{"[1]家族","[3]ゆい・手間替え受け"},P12:AI12,"[2]女"))</f>
        <v>0</v>
      </c>
      <c r="BF21" s="224">
        <f t="shared" si="2"/>
        <v>0</v>
      </c>
      <c r="BG21" s="218">
        <f t="shared" si="6"/>
        <v>0</v>
      </c>
      <c r="BH21" s="225">
        <f>SUM(SUMIFS(P21:AI21,P14:AI14,{"[2]同居人","[4]手伝い・共同作業受け"},P12:AI12,"[1]男"))</f>
        <v>0</v>
      </c>
      <c r="BI21" s="228">
        <f t="shared" si="0"/>
        <v>0</v>
      </c>
      <c r="BJ21" s="227">
        <f t="shared" si="3"/>
        <v>0</v>
      </c>
      <c r="BK21" s="225">
        <f>SUM(SUMIFS(P21:AI21,P14:AI14,{"[2]同居人","[4]手伝い・共同作業受け"},P12:AI12,"[2]女"))</f>
        <v>0</v>
      </c>
      <c r="BL21" s="228">
        <f t="shared" si="1"/>
        <v>0</v>
      </c>
      <c r="BM21" s="218">
        <f t="shared" si="4"/>
        <v>0</v>
      </c>
      <c r="BN21" s="203"/>
      <c r="BO21" s="214"/>
      <c r="BP21" s="214"/>
      <c r="BQ21" s="215"/>
      <c r="BR21" s="215"/>
    </row>
    <row r="22" spans="3:83" ht="31.5" customHeight="1" x14ac:dyDescent="0.2">
      <c r="C22" s="416" t="str">
        <f>設定!O8</f>
        <v/>
      </c>
      <c r="D22" s="417"/>
      <c r="E22" s="418"/>
      <c r="F22" s="434"/>
      <c r="G22" s="435"/>
      <c r="H22" s="435"/>
      <c r="I22" s="435"/>
      <c r="J22" s="435"/>
      <c r="K22" s="435"/>
      <c r="L22" s="435"/>
      <c r="M22" s="435"/>
      <c r="N22" s="435"/>
      <c r="O22" s="435"/>
      <c r="P22" s="296">
        <f>ROUND(SUMIFS(月別入力!$I:$I,月別入力!$D:$D,$C22,月別入力!$E:$E,P$11),1)</f>
        <v>0</v>
      </c>
      <c r="Q22" s="297">
        <f>ROUND(SUMIFS(月別入力!$I:$I,月別入力!$D:$D,$C22,月別入力!$E:$E,Q$11),1)</f>
        <v>0</v>
      </c>
      <c r="R22" s="297">
        <f>ROUND(SUMIFS(月別入力!$I:$I,月別入力!$D:$D,$C22,月別入力!$E:$E,R$11),1)</f>
        <v>0</v>
      </c>
      <c r="S22" s="297">
        <f>ROUND(SUMIFS(月別入力!$I:$I,月別入力!$D:$D,$C22,月別入力!$E:$E,S$11),1)</f>
        <v>0</v>
      </c>
      <c r="T22" s="297">
        <f>ROUND(SUMIFS(月別入力!$I:$I,月別入力!$D:$D,$C22,月別入力!$E:$E,T$11),1)</f>
        <v>0</v>
      </c>
      <c r="U22" s="298">
        <f>ROUND(SUMIFS(月別入力!$I:$I,月別入力!$D:$D,$C22,月別入力!$E:$E,U$11),1)</f>
        <v>0</v>
      </c>
      <c r="V22" s="299">
        <f>ROUND(SUMIFS(月別入力!$I:$I,月別入力!$D:$D,$C22,月別入力!$E:$E,V$11),1)</f>
        <v>0</v>
      </c>
      <c r="W22" s="299">
        <f>ROUND(SUMIFS(月別入力!$I:$I,月別入力!$D:$D,$C22,月別入力!$E:$E,W$11),1)</f>
        <v>0</v>
      </c>
      <c r="X22" s="299">
        <f>ROUND(SUMIFS(月別入力!$I:$I,月別入力!$D:$D,$C22,月別入力!$E:$E,X$11),1)</f>
        <v>0</v>
      </c>
      <c r="Y22" s="299">
        <f>ROUND(SUMIFS(月別入力!$I:$I,月別入力!$D:$D,$C22,月別入力!$E:$E,Y$11),1)</f>
        <v>0</v>
      </c>
      <c r="Z22" s="299">
        <f>ROUND(SUMIFS(月別入力!$I:$I,月別入力!$D:$D,$C22,月別入力!$E:$E,Z$11),1)</f>
        <v>0</v>
      </c>
      <c r="AA22" s="299">
        <f>ROUND(SUMIFS(月別入力!$I:$I,月別入力!$D:$D,$C22,月別入力!$E:$E,AA$11),1)</f>
        <v>0</v>
      </c>
      <c r="AB22" s="299">
        <f>ROUND(SUMIFS(月別入力!$I:$I,月別入力!$D:$D,$C22,月別入力!$E:$E,AB$11),1)</f>
        <v>0</v>
      </c>
      <c r="AC22" s="299">
        <f>ROUND(SUMIFS(月別入力!$I:$I,月別入力!$D:$D,$C22,月別入力!$E:$E,AC$11),1)</f>
        <v>0</v>
      </c>
      <c r="AD22" s="299">
        <f>ROUND(SUMIFS(月別入力!$I:$I,月別入力!$D:$D,$C22,月別入力!$E:$E,AD$11),1)</f>
        <v>0</v>
      </c>
      <c r="AE22" s="299">
        <f>ROUND(SUMIFS(月別入力!$I:$I,月別入力!$D:$D,$C22,月別入力!$E:$E,AE$11),1)</f>
        <v>0</v>
      </c>
      <c r="AF22" s="299">
        <f>ROUND(SUMIFS(月別入力!$I:$I,月別入力!$D:$D,$C22,月別入力!$E:$E,AF$11),1)</f>
        <v>0</v>
      </c>
      <c r="AG22" s="299">
        <f>ROUND(SUMIFS(月別入力!$I:$I,月別入力!$D:$D,$C22,月別入力!$E:$E,AG$11),1)</f>
        <v>0</v>
      </c>
      <c r="AH22" s="299">
        <f>ROUND(SUMIFS(月別入力!$I:$I,月別入力!$D:$D,$C22,月別入力!$E:$E,AH$11),1)</f>
        <v>0</v>
      </c>
      <c r="AI22" s="300">
        <f>ROUND(SUMIFS(月別入力!$I:$I,月別入力!$D:$D,$C22,月別入力!$E:$E,AI$11),1)</f>
        <v>0</v>
      </c>
      <c r="AJ22" s="311">
        <f>ROUND(SUMIFS(月別入力!$I:$I,月別入力!$D:$D,$C22,月別入力!$H:$H,"[5]雇用",月別入力!$F:$F,"[1]男"),1)</f>
        <v>0</v>
      </c>
      <c r="AK22" s="300">
        <f>ROUND(SUMIFS(月別入力!$I:$I,月別入力!$D:$D,$C22,月別入力!$H:$H,"[5]雇用",月別入力!$F:$F,"[2]女"),1)</f>
        <v>0</v>
      </c>
      <c r="AL22" s="436" t="str">
        <f t="shared" si="5"/>
        <v/>
      </c>
      <c r="AM22" s="437"/>
      <c r="AN22" s="438"/>
      <c r="AO22" s="439"/>
      <c r="AP22" s="440"/>
      <c r="AQ22" s="440"/>
      <c r="AR22" s="440"/>
      <c r="AS22" s="440"/>
      <c r="AT22" s="440"/>
      <c r="AU22" s="440"/>
      <c r="AV22" s="440"/>
      <c r="AW22" s="440"/>
      <c r="AX22" s="441"/>
      <c r="BB22" s="400"/>
      <c r="BC22" s="221" t="s">
        <v>146</v>
      </c>
      <c r="BD22" s="229">
        <f>SUM(SUMIFS(P22:AI22,P14:AI14,{"[1]家族","[3]ゆい・手間替え受け"},P12:AI12,"[1]男"))</f>
        <v>0</v>
      </c>
      <c r="BE22" s="230">
        <f>SUM(SUMIFS(P22:AI22,P14:AI14,{"[1]家族","[3]ゆい・手間替え受け"},P12:AI12,"[2]女"))</f>
        <v>0</v>
      </c>
      <c r="BF22" s="224">
        <f t="shared" si="2"/>
        <v>0</v>
      </c>
      <c r="BG22" s="218">
        <f t="shared" si="6"/>
        <v>0</v>
      </c>
      <c r="BH22" s="225">
        <f>SUM(SUMIFS(P22:AI22,P14:AI14,{"[2]同居人","[4]手伝い・共同作業受け"},P12:AI12,"[1]男"))</f>
        <v>0</v>
      </c>
      <c r="BI22" s="228">
        <f t="shared" si="0"/>
        <v>0</v>
      </c>
      <c r="BJ22" s="227">
        <f t="shared" si="3"/>
        <v>0</v>
      </c>
      <c r="BK22" s="225">
        <f>SUM(SUMIFS(P22:AI22,P14:AI14,{"[2]同居人","[4]手伝い・共同作業受け"},P12:AI12,"[2]女"))</f>
        <v>0</v>
      </c>
      <c r="BL22" s="228">
        <f t="shared" si="1"/>
        <v>0</v>
      </c>
      <c r="BM22" s="218">
        <f t="shared" si="4"/>
        <v>0</v>
      </c>
      <c r="BN22" s="203"/>
      <c r="BO22" s="214"/>
      <c r="BP22" s="214"/>
      <c r="BQ22" s="215"/>
      <c r="BR22" s="215"/>
    </row>
    <row r="23" spans="3:83" ht="31.5" customHeight="1" x14ac:dyDescent="0.2">
      <c r="C23" s="416" t="str">
        <f>設定!P8</f>
        <v/>
      </c>
      <c r="D23" s="417"/>
      <c r="E23" s="418"/>
      <c r="F23" s="434"/>
      <c r="G23" s="435"/>
      <c r="H23" s="435"/>
      <c r="I23" s="435"/>
      <c r="J23" s="435"/>
      <c r="K23" s="435"/>
      <c r="L23" s="435"/>
      <c r="M23" s="435"/>
      <c r="N23" s="435"/>
      <c r="O23" s="435"/>
      <c r="P23" s="296">
        <f>ROUND(SUMIFS(月別入力!$I:$I,月別入力!$D:$D,$C23,月別入力!$E:$E,P$11),1)</f>
        <v>0</v>
      </c>
      <c r="Q23" s="297">
        <f>ROUND(SUMIFS(月別入力!$I:$I,月別入力!$D:$D,$C23,月別入力!$E:$E,Q$11),1)</f>
        <v>0</v>
      </c>
      <c r="R23" s="297">
        <f>ROUND(SUMIFS(月別入力!$I:$I,月別入力!$D:$D,$C23,月別入力!$E:$E,R$11),1)</f>
        <v>0</v>
      </c>
      <c r="S23" s="297">
        <f>ROUND(SUMIFS(月別入力!$I:$I,月別入力!$D:$D,$C23,月別入力!$E:$E,S$11),1)</f>
        <v>0</v>
      </c>
      <c r="T23" s="297">
        <f>ROUND(SUMIFS(月別入力!$I:$I,月別入力!$D:$D,$C23,月別入力!$E:$E,T$11),1)</f>
        <v>0</v>
      </c>
      <c r="U23" s="298">
        <f>ROUND(SUMIFS(月別入力!$I:$I,月別入力!$D:$D,$C23,月別入力!$E:$E,U$11),1)</f>
        <v>0</v>
      </c>
      <c r="V23" s="299">
        <f>ROUND(SUMIFS(月別入力!$I:$I,月別入力!$D:$D,$C23,月別入力!$E:$E,V$11),1)</f>
        <v>0</v>
      </c>
      <c r="W23" s="299">
        <f>ROUND(SUMIFS(月別入力!$I:$I,月別入力!$D:$D,$C23,月別入力!$E:$E,W$11),1)</f>
        <v>0</v>
      </c>
      <c r="X23" s="299">
        <f>ROUND(SUMIFS(月別入力!$I:$I,月別入力!$D:$D,$C23,月別入力!$E:$E,X$11),1)</f>
        <v>0</v>
      </c>
      <c r="Y23" s="299">
        <f>ROUND(SUMIFS(月別入力!$I:$I,月別入力!$D:$D,$C23,月別入力!$E:$E,Y$11),1)</f>
        <v>0</v>
      </c>
      <c r="Z23" s="299">
        <f>ROUND(SUMIFS(月別入力!$I:$I,月別入力!$D:$D,$C23,月別入力!$E:$E,Z$11),1)</f>
        <v>0</v>
      </c>
      <c r="AA23" s="299">
        <f>ROUND(SUMIFS(月別入力!$I:$I,月別入力!$D:$D,$C23,月別入力!$E:$E,AA$11),1)</f>
        <v>0</v>
      </c>
      <c r="AB23" s="299">
        <f>ROUND(SUMIFS(月別入力!$I:$I,月別入力!$D:$D,$C23,月別入力!$E:$E,AB$11),1)</f>
        <v>0</v>
      </c>
      <c r="AC23" s="299">
        <f>ROUND(SUMIFS(月別入力!$I:$I,月別入力!$D:$D,$C23,月別入力!$E:$E,AC$11),1)</f>
        <v>0</v>
      </c>
      <c r="AD23" s="299">
        <f>ROUND(SUMIFS(月別入力!$I:$I,月別入力!$D:$D,$C23,月別入力!$E:$E,AD$11),1)</f>
        <v>0</v>
      </c>
      <c r="AE23" s="299">
        <f>ROUND(SUMIFS(月別入力!$I:$I,月別入力!$D:$D,$C23,月別入力!$E:$E,AE$11),1)</f>
        <v>0</v>
      </c>
      <c r="AF23" s="299">
        <f>ROUND(SUMIFS(月別入力!$I:$I,月別入力!$D:$D,$C23,月別入力!$E:$E,AF$11),1)</f>
        <v>0</v>
      </c>
      <c r="AG23" s="299">
        <f>ROUND(SUMIFS(月別入力!$I:$I,月別入力!$D:$D,$C23,月別入力!$E:$E,AG$11),1)</f>
        <v>0</v>
      </c>
      <c r="AH23" s="299">
        <f>ROUND(SUMIFS(月別入力!$I:$I,月別入力!$D:$D,$C23,月別入力!$E:$E,AH$11),1)</f>
        <v>0</v>
      </c>
      <c r="AI23" s="300">
        <f>ROUND(SUMIFS(月別入力!$I:$I,月別入力!$D:$D,$C23,月別入力!$E:$E,AI$11),1)</f>
        <v>0</v>
      </c>
      <c r="AJ23" s="311">
        <f>ROUND(SUMIFS(月別入力!$I:$I,月別入力!$D:$D,$C23,月別入力!$H:$H,"[5]雇用",月別入力!$F:$F,"[1]男"),1)</f>
        <v>0</v>
      </c>
      <c r="AK23" s="300">
        <f>ROUND(SUMIFS(月別入力!$I:$I,月別入力!$D:$D,$C23,月別入力!$H:$H,"[5]雇用",月別入力!$F:$F,"[2]女"),1)</f>
        <v>0</v>
      </c>
      <c r="AL23" s="436" t="str">
        <f t="shared" si="5"/>
        <v/>
      </c>
      <c r="AM23" s="437"/>
      <c r="AN23" s="438"/>
      <c r="AO23" s="439"/>
      <c r="AP23" s="440"/>
      <c r="AQ23" s="440"/>
      <c r="AR23" s="440"/>
      <c r="AS23" s="440"/>
      <c r="AT23" s="440"/>
      <c r="AU23" s="440"/>
      <c r="AV23" s="440"/>
      <c r="AW23" s="440"/>
      <c r="AX23" s="441"/>
      <c r="BB23" s="400"/>
      <c r="BC23" s="221" t="s">
        <v>147</v>
      </c>
      <c r="BD23" s="229">
        <f>SUM(SUMIFS(P23:AI23,P14:AI14,{"[1]家族","[3]ゆい・手間替え受け"},P12:AI12,"[1]男"))</f>
        <v>0</v>
      </c>
      <c r="BE23" s="230">
        <f>SUM(SUMIFS(P23:AI23,P14:AI14,{"[1]家族","[3]ゆい・手間替え受け"},P12:AI12,"[2]女"))</f>
        <v>0</v>
      </c>
      <c r="BF23" s="224">
        <f t="shared" si="2"/>
        <v>0</v>
      </c>
      <c r="BG23" s="218">
        <f t="shared" si="6"/>
        <v>0</v>
      </c>
      <c r="BH23" s="225">
        <f>SUM(SUMIFS(P23:AI23,P14:AI14,{"[2]同居人","[4]手伝い・共同作業受け"},P12:AI12,"[1]男"))</f>
        <v>0</v>
      </c>
      <c r="BI23" s="228">
        <f t="shared" si="0"/>
        <v>0</v>
      </c>
      <c r="BJ23" s="227">
        <f t="shared" si="3"/>
        <v>0</v>
      </c>
      <c r="BK23" s="225">
        <f>SUM(SUMIFS(P23:AI23,P14:AI14,{"[2]同居人","[4]手伝い・共同作業受け"},P12:AI12,"[2]女"))</f>
        <v>0</v>
      </c>
      <c r="BL23" s="228">
        <f t="shared" si="1"/>
        <v>0</v>
      </c>
      <c r="BM23" s="218">
        <f t="shared" si="4"/>
        <v>0</v>
      </c>
      <c r="BN23" s="203"/>
      <c r="BO23" s="214"/>
      <c r="BP23" s="214"/>
      <c r="BQ23" s="215"/>
      <c r="BR23" s="215"/>
    </row>
    <row r="24" spans="3:83" ht="31.5" customHeight="1" x14ac:dyDescent="0.2">
      <c r="C24" s="416" t="str">
        <f>設定!Q8</f>
        <v/>
      </c>
      <c r="D24" s="417"/>
      <c r="E24" s="418"/>
      <c r="F24" s="434"/>
      <c r="G24" s="435"/>
      <c r="H24" s="435"/>
      <c r="I24" s="435"/>
      <c r="J24" s="435"/>
      <c r="K24" s="435"/>
      <c r="L24" s="435"/>
      <c r="M24" s="435"/>
      <c r="N24" s="435"/>
      <c r="O24" s="435"/>
      <c r="P24" s="296">
        <f>ROUND(SUMIFS(月別入力!$I:$I,月別入力!$D:$D,$C24,月別入力!$E:$E,P$11),1)</f>
        <v>0</v>
      </c>
      <c r="Q24" s="297">
        <f>ROUND(SUMIFS(月別入力!$I:$I,月別入力!$D:$D,$C24,月別入力!$E:$E,Q$11),1)</f>
        <v>0</v>
      </c>
      <c r="R24" s="297">
        <f>ROUND(SUMIFS(月別入力!$I:$I,月別入力!$D:$D,$C24,月別入力!$E:$E,R$11),1)</f>
        <v>0</v>
      </c>
      <c r="S24" s="297">
        <f>ROUND(SUMIFS(月別入力!$I:$I,月別入力!$D:$D,$C24,月別入力!$E:$E,S$11),1)</f>
        <v>0</v>
      </c>
      <c r="T24" s="297">
        <f>ROUND(SUMIFS(月別入力!$I:$I,月別入力!$D:$D,$C24,月別入力!$E:$E,T$11),1)</f>
        <v>0</v>
      </c>
      <c r="U24" s="298">
        <f>ROUND(SUMIFS(月別入力!$I:$I,月別入力!$D:$D,$C24,月別入力!$E:$E,U$11),1)</f>
        <v>0</v>
      </c>
      <c r="V24" s="299">
        <f>ROUND(SUMIFS(月別入力!$I:$I,月別入力!$D:$D,$C24,月別入力!$E:$E,V$11),1)</f>
        <v>0</v>
      </c>
      <c r="W24" s="299">
        <f>ROUND(SUMIFS(月別入力!$I:$I,月別入力!$D:$D,$C24,月別入力!$E:$E,W$11),1)</f>
        <v>0</v>
      </c>
      <c r="X24" s="299">
        <f>ROUND(SUMIFS(月別入力!$I:$I,月別入力!$D:$D,$C24,月別入力!$E:$E,X$11),1)</f>
        <v>0</v>
      </c>
      <c r="Y24" s="299">
        <f>ROUND(SUMIFS(月別入力!$I:$I,月別入力!$D:$D,$C24,月別入力!$E:$E,Y$11),1)</f>
        <v>0</v>
      </c>
      <c r="Z24" s="299">
        <f>ROUND(SUMIFS(月別入力!$I:$I,月別入力!$D:$D,$C24,月別入力!$E:$E,Z$11),1)</f>
        <v>0</v>
      </c>
      <c r="AA24" s="299">
        <f>ROUND(SUMIFS(月別入力!$I:$I,月別入力!$D:$D,$C24,月別入力!$E:$E,AA$11),1)</f>
        <v>0</v>
      </c>
      <c r="AB24" s="299">
        <f>ROUND(SUMIFS(月別入力!$I:$I,月別入力!$D:$D,$C24,月別入力!$E:$E,AB$11),1)</f>
        <v>0</v>
      </c>
      <c r="AC24" s="299">
        <f>ROUND(SUMIFS(月別入力!$I:$I,月別入力!$D:$D,$C24,月別入力!$E:$E,AC$11),1)</f>
        <v>0</v>
      </c>
      <c r="AD24" s="299">
        <f>ROUND(SUMIFS(月別入力!$I:$I,月別入力!$D:$D,$C24,月別入力!$E:$E,AD$11),1)</f>
        <v>0</v>
      </c>
      <c r="AE24" s="299">
        <f>ROUND(SUMIFS(月別入力!$I:$I,月別入力!$D:$D,$C24,月別入力!$E:$E,AE$11),1)</f>
        <v>0</v>
      </c>
      <c r="AF24" s="299">
        <f>ROUND(SUMIFS(月別入力!$I:$I,月別入力!$D:$D,$C24,月別入力!$E:$E,AF$11),1)</f>
        <v>0</v>
      </c>
      <c r="AG24" s="299">
        <f>ROUND(SUMIFS(月別入力!$I:$I,月別入力!$D:$D,$C24,月別入力!$E:$E,AG$11),1)</f>
        <v>0</v>
      </c>
      <c r="AH24" s="299">
        <f>ROUND(SUMIFS(月別入力!$I:$I,月別入力!$D:$D,$C24,月別入力!$E:$E,AH$11),1)</f>
        <v>0</v>
      </c>
      <c r="AI24" s="300">
        <f>ROUND(SUMIFS(月別入力!$I:$I,月別入力!$D:$D,$C24,月別入力!$E:$E,AI$11),1)</f>
        <v>0</v>
      </c>
      <c r="AJ24" s="311">
        <f>ROUND(SUMIFS(月別入力!$I:$I,月別入力!$D:$D,$C24,月別入力!$H:$H,"[5]雇用",月別入力!$F:$F,"[1]男"),1)</f>
        <v>0</v>
      </c>
      <c r="AK24" s="300">
        <f>ROUND(SUMIFS(月別入力!$I:$I,月別入力!$D:$D,$C24,月別入力!$H:$H,"[5]雇用",月別入力!$F:$F,"[2]女"),1)</f>
        <v>0</v>
      </c>
      <c r="AL24" s="416" t="str">
        <f t="shared" si="5"/>
        <v/>
      </c>
      <c r="AM24" s="417"/>
      <c r="AN24" s="418"/>
      <c r="AO24" s="434"/>
      <c r="AP24" s="435"/>
      <c r="AQ24" s="435"/>
      <c r="AR24" s="435"/>
      <c r="AS24" s="435"/>
      <c r="AT24" s="435"/>
      <c r="AU24" s="435"/>
      <c r="AV24" s="435"/>
      <c r="AW24" s="435"/>
      <c r="AX24" s="442"/>
      <c r="BB24" s="400"/>
      <c r="BC24" s="221" t="s">
        <v>148</v>
      </c>
      <c r="BD24" s="229">
        <f>SUM(SUMIFS(P24:AI24,P14:AI14,{"[1]家族","[3]ゆい・手間替え受け"},P12:AI12,"[1]男"))</f>
        <v>0</v>
      </c>
      <c r="BE24" s="230">
        <f>SUM(SUMIFS(P24:AI24,P14:AI14,{"[1]家族","[3]ゆい・手間替え受け"},P12:AI12,"[2]女"))</f>
        <v>0</v>
      </c>
      <c r="BF24" s="224">
        <f t="shared" si="2"/>
        <v>0</v>
      </c>
      <c r="BG24" s="218">
        <f t="shared" si="6"/>
        <v>0</v>
      </c>
      <c r="BH24" s="225">
        <f>SUM(SUMIFS(P24:AI24,P14:AI14,{"[2]同居人","[4]手伝い・共同作業受け"},P12:AI12,"[1]男"))</f>
        <v>0</v>
      </c>
      <c r="BI24" s="228">
        <f t="shared" si="0"/>
        <v>0</v>
      </c>
      <c r="BJ24" s="227">
        <f t="shared" si="3"/>
        <v>0</v>
      </c>
      <c r="BK24" s="225">
        <f>SUM(SUMIFS(P24:AI24,P14:AI14,{"[2]同居人","[4]手伝い・共同作業受け"},P12:AI12,"[2]女"))</f>
        <v>0</v>
      </c>
      <c r="BL24" s="228">
        <f t="shared" si="1"/>
        <v>0</v>
      </c>
      <c r="BM24" s="218">
        <f t="shared" si="4"/>
        <v>0</v>
      </c>
      <c r="BN24" s="203"/>
      <c r="BO24" s="214"/>
      <c r="BP24" s="214"/>
      <c r="BQ24" s="215"/>
      <c r="BR24" s="216"/>
    </row>
    <row r="25" spans="3:83" ht="31.5" customHeight="1" x14ac:dyDescent="0.2">
      <c r="C25" s="416" t="str">
        <f>設定!R8</f>
        <v/>
      </c>
      <c r="D25" s="443"/>
      <c r="E25" s="444"/>
      <c r="F25" s="434"/>
      <c r="G25" s="435"/>
      <c r="H25" s="435"/>
      <c r="I25" s="435"/>
      <c r="J25" s="435"/>
      <c r="K25" s="435"/>
      <c r="L25" s="435"/>
      <c r="M25" s="435"/>
      <c r="N25" s="435"/>
      <c r="O25" s="435"/>
      <c r="P25" s="296">
        <f>ROUND(SUMIFS(月別入力!$I:$I,月別入力!$D:$D,$C25,月別入力!$E:$E,P$11),1)</f>
        <v>0</v>
      </c>
      <c r="Q25" s="297">
        <f>ROUND(SUMIFS(月別入力!$I:$I,月別入力!$D:$D,$C25,月別入力!$E:$E,Q$11),1)</f>
        <v>0</v>
      </c>
      <c r="R25" s="297">
        <f>ROUND(SUMIFS(月別入力!$I:$I,月別入力!$D:$D,$C25,月別入力!$E:$E,R$11),1)</f>
        <v>0</v>
      </c>
      <c r="S25" s="297">
        <f>ROUND(SUMIFS(月別入力!$I:$I,月別入力!$D:$D,$C25,月別入力!$E:$E,S$11),1)</f>
        <v>0</v>
      </c>
      <c r="T25" s="297">
        <f>ROUND(SUMIFS(月別入力!$I:$I,月別入力!$D:$D,$C25,月別入力!$E:$E,T$11),1)</f>
        <v>0</v>
      </c>
      <c r="U25" s="298">
        <f>ROUND(SUMIFS(月別入力!$I:$I,月別入力!$D:$D,$C25,月別入力!$E:$E,U$11),1)</f>
        <v>0</v>
      </c>
      <c r="V25" s="299">
        <f>ROUND(SUMIFS(月別入力!$I:$I,月別入力!$D:$D,$C25,月別入力!$E:$E,V$11),1)</f>
        <v>0</v>
      </c>
      <c r="W25" s="299">
        <f>ROUND(SUMIFS(月別入力!$I:$I,月別入力!$D:$D,$C25,月別入力!$E:$E,W$11),1)</f>
        <v>0</v>
      </c>
      <c r="X25" s="299">
        <f>ROUND(SUMIFS(月別入力!$I:$I,月別入力!$D:$D,$C25,月別入力!$E:$E,X$11),1)</f>
        <v>0</v>
      </c>
      <c r="Y25" s="299">
        <f>ROUND(SUMIFS(月別入力!$I:$I,月別入力!$D:$D,$C25,月別入力!$E:$E,Y$11),1)</f>
        <v>0</v>
      </c>
      <c r="Z25" s="299">
        <f>ROUND(SUMIFS(月別入力!$I:$I,月別入力!$D:$D,$C25,月別入力!$E:$E,Z$11),1)</f>
        <v>0</v>
      </c>
      <c r="AA25" s="299">
        <f>ROUND(SUMIFS(月別入力!$I:$I,月別入力!$D:$D,$C25,月別入力!$E:$E,AA$11),1)</f>
        <v>0</v>
      </c>
      <c r="AB25" s="299">
        <f>ROUND(SUMIFS(月別入力!$I:$I,月別入力!$D:$D,$C25,月別入力!$E:$E,AB$11),1)</f>
        <v>0</v>
      </c>
      <c r="AC25" s="299">
        <f>ROUND(SUMIFS(月別入力!$I:$I,月別入力!$D:$D,$C25,月別入力!$E:$E,AC$11),1)</f>
        <v>0</v>
      </c>
      <c r="AD25" s="299">
        <f>ROUND(SUMIFS(月別入力!$I:$I,月別入力!$D:$D,$C25,月別入力!$E:$E,AD$11),1)</f>
        <v>0</v>
      </c>
      <c r="AE25" s="299">
        <f>ROUND(SUMIFS(月別入力!$I:$I,月別入力!$D:$D,$C25,月別入力!$E:$E,AE$11),1)</f>
        <v>0</v>
      </c>
      <c r="AF25" s="299">
        <f>ROUND(SUMIFS(月別入力!$I:$I,月別入力!$D:$D,$C25,月別入力!$E:$E,AF$11),1)</f>
        <v>0</v>
      </c>
      <c r="AG25" s="299">
        <f>ROUND(SUMIFS(月別入力!$I:$I,月別入力!$D:$D,$C25,月別入力!$E:$E,AG$11),1)</f>
        <v>0</v>
      </c>
      <c r="AH25" s="299">
        <f>ROUND(SUMIFS(月別入力!$I:$I,月別入力!$D:$D,$C25,月別入力!$E:$E,AH$11),1)</f>
        <v>0</v>
      </c>
      <c r="AI25" s="300">
        <f>ROUND(SUMIFS(月別入力!$I:$I,月別入力!$D:$D,$C25,月別入力!$E:$E,AI$11),1)</f>
        <v>0</v>
      </c>
      <c r="AJ25" s="311">
        <f>ROUND(SUMIFS(月別入力!$I:$I,月別入力!$D:$D,$C25,月別入力!$H:$H,"[5]雇用",月別入力!$F:$F,"[1]男"),1)</f>
        <v>0</v>
      </c>
      <c r="AK25" s="300">
        <f>ROUND(SUMIFS(月別入力!$I:$I,月別入力!$D:$D,$C25,月別入力!$H:$H,"[5]雇用",月別入力!$F:$F,"[2]女"),1)</f>
        <v>0</v>
      </c>
      <c r="AL25" s="436" t="str">
        <f t="shared" si="5"/>
        <v/>
      </c>
      <c r="AM25" s="436"/>
      <c r="AN25" s="445"/>
      <c r="AO25" s="439"/>
      <c r="AP25" s="440"/>
      <c r="AQ25" s="440"/>
      <c r="AR25" s="440"/>
      <c r="AS25" s="440"/>
      <c r="AT25" s="440"/>
      <c r="AU25" s="440"/>
      <c r="AV25" s="440"/>
      <c r="AW25" s="440"/>
      <c r="AX25" s="441"/>
      <c r="BB25" s="400"/>
      <c r="BC25" s="221" t="s">
        <v>149</v>
      </c>
      <c r="BD25" s="229">
        <f>SUM(SUMIFS(P25:AI25,P14:AI14,{"[1]家族","[3]ゆい・手間替え受け"},P12:AI12,"[1]男"))</f>
        <v>0</v>
      </c>
      <c r="BE25" s="230">
        <f>SUM(SUMIFS(P25:AI25,P14:AI14,{"[1]家族","[3]ゆい・手間替え受け"},P12:AI12,"[2]女"))</f>
        <v>0</v>
      </c>
      <c r="BF25" s="224">
        <f t="shared" si="2"/>
        <v>0</v>
      </c>
      <c r="BG25" s="218">
        <f t="shared" si="6"/>
        <v>0</v>
      </c>
      <c r="BH25" s="225">
        <f>SUM(SUMIFS(P25:AI25,P14:AI14,{"[2]同居人","[4]手伝い・共同作業受け"},P12:AI12,"[1]男"))</f>
        <v>0</v>
      </c>
      <c r="BI25" s="228">
        <f t="shared" si="0"/>
        <v>0</v>
      </c>
      <c r="BJ25" s="227">
        <f t="shared" si="3"/>
        <v>0</v>
      </c>
      <c r="BK25" s="225">
        <f>SUM(SUMIFS(P25:AI25,P14:AI14,{"[2]同居人","[4]手伝い・共同作業受け"},P12:AI12,"[2]女"))</f>
        <v>0</v>
      </c>
      <c r="BL25" s="228">
        <f t="shared" si="1"/>
        <v>0</v>
      </c>
      <c r="BM25" s="218">
        <f t="shared" si="4"/>
        <v>0</v>
      </c>
      <c r="BN25" s="203"/>
      <c r="BO25" s="219"/>
      <c r="BP25" s="216"/>
      <c r="BQ25" s="220"/>
      <c r="BR25" s="220"/>
    </row>
    <row r="26" spans="3:83" ht="31.5" customHeight="1" x14ac:dyDescent="0.2">
      <c r="C26" s="416" t="str">
        <f>設定!S8</f>
        <v/>
      </c>
      <c r="D26" s="417"/>
      <c r="E26" s="418"/>
      <c r="F26" s="434"/>
      <c r="G26" s="435"/>
      <c r="H26" s="435"/>
      <c r="I26" s="435"/>
      <c r="J26" s="435"/>
      <c r="K26" s="435"/>
      <c r="L26" s="435"/>
      <c r="M26" s="435"/>
      <c r="N26" s="435"/>
      <c r="O26" s="435"/>
      <c r="P26" s="296">
        <f>ROUND(SUMIFS(月別入力!$I:$I,月別入力!$D:$D,$C26,月別入力!$E:$E,P$11),1)</f>
        <v>0</v>
      </c>
      <c r="Q26" s="297">
        <f>ROUND(SUMIFS(月別入力!$I:$I,月別入力!$D:$D,$C26,月別入力!$E:$E,Q$11),1)</f>
        <v>0</v>
      </c>
      <c r="R26" s="297">
        <f>ROUND(SUMIFS(月別入力!$I:$I,月別入力!$D:$D,$C26,月別入力!$E:$E,R$11),1)</f>
        <v>0</v>
      </c>
      <c r="S26" s="297">
        <f>ROUND(SUMIFS(月別入力!$I:$I,月別入力!$D:$D,$C26,月別入力!$E:$E,S$11),1)</f>
        <v>0</v>
      </c>
      <c r="T26" s="297">
        <f>ROUND(SUMIFS(月別入力!$I:$I,月別入力!$D:$D,$C26,月別入力!$E:$E,T$11),1)</f>
        <v>0</v>
      </c>
      <c r="U26" s="298">
        <f>ROUND(SUMIFS(月別入力!$I:$I,月別入力!$D:$D,$C26,月別入力!$E:$E,U$11),1)</f>
        <v>0</v>
      </c>
      <c r="V26" s="299">
        <f>ROUND(SUMIFS(月別入力!$I:$I,月別入力!$D:$D,$C26,月別入力!$E:$E,V$11),1)</f>
        <v>0</v>
      </c>
      <c r="W26" s="299">
        <f>ROUND(SUMIFS(月別入力!$I:$I,月別入力!$D:$D,$C26,月別入力!$E:$E,W$11),1)</f>
        <v>0</v>
      </c>
      <c r="X26" s="299">
        <f>ROUND(SUMIFS(月別入力!$I:$I,月別入力!$D:$D,$C26,月別入力!$E:$E,X$11),1)</f>
        <v>0</v>
      </c>
      <c r="Y26" s="299">
        <f>ROUND(SUMIFS(月別入力!$I:$I,月別入力!$D:$D,$C26,月別入力!$E:$E,Y$11),1)</f>
        <v>0</v>
      </c>
      <c r="Z26" s="299">
        <f>ROUND(SUMIFS(月別入力!$I:$I,月別入力!$D:$D,$C26,月別入力!$E:$E,Z$11),1)</f>
        <v>0</v>
      </c>
      <c r="AA26" s="299">
        <f>ROUND(SUMIFS(月別入力!$I:$I,月別入力!$D:$D,$C26,月別入力!$E:$E,AA$11),1)</f>
        <v>0</v>
      </c>
      <c r="AB26" s="299">
        <f>ROUND(SUMIFS(月別入力!$I:$I,月別入力!$D:$D,$C26,月別入力!$E:$E,AB$11),1)</f>
        <v>0</v>
      </c>
      <c r="AC26" s="299">
        <f>ROUND(SUMIFS(月別入力!$I:$I,月別入力!$D:$D,$C26,月別入力!$E:$E,AC$11),1)</f>
        <v>0</v>
      </c>
      <c r="AD26" s="299">
        <f>ROUND(SUMIFS(月別入力!$I:$I,月別入力!$D:$D,$C26,月別入力!$E:$E,AD$11),1)</f>
        <v>0</v>
      </c>
      <c r="AE26" s="299">
        <f>ROUND(SUMIFS(月別入力!$I:$I,月別入力!$D:$D,$C26,月別入力!$E:$E,AE$11),1)</f>
        <v>0</v>
      </c>
      <c r="AF26" s="299">
        <f>ROUND(SUMIFS(月別入力!$I:$I,月別入力!$D:$D,$C26,月別入力!$E:$E,AF$11),1)</f>
        <v>0</v>
      </c>
      <c r="AG26" s="299">
        <f>ROUND(SUMIFS(月別入力!$I:$I,月別入力!$D:$D,$C26,月別入力!$E:$E,AG$11),1)</f>
        <v>0</v>
      </c>
      <c r="AH26" s="299">
        <f>ROUND(SUMIFS(月別入力!$I:$I,月別入力!$D:$D,$C26,月別入力!$E:$E,AH$11),1)</f>
        <v>0</v>
      </c>
      <c r="AI26" s="300">
        <f>ROUND(SUMIFS(月別入力!$I:$I,月別入力!$D:$D,$C26,月別入力!$E:$E,AI$11),1)</f>
        <v>0</v>
      </c>
      <c r="AJ26" s="311">
        <f>ROUND(SUMIFS(月別入力!$I:$I,月別入力!$D:$D,$C26,月別入力!$H:$H,"[5]雇用",月別入力!$F:$F,"[1]男"),1)</f>
        <v>0</v>
      </c>
      <c r="AK26" s="300">
        <f>ROUND(SUMIFS(月別入力!$I:$I,月別入力!$D:$D,$C26,月別入力!$H:$H,"[5]雇用",月別入力!$F:$F,"[2]女"),1)</f>
        <v>0</v>
      </c>
      <c r="AL26" s="436" t="str">
        <f t="shared" si="5"/>
        <v/>
      </c>
      <c r="AM26" s="437"/>
      <c r="AN26" s="438"/>
      <c r="AO26" s="439"/>
      <c r="AP26" s="440"/>
      <c r="AQ26" s="440"/>
      <c r="AR26" s="440"/>
      <c r="AS26" s="440"/>
      <c r="AT26" s="440"/>
      <c r="AU26" s="440"/>
      <c r="AV26" s="440"/>
      <c r="AW26" s="440"/>
      <c r="AX26" s="441"/>
      <c r="BB26" s="400"/>
      <c r="BC26" s="221" t="s">
        <v>150</v>
      </c>
      <c r="BD26" s="229">
        <f>SUM(SUMIFS(P26:AI26,P14:AI14,{"[1]家族","[3]ゆい・手間替え受け"},P12:AI12,"[1]男"))</f>
        <v>0</v>
      </c>
      <c r="BE26" s="230">
        <f>SUM(SUMIFS(P26:AI26,P14:AI14,{"[1]家族","[3]ゆい・手間替え受け"},P12:AI12,"[2]女"))</f>
        <v>0</v>
      </c>
      <c r="BF26" s="224">
        <f t="shared" si="2"/>
        <v>0</v>
      </c>
      <c r="BG26" s="218">
        <f t="shared" si="6"/>
        <v>0</v>
      </c>
      <c r="BH26" s="225">
        <f>SUM(SUMIFS(P26:AI26,P14:AI14,{"[2]同居人","[4]手伝い・共同作業受け"},P12:AI12,"[1]男"))</f>
        <v>0</v>
      </c>
      <c r="BI26" s="228">
        <f t="shared" si="0"/>
        <v>0</v>
      </c>
      <c r="BJ26" s="227">
        <f t="shared" si="3"/>
        <v>0</v>
      </c>
      <c r="BK26" s="225">
        <f>SUM(SUMIFS(P26:AI26,P14:AI14,{"[2]同居人","[4]手伝い・共同作業受け"},P12:AI12,"[2]女"))</f>
        <v>0</v>
      </c>
      <c r="BL26" s="228">
        <f t="shared" si="1"/>
        <v>0</v>
      </c>
      <c r="BM26" s="218">
        <f t="shared" si="4"/>
        <v>0</v>
      </c>
      <c r="BN26" s="203"/>
      <c r="BO26" s="219"/>
      <c r="BP26" s="216"/>
      <c r="BQ26" s="220"/>
      <c r="BR26" s="220"/>
    </row>
    <row r="27" spans="3:83" ht="31.5" customHeight="1" x14ac:dyDescent="0.2">
      <c r="C27" s="416" t="str">
        <f>設定!T8</f>
        <v/>
      </c>
      <c r="D27" s="417"/>
      <c r="E27" s="418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296">
        <f>ROUND(SUMIFS(月別入力!$I:$I,月別入力!$D:$D,$C27,月別入力!$E:$E,P$11),1)</f>
        <v>0</v>
      </c>
      <c r="Q27" s="297">
        <f>ROUND(SUMIFS(月別入力!$I:$I,月別入力!$D:$D,$C27,月別入力!$E:$E,Q$11),1)</f>
        <v>0</v>
      </c>
      <c r="R27" s="297">
        <f>ROUND(SUMIFS(月別入力!$I:$I,月別入力!$D:$D,$C27,月別入力!$E:$E,R$11),1)</f>
        <v>0</v>
      </c>
      <c r="S27" s="297">
        <f>ROUND(SUMIFS(月別入力!$I:$I,月別入力!$D:$D,$C27,月別入力!$E:$E,S$11),1)</f>
        <v>0</v>
      </c>
      <c r="T27" s="297">
        <f>ROUND(SUMIFS(月別入力!$I:$I,月別入力!$D:$D,$C27,月別入力!$E:$E,T$11),1)</f>
        <v>0</v>
      </c>
      <c r="U27" s="298">
        <f>ROUND(SUMIFS(月別入力!$I:$I,月別入力!$D:$D,$C27,月別入力!$E:$E,U$11),1)</f>
        <v>0</v>
      </c>
      <c r="V27" s="299">
        <f>ROUND(SUMIFS(月別入力!$I:$I,月別入力!$D:$D,$C27,月別入力!$E:$E,V$11),1)</f>
        <v>0</v>
      </c>
      <c r="W27" s="299">
        <f>ROUND(SUMIFS(月別入力!$I:$I,月別入力!$D:$D,$C27,月別入力!$E:$E,W$11),1)</f>
        <v>0</v>
      </c>
      <c r="X27" s="299">
        <f>ROUND(SUMIFS(月別入力!$I:$I,月別入力!$D:$D,$C27,月別入力!$E:$E,X$11),1)</f>
        <v>0</v>
      </c>
      <c r="Y27" s="299">
        <f>ROUND(SUMIFS(月別入力!$I:$I,月別入力!$D:$D,$C27,月別入力!$E:$E,Y$11),1)</f>
        <v>0</v>
      </c>
      <c r="Z27" s="299">
        <f>ROUND(SUMIFS(月別入力!$I:$I,月別入力!$D:$D,$C27,月別入力!$E:$E,Z$11),1)</f>
        <v>0</v>
      </c>
      <c r="AA27" s="299">
        <f>ROUND(SUMIFS(月別入力!$I:$I,月別入力!$D:$D,$C27,月別入力!$E:$E,AA$11),1)</f>
        <v>0</v>
      </c>
      <c r="AB27" s="299">
        <f>ROUND(SUMIFS(月別入力!$I:$I,月別入力!$D:$D,$C27,月別入力!$E:$E,AB$11),1)</f>
        <v>0</v>
      </c>
      <c r="AC27" s="299">
        <f>ROUND(SUMIFS(月別入力!$I:$I,月別入力!$D:$D,$C27,月別入力!$E:$E,AC$11),1)</f>
        <v>0</v>
      </c>
      <c r="AD27" s="299">
        <f>ROUND(SUMIFS(月別入力!$I:$I,月別入力!$D:$D,$C27,月別入力!$E:$E,AD$11),1)</f>
        <v>0</v>
      </c>
      <c r="AE27" s="299">
        <f>ROUND(SUMIFS(月別入力!$I:$I,月別入力!$D:$D,$C27,月別入力!$E:$E,AE$11),1)</f>
        <v>0</v>
      </c>
      <c r="AF27" s="299">
        <f>ROUND(SUMIFS(月別入力!$I:$I,月別入力!$D:$D,$C27,月別入力!$E:$E,AF$11),1)</f>
        <v>0</v>
      </c>
      <c r="AG27" s="299">
        <f>ROUND(SUMIFS(月別入力!$I:$I,月別入力!$D:$D,$C27,月別入力!$E:$E,AG$11),1)</f>
        <v>0</v>
      </c>
      <c r="AH27" s="299">
        <f>ROUND(SUMIFS(月別入力!$I:$I,月別入力!$D:$D,$C27,月別入力!$E:$E,AH$11),1)</f>
        <v>0</v>
      </c>
      <c r="AI27" s="300">
        <f>ROUND(SUMIFS(月別入力!$I:$I,月別入力!$D:$D,$C27,月別入力!$E:$E,AI$11),1)</f>
        <v>0</v>
      </c>
      <c r="AJ27" s="311">
        <f>ROUND(SUMIFS(月別入力!$I:$I,月別入力!$D:$D,$C27,月別入力!$H:$H,"[5]雇用",月別入力!$F:$F,"[1]男"),1)</f>
        <v>0</v>
      </c>
      <c r="AK27" s="300">
        <f>ROUND(SUMIFS(月別入力!$I:$I,月別入力!$D:$D,$C27,月別入力!$H:$H,"[5]雇用",月別入力!$F:$F,"[2]女"),1)</f>
        <v>0</v>
      </c>
      <c r="AL27" s="416" t="str">
        <f t="shared" si="5"/>
        <v/>
      </c>
      <c r="AM27" s="417"/>
      <c r="AN27" s="418"/>
      <c r="AO27" s="419"/>
      <c r="AP27" s="419"/>
      <c r="AQ27" s="419"/>
      <c r="AR27" s="419"/>
      <c r="AS27" s="419"/>
      <c r="AT27" s="419"/>
      <c r="AU27" s="419"/>
      <c r="AV27" s="419"/>
      <c r="AW27" s="419"/>
      <c r="AX27" s="420"/>
      <c r="BB27" s="400"/>
      <c r="BC27" s="221" t="s">
        <v>151</v>
      </c>
      <c r="BD27" s="229">
        <f>SUM(SUMIFS(P27:AI27,P14:AI14,{"[1]家族","[3]ゆい・手間替え受け"},P12:AI12,"[1]男"))</f>
        <v>0</v>
      </c>
      <c r="BE27" s="230">
        <f>SUM(SUMIFS(P27:AI27,P14:AI14,{"[1]家族","[3]ゆい・手間替え受け"},P12:AI12,"[2]女"))</f>
        <v>0</v>
      </c>
      <c r="BF27" s="224">
        <f t="shared" si="2"/>
        <v>0</v>
      </c>
      <c r="BG27" s="218">
        <f t="shared" si="6"/>
        <v>0</v>
      </c>
      <c r="BH27" s="225">
        <f>SUM(SUMIFS(P27:AI27,P14:AI14,{"[2]同居人","[4]手伝い・共同作業受け"},P12:AI12,"[1]男"))</f>
        <v>0</v>
      </c>
      <c r="BI27" s="228">
        <f t="shared" si="0"/>
        <v>0</v>
      </c>
      <c r="BJ27" s="227">
        <f t="shared" si="3"/>
        <v>0</v>
      </c>
      <c r="BK27" s="225">
        <f>SUM(SUMIFS(P27:AI27,P14:AI14,{"[2]同居人","[4]手伝い・共同作業受け"},P12:AI12,"[2]女"))</f>
        <v>0</v>
      </c>
      <c r="BL27" s="228">
        <f t="shared" si="1"/>
        <v>0</v>
      </c>
      <c r="BM27" s="218">
        <f t="shared" si="4"/>
        <v>0</v>
      </c>
      <c r="BN27" s="203"/>
      <c r="BO27" s="219"/>
      <c r="BP27" s="216"/>
      <c r="BQ27" s="220"/>
      <c r="BR27" s="220"/>
    </row>
    <row r="28" spans="3:83" s="178" customFormat="1" ht="31.5" customHeight="1" x14ac:dyDescent="0.2">
      <c r="C28" s="416" t="str">
        <f>設定!U8</f>
        <v/>
      </c>
      <c r="D28" s="417"/>
      <c r="E28" s="418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296">
        <f>ROUND(SUMIFS(月別入力!$I:$I,月別入力!$D:$D,$C28,月別入力!$E:$E,P$11),1)</f>
        <v>0</v>
      </c>
      <c r="Q28" s="297">
        <f>ROUND(SUMIFS(月別入力!$I:$I,月別入力!$D:$D,$C28,月別入力!$E:$E,Q$11),1)</f>
        <v>0</v>
      </c>
      <c r="R28" s="297">
        <f>ROUND(SUMIFS(月別入力!$I:$I,月別入力!$D:$D,$C28,月別入力!$E:$E,R$11),1)</f>
        <v>0</v>
      </c>
      <c r="S28" s="297">
        <f>ROUND(SUMIFS(月別入力!$I:$I,月別入力!$D:$D,$C28,月別入力!$E:$E,S$11),1)</f>
        <v>0</v>
      </c>
      <c r="T28" s="297">
        <f>ROUND(SUMIFS(月別入力!$I:$I,月別入力!$D:$D,$C28,月別入力!$E:$E,T$11),1)</f>
        <v>0</v>
      </c>
      <c r="U28" s="298">
        <f>ROUND(SUMIFS(月別入力!$I:$I,月別入力!$D:$D,$C28,月別入力!$E:$E,U$11),1)</f>
        <v>0</v>
      </c>
      <c r="V28" s="299">
        <f>ROUND(SUMIFS(月別入力!$I:$I,月別入力!$D:$D,$C28,月別入力!$E:$E,V$11),1)</f>
        <v>0</v>
      </c>
      <c r="W28" s="299">
        <f>ROUND(SUMIFS(月別入力!$I:$I,月別入力!$D:$D,$C28,月別入力!$E:$E,W$11),1)</f>
        <v>0</v>
      </c>
      <c r="X28" s="299">
        <f>ROUND(SUMIFS(月別入力!$I:$I,月別入力!$D:$D,$C28,月別入力!$E:$E,X$11),1)</f>
        <v>0</v>
      </c>
      <c r="Y28" s="299">
        <f>ROUND(SUMIFS(月別入力!$I:$I,月別入力!$D:$D,$C28,月別入力!$E:$E,Y$11),1)</f>
        <v>0</v>
      </c>
      <c r="Z28" s="299">
        <f>ROUND(SUMIFS(月別入力!$I:$I,月別入力!$D:$D,$C28,月別入力!$E:$E,Z$11),1)</f>
        <v>0</v>
      </c>
      <c r="AA28" s="299">
        <f>ROUND(SUMIFS(月別入力!$I:$I,月別入力!$D:$D,$C28,月別入力!$E:$E,AA$11),1)</f>
        <v>0</v>
      </c>
      <c r="AB28" s="299">
        <f>ROUND(SUMIFS(月別入力!$I:$I,月別入力!$D:$D,$C28,月別入力!$E:$E,AB$11),1)</f>
        <v>0</v>
      </c>
      <c r="AC28" s="299">
        <f>ROUND(SUMIFS(月別入力!$I:$I,月別入力!$D:$D,$C28,月別入力!$E:$E,AC$11),1)</f>
        <v>0</v>
      </c>
      <c r="AD28" s="299">
        <f>ROUND(SUMIFS(月別入力!$I:$I,月別入力!$D:$D,$C28,月別入力!$E:$E,AD$11),1)</f>
        <v>0</v>
      </c>
      <c r="AE28" s="299">
        <f>ROUND(SUMIFS(月別入力!$I:$I,月別入力!$D:$D,$C28,月別入力!$E:$E,AE$11),1)</f>
        <v>0</v>
      </c>
      <c r="AF28" s="299">
        <f>ROUND(SUMIFS(月別入力!$I:$I,月別入力!$D:$D,$C28,月別入力!$E:$E,AF$11),1)</f>
        <v>0</v>
      </c>
      <c r="AG28" s="299">
        <f>ROUND(SUMIFS(月別入力!$I:$I,月別入力!$D:$D,$C28,月別入力!$E:$E,AG$11),1)</f>
        <v>0</v>
      </c>
      <c r="AH28" s="299">
        <f>ROUND(SUMIFS(月別入力!$I:$I,月別入力!$D:$D,$C28,月別入力!$E:$E,AH$11),1)</f>
        <v>0</v>
      </c>
      <c r="AI28" s="300">
        <f>ROUND(SUMIFS(月別入力!$I:$I,月別入力!$D:$D,$C28,月別入力!$E:$E,AI$11),1)</f>
        <v>0</v>
      </c>
      <c r="AJ28" s="311">
        <f>ROUND(SUMIFS(月別入力!$I:$I,月別入力!$D:$D,$C28,月別入力!$H:$H,"[5]雇用",月別入力!$F:$F,"[1]男"),1)</f>
        <v>0</v>
      </c>
      <c r="AK28" s="300">
        <f>ROUND(SUMIFS(月別入力!$I:$I,月別入力!$D:$D,$C28,月別入力!$H:$H,"[5]雇用",月別入力!$F:$F,"[2]女"),1)</f>
        <v>0</v>
      </c>
      <c r="AL28" s="416" t="str">
        <f t="shared" ref="AL28:AL30" si="7">C28</f>
        <v/>
      </c>
      <c r="AM28" s="417"/>
      <c r="AN28" s="418"/>
      <c r="AO28" s="419"/>
      <c r="AP28" s="419"/>
      <c r="AQ28" s="419"/>
      <c r="AR28" s="419"/>
      <c r="AS28" s="419"/>
      <c r="AT28" s="419"/>
      <c r="AU28" s="419"/>
      <c r="AV28" s="419"/>
      <c r="AW28" s="419"/>
      <c r="AX28" s="420"/>
      <c r="BB28" s="400"/>
      <c r="BC28" s="221" t="s">
        <v>152</v>
      </c>
      <c r="BD28" s="229">
        <f>SUM(SUMIFS(P28:AI28,P14:AI14,{"[1]家族","[3]ゆい・手間替え受け"},P12:AI12,"[1]男"))</f>
        <v>0</v>
      </c>
      <c r="BE28" s="230">
        <f>SUM(SUMIFS(P28:AI28,P14:AI14,{"[1]家族","[3]ゆい・手間替え受け"},P12:AI12,"[2]女"))</f>
        <v>0</v>
      </c>
      <c r="BF28" s="224">
        <f t="shared" si="2"/>
        <v>0</v>
      </c>
      <c r="BG28" s="218">
        <f t="shared" si="6"/>
        <v>0</v>
      </c>
      <c r="BH28" s="225">
        <f>SUM(SUMIFS(P28:AI28,P14:AI14,{"[2]同居人","[4]手伝い・共同作業受け"},P12:AI12,"[1]男"))</f>
        <v>0</v>
      </c>
      <c r="BI28" s="228">
        <f t="shared" si="0"/>
        <v>0</v>
      </c>
      <c r="BJ28" s="227">
        <f t="shared" si="3"/>
        <v>0</v>
      </c>
      <c r="BK28" s="225">
        <f>SUM(SUMIFS(P28:AI28,P14:AI14,{"[2]同居人","[4]手伝い・共同作業受け"},P12:AI12,"[2]女"))</f>
        <v>0</v>
      </c>
      <c r="BL28" s="228">
        <f t="shared" si="1"/>
        <v>0</v>
      </c>
      <c r="BM28" s="218">
        <f t="shared" si="4"/>
        <v>0</v>
      </c>
      <c r="BN28" s="203"/>
      <c r="BO28" s="219"/>
      <c r="BP28" s="216"/>
      <c r="BQ28" s="220"/>
      <c r="BR28" s="220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</row>
    <row r="29" spans="3:83" s="178" customFormat="1" ht="31.5" customHeight="1" thickBot="1" x14ac:dyDescent="0.25">
      <c r="C29" s="416" t="str">
        <f>設定!V8</f>
        <v/>
      </c>
      <c r="D29" s="417"/>
      <c r="E29" s="418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296">
        <f>ROUND(SUMIFS(月別入力!$I:$I,月別入力!$D:$D,$C29,月別入力!$E:$E,P$11),1)</f>
        <v>0</v>
      </c>
      <c r="Q29" s="297">
        <f>ROUND(SUMIFS(月別入力!$I:$I,月別入力!$D:$D,$C29,月別入力!$E:$E,Q$11),1)</f>
        <v>0</v>
      </c>
      <c r="R29" s="297">
        <f>ROUND(SUMIFS(月別入力!$I:$I,月別入力!$D:$D,$C29,月別入力!$E:$E,R$11),1)</f>
        <v>0</v>
      </c>
      <c r="S29" s="297">
        <f>ROUND(SUMIFS(月別入力!$I:$I,月別入力!$D:$D,$C29,月別入力!$E:$E,S$11),1)</f>
        <v>0</v>
      </c>
      <c r="T29" s="297">
        <f>ROUND(SUMIFS(月別入力!$I:$I,月別入力!$D:$D,$C29,月別入力!$E:$E,T$11),1)</f>
        <v>0</v>
      </c>
      <c r="U29" s="298">
        <f>ROUND(SUMIFS(月別入力!$I:$I,月別入力!$D:$D,$C29,月別入力!$E:$E,U$11),1)</f>
        <v>0</v>
      </c>
      <c r="V29" s="299">
        <f>ROUND(SUMIFS(月別入力!$I:$I,月別入力!$D:$D,$C29,月別入力!$E:$E,V$11),1)</f>
        <v>0</v>
      </c>
      <c r="W29" s="299">
        <f>ROUND(SUMIFS(月別入力!$I:$I,月別入力!$D:$D,$C29,月別入力!$E:$E,W$11),1)</f>
        <v>0</v>
      </c>
      <c r="X29" s="299">
        <f>ROUND(SUMIFS(月別入力!$I:$I,月別入力!$D:$D,$C29,月別入力!$E:$E,X$11),1)</f>
        <v>0</v>
      </c>
      <c r="Y29" s="299">
        <f>ROUND(SUMIFS(月別入力!$I:$I,月別入力!$D:$D,$C29,月別入力!$E:$E,Y$11),1)</f>
        <v>0</v>
      </c>
      <c r="Z29" s="299">
        <f>ROUND(SUMIFS(月別入力!$I:$I,月別入力!$D:$D,$C29,月別入力!$E:$E,Z$11),1)</f>
        <v>0</v>
      </c>
      <c r="AA29" s="299">
        <f>ROUND(SUMIFS(月別入力!$I:$I,月別入力!$D:$D,$C29,月別入力!$E:$E,AA$11),1)</f>
        <v>0</v>
      </c>
      <c r="AB29" s="299">
        <f>ROUND(SUMIFS(月別入力!$I:$I,月別入力!$D:$D,$C29,月別入力!$E:$E,AB$11),1)</f>
        <v>0</v>
      </c>
      <c r="AC29" s="299">
        <f>ROUND(SUMIFS(月別入力!$I:$I,月別入力!$D:$D,$C29,月別入力!$E:$E,AC$11),1)</f>
        <v>0</v>
      </c>
      <c r="AD29" s="299">
        <f>ROUND(SUMIFS(月別入力!$I:$I,月別入力!$D:$D,$C29,月別入力!$E:$E,AD$11),1)</f>
        <v>0</v>
      </c>
      <c r="AE29" s="299">
        <f>ROUND(SUMIFS(月別入力!$I:$I,月別入力!$D:$D,$C29,月別入力!$E:$E,AE$11),1)</f>
        <v>0</v>
      </c>
      <c r="AF29" s="299">
        <f>ROUND(SUMIFS(月別入力!$I:$I,月別入力!$D:$D,$C29,月別入力!$E:$E,AF$11),1)</f>
        <v>0</v>
      </c>
      <c r="AG29" s="299">
        <f>ROUND(SUMIFS(月別入力!$I:$I,月別入力!$D:$D,$C29,月別入力!$E:$E,AG$11),1)</f>
        <v>0</v>
      </c>
      <c r="AH29" s="299">
        <f>ROUND(SUMIFS(月別入力!$I:$I,月別入力!$D:$D,$C29,月別入力!$E:$E,AH$11),1)</f>
        <v>0</v>
      </c>
      <c r="AI29" s="300">
        <f>ROUND(SUMIFS(月別入力!$I:$I,月別入力!$D:$D,$C29,月別入力!$E:$E,AI$11),1)</f>
        <v>0</v>
      </c>
      <c r="AJ29" s="311">
        <f>ROUND(SUMIFS(月別入力!$I:$I,月別入力!$D:$D,$C29,月別入力!$H:$H,"[5]雇用",月別入力!$F:$F,"[1]男"),1)</f>
        <v>0</v>
      </c>
      <c r="AK29" s="300">
        <f>ROUND(SUMIFS(月別入力!$I:$I,月別入力!$D:$D,$C29,月別入力!$H:$H,"[5]雇用",月別入力!$F:$F,"[2]女"),1)</f>
        <v>0</v>
      </c>
      <c r="AL29" s="416" t="str">
        <f t="shared" si="7"/>
        <v/>
      </c>
      <c r="AM29" s="417"/>
      <c r="AN29" s="418"/>
      <c r="AO29" s="419"/>
      <c r="AP29" s="419"/>
      <c r="AQ29" s="419"/>
      <c r="AR29" s="419"/>
      <c r="AS29" s="419"/>
      <c r="AT29" s="419"/>
      <c r="AU29" s="419"/>
      <c r="AV29" s="419"/>
      <c r="AW29" s="419"/>
      <c r="AX29" s="420"/>
      <c r="BB29" s="400"/>
      <c r="BC29" s="221" t="s">
        <v>153</v>
      </c>
      <c r="BD29" s="229">
        <f>SUM(SUMIFS(P29:AI29,P14:AI14,{"[1]家族","[3]ゆい・手間替え受け"},P12:AI12,"[1]男"))</f>
        <v>0</v>
      </c>
      <c r="BE29" s="230">
        <f>SUM(SUMIFS(P29:AI29,P14:AI14,{"[1]家族","[3]ゆい・手間替え受け"},P12:AI12,"[2]女"))</f>
        <v>0</v>
      </c>
      <c r="BF29" s="224">
        <f t="shared" si="2"/>
        <v>0</v>
      </c>
      <c r="BG29" s="218">
        <f>AJ29</f>
        <v>0</v>
      </c>
      <c r="BH29" s="225">
        <f>SUM(SUMIFS(P29:AI29,P14:AI14,{"[2]同居人","[4]手伝い・共同作業受け"},P12:AI12,"[1]男"))</f>
        <v>0</v>
      </c>
      <c r="BI29" s="231">
        <f t="shared" si="0"/>
        <v>0</v>
      </c>
      <c r="BJ29" s="227">
        <f t="shared" si="3"/>
        <v>0</v>
      </c>
      <c r="BK29" s="225">
        <f>SUM(SUMIFS(P29:AI29,P14:AI14,{"[2]同居人","[4]手伝い・共同作業受け"},P12:AI12,"[2]女"))</f>
        <v>0</v>
      </c>
      <c r="BL29" s="231">
        <f t="shared" si="1"/>
        <v>0</v>
      </c>
      <c r="BM29" s="218">
        <f t="shared" si="4"/>
        <v>0</v>
      </c>
      <c r="BN29" s="203"/>
      <c r="BO29" s="219"/>
      <c r="BP29" s="216"/>
      <c r="BQ29" s="220"/>
      <c r="BR29" s="220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7"/>
      <c r="CE29" s="177"/>
    </row>
    <row r="30" spans="3:83" s="178" customFormat="1" ht="31.5" customHeight="1" thickTop="1" thickBot="1" x14ac:dyDescent="0.25">
      <c r="C30" s="416" t="str">
        <f>設定!W8</f>
        <v/>
      </c>
      <c r="D30" s="417"/>
      <c r="E30" s="418"/>
      <c r="F30" s="421"/>
      <c r="G30" s="421"/>
      <c r="H30" s="421"/>
      <c r="I30" s="421"/>
      <c r="J30" s="421"/>
      <c r="K30" s="421"/>
      <c r="L30" s="421"/>
      <c r="M30" s="421"/>
      <c r="N30" s="421"/>
      <c r="O30" s="421"/>
      <c r="P30" s="301">
        <f>ROUND(SUMIFS(月別入力!$I:$I,月別入力!$D:$D,$C30,月別入力!$E:$E,P$11),1)</f>
        <v>0</v>
      </c>
      <c r="Q30" s="302">
        <f>ROUND(SUMIFS(月別入力!$I:$I,月別入力!$D:$D,$C30,月別入力!$E:$E,Q$11),1)</f>
        <v>0</v>
      </c>
      <c r="R30" s="302">
        <f>ROUND(SUMIFS(月別入力!$I:$I,月別入力!$D:$D,$C30,月別入力!$E:$E,R$11),1)</f>
        <v>0</v>
      </c>
      <c r="S30" s="302">
        <f>ROUND(SUMIFS(月別入力!$I:$I,月別入力!$D:$D,$C30,月別入力!$E:$E,S$11),1)</f>
        <v>0</v>
      </c>
      <c r="T30" s="302">
        <f>ROUND(SUMIFS(月別入力!$I:$I,月別入力!$D:$D,$C30,月別入力!$E:$E,T$11),1)</f>
        <v>0</v>
      </c>
      <c r="U30" s="303">
        <f>ROUND(SUMIFS(月別入力!$I:$I,月別入力!$D:$D,$C30,月別入力!$E:$E,U$11),1)</f>
        <v>0</v>
      </c>
      <c r="V30" s="304">
        <f>ROUND(SUMIFS(月別入力!$I:$I,月別入力!$D:$D,$C30,月別入力!$E:$E,V$11),1)</f>
        <v>0</v>
      </c>
      <c r="W30" s="304">
        <f>ROUND(SUMIFS(月別入力!$I:$I,月別入力!$D:$D,$C30,月別入力!$E:$E,W$11),1)</f>
        <v>0</v>
      </c>
      <c r="X30" s="304">
        <f>ROUND(SUMIFS(月別入力!$I:$I,月別入力!$D:$D,$C30,月別入力!$E:$E,X$11),1)</f>
        <v>0</v>
      </c>
      <c r="Y30" s="304">
        <f>ROUND(SUMIFS(月別入力!$I:$I,月別入力!$D:$D,$C30,月別入力!$E:$E,Y$11),1)</f>
        <v>0</v>
      </c>
      <c r="Z30" s="304">
        <f>ROUND(SUMIFS(月別入力!$I:$I,月別入力!$D:$D,$C30,月別入力!$E:$E,Z$11),1)</f>
        <v>0</v>
      </c>
      <c r="AA30" s="304">
        <f>ROUND(SUMIFS(月別入力!$I:$I,月別入力!$D:$D,$C30,月別入力!$E:$E,AA$11),1)</f>
        <v>0</v>
      </c>
      <c r="AB30" s="304">
        <f>ROUND(SUMIFS(月別入力!$I:$I,月別入力!$D:$D,$C30,月別入力!$E:$E,AB$11),1)</f>
        <v>0</v>
      </c>
      <c r="AC30" s="304">
        <f>ROUND(SUMIFS(月別入力!$I:$I,月別入力!$D:$D,$C30,月別入力!$E:$E,AC$11),1)</f>
        <v>0</v>
      </c>
      <c r="AD30" s="304">
        <f>ROUND(SUMIFS(月別入力!$I:$I,月別入力!$D:$D,$C30,月別入力!$E:$E,AD$11),1)</f>
        <v>0</v>
      </c>
      <c r="AE30" s="304">
        <f>ROUND(SUMIFS(月別入力!$I:$I,月別入力!$D:$D,$C30,月別入力!$E:$E,AE$11),1)</f>
        <v>0</v>
      </c>
      <c r="AF30" s="304">
        <f>ROUND(SUMIFS(月別入力!$I:$I,月別入力!$D:$D,$C30,月別入力!$E:$E,AF$11),1)</f>
        <v>0</v>
      </c>
      <c r="AG30" s="304">
        <f>ROUND(SUMIFS(月別入力!$I:$I,月別入力!$D:$D,$C30,月別入力!$E:$E,AG$11),1)</f>
        <v>0</v>
      </c>
      <c r="AH30" s="304">
        <f>ROUND(SUMIFS(月別入力!$I:$I,月別入力!$D:$D,$C30,月別入力!$E:$E,AH$11),1)</f>
        <v>0</v>
      </c>
      <c r="AI30" s="305">
        <f>ROUND(SUMIFS(月別入力!$I:$I,月別入力!$D:$D,$C30,月別入力!$E:$E,AI$11),1)</f>
        <v>0</v>
      </c>
      <c r="AJ30" s="196"/>
      <c r="AK30" s="197"/>
      <c r="AL30" s="416" t="str">
        <f t="shared" si="7"/>
        <v/>
      </c>
      <c r="AM30" s="417"/>
      <c r="AN30" s="418"/>
      <c r="AO30" s="421"/>
      <c r="AP30" s="421"/>
      <c r="AQ30" s="421"/>
      <c r="AR30" s="421"/>
      <c r="AS30" s="421"/>
      <c r="AT30" s="421"/>
      <c r="AU30" s="421"/>
      <c r="AV30" s="421"/>
      <c r="AW30" s="421"/>
      <c r="AX30" s="422"/>
      <c r="BB30" s="400"/>
      <c r="BC30" s="221" t="s">
        <v>154</v>
      </c>
      <c r="BD30" s="229">
        <f>SUM(SUMIFS(P30:AI30,P14:AI14,{"[1]家族"},P12:AI12,"[1]男"))</f>
        <v>0</v>
      </c>
      <c r="BE30" s="230">
        <f>SUM(SUMIFS(P30:AI30,P14:AI14,{"[1]家族"},P12:AI12,"[2]女"))</f>
        <v>0</v>
      </c>
      <c r="BF30" s="224">
        <f t="shared" si="2"/>
        <v>0</v>
      </c>
      <c r="BG30" s="232"/>
      <c r="BH30" s="232"/>
      <c r="BI30" s="233"/>
      <c r="BJ30" s="232"/>
      <c r="BK30" s="232"/>
      <c r="BL30" s="233"/>
      <c r="BM30" s="232"/>
      <c r="BN30" s="203"/>
      <c r="BO30" s="212" t="s">
        <v>155</v>
      </c>
      <c r="BP30" s="216"/>
      <c r="BQ30" s="220"/>
      <c r="BR30" s="220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</row>
    <row r="31" spans="3:83" ht="31.5" customHeight="1" thickTop="1" thickBot="1" x14ac:dyDescent="0.25">
      <c r="C31" s="423" t="str">
        <f>設定!X8</f>
        <v/>
      </c>
      <c r="D31" s="424"/>
      <c r="E31" s="425"/>
      <c r="F31" s="426"/>
      <c r="G31" s="427"/>
      <c r="H31" s="427"/>
      <c r="I31" s="427"/>
      <c r="J31" s="427"/>
      <c r="K31" s="427"/>
      <c r="L31" s="427"/>
      <c r="M31" s="427"/>
      <c r="N31" s="427"/>
      <c r="O31" s="427"/>
      <c r="P31" s="306">
        <f>ROUND(SUMIFS(月別入力!$I:$I,月別入力!$D:$D,$C31,月別入力!$E:$E,P$11),1)</f>
        <v>0</v>
      </c>
      <c r="Q31" s="307">
        <f>ROUND(SUMIFS(月別入力!$I:$I,月別入力!$D:$D,$C31,月別入力!$E:$E,Q$11),1)</f>
        <v>0</v>
      </c>
      <c r="R31" s="307">
        <f>ROUND(SUMIFS(月別入力!$I:$I,月別入力!$D:$D,$C31,月別入力!$E:$E,R$11),1)</f>
        <v>0</v>
      </c>
      <c r="S31" s="307">
        <f>ROUND(SUMIFS(月別入力!$I:$I,月別入力!$D:$D,$C31,月別入力!$E:$E,S$11),1)</f>
        <v>0</v>
      </c>
      <c r="T31" s="307">
        <f>ROUND(SUMIFS(月別入力!$I:$I,月別入力!$D:$D,$C31,月別入力!$E:$E,T$11),1)</f>
        <v>0</v>
      </c>
      <c r="U31" s="308">
        <f>ROUND(SUMIFS(月別入力!$I:$I,月別入力!$D:$D,$C31,月別入力!$E:$E,U$11),1)</f>
        <v>0</v>
      </c>
      <c r="V31" s="309">
        <f>ROUND(SUMIFS(月別入力!$I:$I,月別入力!$D:$D,$C31,月別入力!$E:$E,V$11),1)</f>
        <v>0</v>
      </c>
      <c r="W31" s="309">
        <f>ROUND(SUMIFS(月別入力!$I:$I,月別入力!$D:$D,$C31,月別入力!$E:$E,W$11),1)</f>
        <v>0</v>
      </c>
      <c r="X31" s="309">
        <f>ROUND(SUMIFS(月別入力!$I:$I,月別入力!$D:$D,$C31,月別入力!$E:$E,X$11),1)</f>
        <v>0</v>
      </c>
      <c r="Y31" s="309">
        <f>ROUND(SUMIFS(月別入力!$I:$I,月別入力!$D:$D,$C31,月別入力!$E:$E,Y$11),1)</f>
        <v>0</v>
      </c>
      <c r="Z31" s="309">
        <f>ROUND(SUMIFS(月別入力!$I:$I,月別入力!$D:$D,$C31,月別入力!$E:$E,Z$11),1)</f>
        <v>0</v>
      </c>
      <c r="AA31" s="309">
        <f>ROUND(SUMIFS(月別入力!$I:$I,月別入力!$D:$D,$C31,月別入力!$E:$E,AA$11),1)</f>
        <v>0</v>
      </c>
      <c r="AB31" s="309">
        <f>ROUND(SUMIFS(月別入力!$I:$I,月別入力!$D:$D,$C31,月別入力!$E:$E,AB$11),1)</f>
        <v>0</v>
      </c>
      <c r="AC31" s="309">
        <f>ROUND(SUMIFS(月別入力!$I:$I,月別入力!$D:$D,$C31,月別入力!$E:$E,AC$11),1)</f>
        <v>0</v>
      </c>
      <c r="AD31" s="309">
        <f>ROUND(SUMIFS(月別入力!$I:$I,月別入力!$D:$D,$C31,月別入力!$E:$E,AD$11),1)</f>
        <v>0</v>
      </c>
      <c r="AE31" s="309">
        <f>ROUND(SUMIFS(月別入力!$I:$I,月別入力!$D:$D,$C31,月別入力!$E:$E,AE$11),1)</f>
        <v>0</v>
      </c>
      <c r="AF31" s="309">
        <f>ROUND(SUMIFS(月別入力!$I:$I,月別入力!$D:$D,$C31,月別入力!$E:$E,AF$11),1)</f>
        <v>0</v>
      </c>
      <c r="AG31" s="309">
        <f>ROUND(SUMIFS(月別入力!$I:$I,月別入力!$D:$D,$C31,月別入力!$E:$E,AG$11),1)</f>
        <v>0</v>
      </c>
      <c r="AH31" s="309">
        <f>ROUND(SUMIFS(月別入力!$I:$I,月別入力!$D:$D,$C31,月別入力!$E:$E,AH$11),1)</f>
        <v>0</v>
      </c>
      <c r="AI31" s="310">
        <f>ROUND(SUMIFS(月別入力!$I:$I,月別入力!$D:$D,$C31,月別入力!$E:$E,AI$11),1)</f>
        <v>0</v>
      </c>
      <c r="AJ31" s="312">
        <f>ROUND(SUMIFS(月別入力!$I:$I,月別入力!$D:$D,$C31,月別入力!$H:$H,"[5]雇用",月別入力!$F:$F,"[1]男"),1)</f>
        <v>0</v>
      </c>
      <c r="AK31" s="310">
        <f>ROUND(SUMIFS(月別入力!$I:$I,月別入力!$D:$D,$C31,月別入力!$H:$H,"[5]雇用",月別入力!$F:$F,"[2]女"),1)</f>
        <v>0</v>
      </c>
      <c r="AL31" s="428" t="str">
        <f t="shared" si="5"/>
        <v/>
      </c>
      <c r="AM31" s="429"/>
      <c r="AN31" s="430"/>
      <c r="AO31" s="431"/>
      <c r="AP31" s="432"/>
      <c r="AQ31" s="432"/>
      <c r="AR31" s="432"/>
      <c r="AS31" s="432"/>
      <c r="AT31" s="432"/>
      <c r="AU31" s="432"/>
      <c r="AV31" s="432"/>
      <c r="AW31" s="432"/>
      <c r="AX31" s="433"/>
      <c r="BB31" s="394" t="s">
        <v>156</v>
      </c>
      <c r="BC31" s="398"/>
      <c r="BD31" s="234">
        <f>SUM(SUMIFS(P31:AI31,P14:AI14,{"[1]家族","[3]ゆい・手間替え受け"},P12:AI12,"[1]男"))</f>
        <v>0</v>
      </c>
      <c r="BE31" s="235">
        <f>SUM(SUMIFS(P31:AI31,P14:AI14,{"[1]家族","[3]ゆい・手間替え受け"},P12:AI12,"[2]女"))</f>
        <v>0</v>
      </c>
      <c r="BF31" s="224">
        <f t="shared" si="2"/>
        <v>0</v>
      </c>
      <c r="BG31" s="218">
        <f>AJ31</f>
        <v>0</v>
      </c>
      <c r="BH31" s="225">
        <f>SUM(SUMIFS(P31:AI31,P14:AI14,{"[2]同居人","[4]手伝い・共同作業受け"},P12:AI12,"[1]男"))</f>
        <v>0</v>
      </c>
      <c r="BI31" s="236">
        <f>SUM(BG31:BH31)</f>
        <v>0</v>
      </c>
      <c r="BJ31" s="227">
        <f>AK31</f>
        <v>0</v>
      </c>
      <c r="BK31" s="225">
        <f>SUM(SUMIFS(P31:AI31,P14:AI14,{"[2]同居人","[4]手伝い・共同作業受け"},P12:AI12,"[2]女"))</f>
        <v>0</v>
      </c>
      <c r="BL31" s="236">
        <f t="shared" si="1"/>
        <v>0</v>
      </c>
      <c r="BM31" s="218">
        <f>SUM(BI31,BL31)</f>
        <v>0</v>
      </c>
      <c r="BN31" s="203"/>
      <c r="BO31" s="401" t="s">
        <v>157</v>
      </c>
      <c r="BP31" s="402"/>
      <c r="BQ31" s="203"/>
      <c r="BR31" s="203"/>
    </row>
    <row r="32" spans="3:83" s="26" customFormat="1" ht="30" customHeight="1" thickTop="1" thickBot="1" x14ac:dyDescent="0.25">
      <c r="C32" s="27" t="s">
        <v>51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9"/>
      <c r="AM32" s="29"/>
      <c r="AN32" s="29"/>
      <c r="AO32" s="29"/>
      <c r="AP32" s="29"/>
      <c r="AQ32" s="29"/>
      <c r="AR32" s="29"/>
      <c r="AS32" s="29"/>
      <c r="AT32" s="29"/>
      <c r="BB32" s="387" t="s">
        <v>158</v>
      </c>
      <c r="BC32" s="394"/>
      <c r="BD32" s="237">
        <f>SUM(BD14,BD31)</f>
        <v>0</v>
      </c>
      <c r="BE32" s="237">
        <f>SUM(BE14,BE31)</f>
        <v>0</v>
      </c>
      <c r="BF32" s="218">
        <f t="shared" si="2"/>
        <v>0</v>
      </c>
      <c r="BG32" s="218">
        <f>SUM(BG14,BG31)</f>
        <v>0</v>
      </c>
      <c r="BH32" s="218">
        <f>SUM(BH14,BH31)</f>
        <v>0</v>
      </c>
      <c r="BI32" s="237">
        <f>SUM(BG32:BH32)</f>
        <v>0</v>
      </c>
      <c r="BJ32" s="218">
        <f>SUM(BJ14,BJ31)</f>
        <v>0</v>
      </c>
      <c r="BK32" s="218">
        <f>SUM(BK14,BK31)</f>
        <v>0</v>
      </c>
      <c r="BL32" s="237">
        <f t="shared" si="1"/>
        <v>0</v>
      </c>
      <c r="BM32" s="218">
        <f>SUM(BI32,BL32)</f>
        <v>0</v>
      </c>
      <c r="BN32" s="238"/>
      <c r="BO32" s="403"/>
      <c r="BP32" s="404"/>
      <c r="BQ32" s="238"/>
      <c r="BR32" s="238"/>
      <c r="BS32"/>
      <c r="BT32"/>
      <c r="BU32"/>
      <c r="BV32"/>
      <c r="BW32"/>
      <c r="BX32"/>
      <c r="BY32"/>
      <c r="BZ32"/>
      <c r="CA32"/>
      <c r="CB32"/>
      <c r="CC32"/>
      <c r="CD32"/>
      <c r="CE32"/>
    </row>
    <row r="33" spans="1:83" s="26" customFormat="1" ht="30" customHeight="1" thickTop="1" x14ac:dyDescent="0.2">
      <c r="A33" s="275" t="s">
        <v>179</v>
      </c>
      <c r="B33" s="238"/>
      <c r="C33" s="238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38"/>
      <c r="P33" s="238"/>
      <c r="Q33" s="269"/>
      <c r="R33" s="269"/>
      <c r="S33" s="269"/>
      <c r="T33" s="269"/>
      <c r="U33" s="269"/>
      <c r="AL33" s="29"/>
      <c r="AM33" s="29"/>
      <c r="AN33" s="29"/>
      <c r="AO33" s="29"/>
      <c r="AP33" s="29"/>
      <c r="AQ33" s="29"/>
      <c r="AR33" s="29"/>
      <c r="AS33" s="29"/>
      <c r="AT33" s="29"/>
      <c r="BB33" s="211"/>
      <c r="BC33" s="211"/>
      <c r="BD33" s="211"/>
      <c r="BE33" s="211"/>
      <c r="BF33" s="211"/>
      <c r="BG33" s="211"/>
      <c r="BH33" s="211"/>
      <c r="BI33" s="211"/>
      <c r="BJ33" s="211"/>
      <c r="BK33" s="211"/>
      <c r="BL33" s="211"/>
      <c r="BM33" s="211"/>
      <c r="BN33" s="238"/>
      <c r="BO33" s="238"/>
      <c r="BP33" s="238"/>
      <c r="BQ33" s="238"/>
      <c r="BR33" s="238"/>
      <c r="BS33"/>
      <c r="BT33"/>
      <c r="BU33"/>
      <c r="BV33"/>
      <c r="BW33"/>
      <c r="BX33"/>
      <c r="BY33"/>
      <c r="BZ33"/>
      <c r="CA33"/>
      <c r="CB33"/>
      <c r="CC33"/>
      <c r="CD33"/>
      <c r="CE33"/>
    </row>
    <row r="34" spans="1:83" s="26" customFormat="1" ht="30" customHeight="1" thickBot="1" x14ac:dyDescent="0.25">
      <c r="B34" s="238"/>
      <c r="C34" s="270" t="s">
        <v>173</v>
      </c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38"/>
      <c r="P34" s="238"/>
      <c r="Q34" s="269"/>
      <c r="R34" s="269"/>
      <c r="S34" s="269"/>
      <c r="T34" s="269"/>
      <c r="U34" s="269"/>
      <c r="AL34" s="29"/>
      <c r="AM34" s="29"/>
      <c r="AN34" s="29"/>
      <c r="AO34" s="29"/>
      <c r="AP34" s="29"/>
      <c r="AQ34" s="29"/>
      <c r="AR34" s="29"/>
      <c r="AS34" s="29"/>
      <c r="AT34" s="29"/>
      <c r="BB34" s="208" t="s">
        <v>159</v>
      </c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/>
      <c r="BT34"/>
      <c r="BU34"/>
      <c r="BV34"/>
      <c r="BW34"/>
      <c r="BX34"/>
      <c r="BY34"/>
      <c r="BZ34"/>
      <c r="CA34"/>
      <c r="CB34"/>
      <c r="CC34"/>
      <c r="CD34"/>
      <c r="CE34"/>
    </row>
    <row r="35" spans="1:83" ht="20.25" customHeight="1" x14ac:dyDescent="0.2">
      <c r="B35" s="203"/>
      <c r="C35" s="365" t="s">
        <v>174</v>
      </c>
      <c r="D35" s="366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7"/>
      <c r="P35" s="371" t="s">
        <v>175</v>
      </c>
      <c r="Q35" s="373" t="s">
        <v>176</v>
      </c>
      <c r="R35" s="203"/>
      <c r="S35" s="203"/>
      <c r="T35" s="203"/>
      <c r="U35" s="203"/>
      <c r="AK35" s="19"/>
      <c r="BB35" s="211"/>
      <c r="BC35" s="211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3" t="s">
        <v>160</v>
      </c>
    </row>
    <row r="36" spans="1:83" ht="20.25" customHeight="1" thickBot="1" x14ac:dyDescent="0.25">
      <c r="B36" s="203"/>
      <c r="C36" s="368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72"/>
      <c r="Q36" s="374"/>
      <c r="R36" s="203"/>
      <c r="S36" s="203"/>
      <c r="T36" s="203"/>
      <c r="U36" s="203"/>
      <c r="AK36" s="19"/>
      <c r="BB36" s="380"/>
      <c r="BC36" s="381"/>
      <c r="BD36" s="386" t="s">
        <v>161</v>
      </c>
      <c r="BE36" s="386"/>
      <c r="BF36" s="386"/>
      <c r="BG36" s="386"/>
      <c r="BH36" s="386"/>
      <c r="BI36" s="386"/>
      <c r="BJ36" s="386"/>
      <c r="BK36" s="386"/>
      <c r="BL36" s="386"/>
      <c r="BM36" s="386"/>
      <c r="BN36" s="386"/>
      <c r="BO36" s="386"/>
      <c r="BP36" s="386"/>
      <c r="BQ36" s="386"/>
      <c r="BR36" s="386"/>
    </row>
    <row r="37" spans="1:83" ht="30" customHeight="1" thickTop="1" x14ac:dyDescent="0.2">
      <c r="B37" s="203"/>
      <c r="C37" s="375" t="s">
        <v>177</v>
      </c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271"/>
      <c r="Q37" s="272"/>
      <c r="R37" s="203"/>
      <c r="S37" s="203"/>
      <c r="T37" s="203"/>
      <c r="U37" s="203"/>
      <c r="AK37" s="19"/>
      <c r="BB37" s="382"/>
      <c r="BC37" s="383"/>
      <c r="BD37" s="394" t="s">
        <v>131</v>
      </c>
      <c r="BE37" s="395"/>
      <c r="BF37" s="395"/>
      <c r="BG37" s="395"/>
      <c r="BH37" s="396"/>
      <c r="BI37" s="394" t="s">
        <v>162</v>
      </c>
      <c r="BJ37" s="395"/>
      <c r="BK37" s="395"/>
      <c r="BL37" s="395"/>
      <c r="BM37" s="396"/>
      <c r="BN37" s="394" t="s">
        <v>163</v>
      </c>
      <c r="BO37" s="395"/>
      <c r="BP37" s="395"/>
      <c r="BQ37" s="395"/>
      <c r="BR37" s="396"/>
    </row>
    <row r="38" spans="1:83" ht="30" customHeight="1" thickBot="1" x14ac:dyDescent="0.25">
      <c r="A38" s="106"/>
      <c r="B38" s="203"/>
      <c r="C38" s="377" t="s">
        <v>178</v>
      </c>
      <c r="D38" s="378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273"/>
      <c r="Q38" s="274"/>
      <c r="R38" s="203"/>
      <c r="S38" s="203"/>
      <c r="T38" s="203"/>
      <c r="U38" s="203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BB38" s="384"/>
      <c r="BC38" s="385"/>
      <c r="BD38" s="239" t="s">
        <v>164</v>
      </c>
      <c r="BE38" s="240" t="s">
        <v>165</v>
      </c>
      <c r="BF38" s="240" t="s">
        <v>166</v>
      </c>
      <c r="BG38" s="241" t="s">
        <v>167</v>
      </c>
      <c r="BH38" s="241" t="s">
        <v>136</v>
      </c>
      <c r="BI38" s="240" t="s">
        <v>164</v>
      </c>
      <c r="BJ38" s="240" t="s">
        <v>165</v>
      </c>
      <c r="BK38" s="240" t="s">
        <v>166</v>
      </c>
      <c r="BL38" s="241" t="s">
        <v>167</v>
      </c>
      <c r="BM38" s="241" t="s">
        <v>136</v>
      </c>
      <c r="BN38" s="240" t="s">
        <v>164</v>
      </c>
      <c r="BO38" s="240" t="s">
        <v>165</v>
      </c>
      <c r="BP38" s="240" t="s">
        <v>166</v>
      </c>
      <c r="BQ38" s="241" t="s">
        <v>167</v>
      </c>
      <c r="BR38" s="241" t="s">
        <v>136</v>
      </c>
    </row>
    <row r="39" spans="1:83" ht="30" customHeight="1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BB39" s="364" t="s">
        <v>168</v>
      </c>
      <c r="BC39" s="242" t="s">
        <v>169</v>
      </c>
      <c r="BD39" s="243">
        <f>SUMIFS(P15:AI15,P14:AI14,"[1]家族",P12:AI12,"[1]男",P13:AI13,"&lt;65") +
SUMIFS(P16:AI16,P14:AI14,"[1]家族",P12:AI12,"[1]男",P13:AI13,"&lt;65") +
SUMIFS(P17:AI17,P14:AI14,"[1]家族",P12:AI12,"[1]男",P13:AI13,"&lt;65") +
SUMIFS(P18:AI18,P14:AI14,"[1]家族",P12:AI12,"[1]男",P13:AI13,"&lt;65") +
SUMIFS(P19:AI19,P14:AI14,"[1]家族",P12:AI12,"[1]男",P13:AI13,"&lt;65") +
SUMIFS(P20:AI20,P14:AI14,"[1]家族",P12:AI12,"[1]男",P13:AI13,"&lt;65") +
SUMIFS(P21:AI21,P14:AI14,"[1]家族",P12:AI12,"[1]男",P13:AI13,"&lt;65") +
SUMIFS(P22:AI22,P14:AI14,"[1]家族",P12:AI12,"[1]男",P13:AI13,"&lt;65") +
SUMIFS(P23:AI23,P14:AI14,"[1]家族",P12:AI12,"[1]男",P13:AI13,"&lt;65") +
SUMIFS(P24:AI24,P14:AI14,"[1]家族",P12:AI12,"[1]男",P13:AI13,"&lt;65") +
SUMIFS(P25:AI25,P14:AI14,"[1]家族",P12:AI12,"[1]男",P13:AI13,"&lt;65") +
SUMIFS(P26:AI26,P14:AI14,"[1]家族",P12:AI12,"[1]男",P13:AI13,"&lt;65") +
SUMIFS(P27:AI27,P14:AI14,"[1]家族",P12:AI12,"[1]男",P13:AI13,"&lt;65") +
SUMIFS(P28:AI28,P14:AI14,"[1]家族",P12:AI12,"[1]男",P13:AI13,"&lt;65") +
SUMIFS(P29:AI29,P14:AI14,"[1]家族",P12:AI12,"[1]男",P13:AI13,"&lt;65") +
SUMIFS(P30:AI30,P14:AI14,"[1]家族",P12:AI12,"[1]男",P13:AI13,"&lt;65") +
SUMIFS(P15:AI15,P14:AI14,"[3]ゆい・手間替え受け",P12:AI12,"[1]男") +
SUMIFS(P16:AI16,P14:AI14,"[3]ゆい・手間替え受け",P12:AI12,"[1]男") +
SUMIFS(P17:AI17,P14:AI14,"[3]ゆい・手間替え受け",P12:AI12,"[1]男") +
SUMIFS(P18:AI18,P14:AI14,"[3]ゆい・手間替え受け",P12:AI12,"[1]男") +
SUMIFS(P19:AI19,P14:AI14,"[3]ゆい・手間替え受け",P12:AI12,"[1]男") +
SUMIFS(P20:AI20,P14:AI14,"[3]ゆい・手間替え受け",P12:AI12,"[1]男") +
SUMIFS(P21:AI21,P14:AI14,"[3]ゆい・手間替え受け",P12:AI12,"[1]男") +
SUMIFS(P22:AI22,P14:AI14,"[3]ゆい・手間替え受け",P12:AI12,"[1]男") +
SUMIFS(P23:AI23,P14:AI14,"[3]ゆい・手間替え受け",P12:AI12,"[1]男") +
SUMIFS(P24:AI24,P14:AI14,"[3]ゆい・手間替え受け",P12:AI12,"[1]男") +
SUMIFS(P25:AI25,P14:AI14,"[3]ゆい・手間替え受け",P12:AI12,"[1]男") +
SUMIFS(P26:AI26,P14:AI14,"[3]ゆい・手間替え受け",P12:AI12,"[1]男") +
SUMIFS(P27:AI27,P14:AI14,"[3]ゆい・手間替え受け",P12:AI12,"[1]男") +
SUMIFS(P28:AI28,P14:AI14,"[3]ゆい・手間替え受け",P12:AI12,"[1]男") +
SUMIFS(P29:AI29,P14:AI14,"[3]ゆい・手間替え受け",P12:AI12,"[1]男")</f>
        <v>0</v>
      </c>
      <c r="BE39" s="243">
        <f>SUMIFS(P15:AI15,P14:AI14,"[1]家族",P12:AI12,"[1]男",P13:AI13,"&gt;=65",P13:AI13,"&lt;70") +
SUMIFS(P16:AI16,P14:AI14,"[1]家族",P12:AI12,"[1]男",P13:AI13,"&gt;=65",P13:AI13,"&lt;70") +
SUMIFS(P17:AI17,P14:AI14,"[1]家族",P12:AI12,"[1]男",P13:AI13,"&gt;=65",P13:AI13,"&lt;70") +
SUMIFS(P18:AI18,P14:AI14,"[1]家族",P12:AI12,"[1]男",P13:AI13,"&gt;=65",P13:AI13,"&lt;70") +
SUMIFS(P19:AI19,P14:AI14,"[1]家族",P12:AI12,"[1]男",P13:AI13,"&gt;=65",P13:AI13,"&lt;70") +
SUMIFS(P20:AI20,P14:AI14,"[1]家族",P12:AI12,"[1]男",P13:AI13,"&gt;=65",P13:AI13,"&lt;70") +
SUMIFS(P21:AI21,P14:AI14,"[1]家族",P12:AI12,"[1]男",P13:AI13,"&gt;=65",P13:AI13,"&lt;70") +
SUMIFS(P22:AI22,P14:AI14,"[1]家族",P12:AI12,"[1]男",P13:AI13,"&gt;=65",P13:AI13,"&lt;70") +
SUMIFS(P23:AI23,P14:AI14,"[1]家族",P12:AI12,"[1]男",P13:AI13,"&gt;=65",P13:AI13,"&lt;70") +
SUMIFS(P24:AI24,P14:AI14,"[1]家族",P12:AI12,"[1]男",P13:AI13,"&gt;=65",P13:AI13,"&lt;70") +
SUMIFS(P25:AI25,P14:AI14,"[1]家族",P12:AI12,"[1]男",P13:AI13,"&gt;=65",P13:AI13,"&lt;70") +
SUMIFS(P26:AI26,P14:AI14,"[1]家族",P12:AI12,"[1]男",P13:AI13,"&gt;=65",P13:AI13,"&lt;70") +
SUMIFS(P27:AI27,P14:AI14,"[1]家族",P12:AI12,"[1]男",P13:AI13,"&gt;=65",P13:AI13,"&lt;70") +
SUMIFS(P28:AI28,P14:AI14,"[1]家族",P12:AI12,"[1]男",P13:AI13,"&gt;=65",P13:AI13,"&lt;70") +
SUMIFS(P29:AI29,P14:AI14,"[1]家族",P12:AI12,"[1]男",P13:AI13,"&gt;=65",P13:AI13,"&lt;70") +
SUMIFS(P30:AI30,P14:AI14,"[1]家族",P12:AI12,"[1]男",P13:AI13,"&gt;=65",P13:AI13,"&lt;70")</f>
        <v>0</v>
      </c>
      <c r="BF39" s="243">
        <f>SUMIFS(P15:AI15,P14:AI14,"[1]家族",P12:AI12,"[1]男",P13:AI13,"&gt;=70",P13:AI13,"&lt;75") +
SUMIFS(P16:AI16,P14:AI14,"[1]家族",P12:AI12,"[1]男",P13:AI13,"&gt;=70",P13:AI13,"&lt;75") +
SUMIFS(P17:AI17,P14:AI14,"[1]家族",P12:AI12,"[1]男",P13:AI13,"&gt;=70",P13:AI13,"&lt;75") +
SUMIFS(P18:AI18,P14:AI14,"[1]家族",P12:AI12,"[1]男",P13:AI13,"&gt;=70",P13:AI13,"&lt;75") +
SUMIFS(P19:AI19,P14:AI14,"[1]家族",P12:AI12,"[1]男",P13:AI13,"&gt;=70",P13:AI13,"&lt;75") +
SUMIFS(P20:AI20,P14:AI14,"[1]家族",P12:AI12,"[1]男",P13:AI13,"&gt;=70",P13:AI13,"&lt;75") +
SUMIFS(P21:AI21,P14:AI14,"[1]家族",P12:AI12,"[1]男",P13:AI13,"&gt;=70",P13:AI13,"&lt;75") +
SUMIFS(P22:AI22,P14:AI14,"[1]家族",P12:AI12,"[1]男",P13:AI13,"&gt;=70",P13:AI13,"&lt;75") +
SUMIFS(P23:AI23,P14:AI14,"[1]家族",P12:AI12,"[1]男",P13:AI13,"&gt;=70",P13:AI13,"&lt;75") +
SUMIFS(P24:AI24,P14:AI14,"[1]家族",P12:AI12,"[1]男",P13:AI13,"&gt;=70",P13:AI13,"&lt;75") +
SUMIFS(P25:AI25,P14:AI14,"[1]家族",P12:AI12,"[1]男",P13:AI13,"&gt;=70",P13:AI13,"&lt;75") +
SUMIFS(P26:AI26,P14:AI14,"[1]家族",P12:AI12,"[1]男",P13:AI13,"&gt;=70",P13:AI13,"&lt;75") +
SUMIFS(P27:AI27,P14:AI14,"[1]家族",P12:AI12,"[1]男",P13:AI13,"&gt;=70",P13:AI13,"&lt;75") +
SUMIFS(P28:AI28,P14:AI14,"[1]家族",P12:AI12,"[1]男",P13:AI13,"&gt;=70",P13:AI13,"&lt;75") +
SUMIFS(P29:AI29,P14:AI14,"[1]家族",P12:AI12,"[1]男",P13:AI13,"&gt;=70",P13:AI13,"&lt;75") +
SUMIFS(P30:AI30,P14:AI14,"[1]家族",P12:AI12,"[1]男",P13:AI13,"&gt;=70",P13:AI13,"&lt;75")</f>
        <v>0</v>
      </c>
      <c r="BG39" s="243">
        <f>SUMIFS(P15:AI15,P14:AI14,"[1]家族",P12:AI12,"[1]男",P13:AI13,"&gt;=75") +
SUMIFS(P16:AI16,P14:AI14,"[1]家族",P12:AI12,"[1]男",P13:AI13,"&gt;=75") +
SUMIFS(P17:AI17,P14:AI14,"[1]家族",P12:AI12,"[1]男",P13:AI13,"&gt;=75") +
SUMIFS(P18:AI18,P14:AI14,"[1]家族",P12:AI12,"[1]男",P13:AI13,"&gt;=75") +
SUMIFS(P19:AI19,P14:AI14,"[1]家族",P12:AI12,"[1]男",P13:AI13,"&gt;=75") +
SUMIFS(P20:AI20,P14:AI14,"[1]家族",P12:AI12,"[1]男",P13:AI13,"&gt;=75") +
SUMIFS(P21:AI21,P14:AI14,"[1]家族",P12:AI12,"[1]男",P13:AI13,"&gt;=75") +
SUMIFS(P22:AI22,P14:AI14,"[1]家族",P12:AI12,"[1]男",P13:AI13,"&gt;=75") +
SUMIFS(P23:AI23,P14:AI14,"[1]家族",P12:AI12,"[1]男",P13:AI13,"&gt;=75") +
SUMIFS(P24:AI24,P14:AI14,"[1]家族",P12:AI12,"[1]男",P13:AI13,"&gt;=75") +
SUMIFS(P25:AI25,P14:AI14,"[1]家族",P12:AI12,"[1]男",P13:AI13,"&gt;=75") +
SUMIFS(P26:AI26,P14:AI14,"[1]家族",P12:AI12,"[1]男",P13:AI13,"&gt;=75") +
SUMIFS(P27:AI27,P14:AI14,"[1]家族",P12:AI12,"[1]男",P13:AI13,"&gt;=75") +
SUMIFS(P28:AI28,P14:AI14,"[1]家族",P12:AI12,"[1]男",P13:AI13,"&gt;=75") +
SUMIFS(P29:AI29,P14:AI14,"[1]家族",P12:AI12,"[1]男",P13:AI13,"&gt;=75") +
SUMIFS(P30:AI30,P14:AI14,"[1]家族",P12:AI12,"[1]男",P13:AI13,"&gt;=75")</f>
        <v>0</v>
      </c>
      <c r="BH39" s="243">
        <f t="shared" ref="BH39:BH43" si="8">SUM(BD39:BG39)</f>
        <v>0</v>
      </c>
      <c r="BI39" s="243">
        <f>SUMIFS(P15:AI15,P14:AI14,"[1]家族",P12:AI12,"[2]女",P13:AI13,"&lt;65") +
SUMIFS(P16:AI16,P14:AI14,"[1]家族",P12:AI12,"[2]女",P13:AI13,"&lt;65") +
SUMIFS(P17:AI17,P14:AI14,"[1]家族",P12:AI12,"[2]女",P13:AI13,"&lt;65") +
SUMIFS(P18:AI18,P14:AI14,"[1]家族",P12:AI12,"[2]女",P13:AI13,"&lt;65") +
SUMIFS(P19:AI19,P14:AI14,"[1]家族",P12:AI12,"[2]女",P13:AI13,"&lt;65") +
SUMIFS(P20:AI20,P14:AI14,"[1]家族",P12:AI12,"[2]女",P13:AI13,"&lt;65") +
SUMIFS(P21:AI21,P14:AI14,"[1]家族",P12:AI12,"[2]女",P13:AI13,"&lt;65") +
SUMIFS(P22:AI22,P14:AI14,"[1]家族",P12:AI12,"[2]女",P13:AI13,"&lt;65") +
SUMIFS(P23:AI23,P14:AI14,"[1]家族",P12:AI12,"[2]女",P13:AI13,"&lt;65") +
SUMIFS(P24:AI24,P14:AI14,"[1]家族",P12:AI12,"[2]女",P13:AI13,"&lt;65") +
SUMIFS(P25:AI25,P14:AI14,"[1]家族",P12:AI12,"[2]女",P13:AI13,"&lt;65") +
SUMIFS(P26:AI26,P14:AI14,"[1]家族",P12:AI12,"[2]女",P13:AI13,"&lt;65") +
SUMIFS(P27:AI27,P14:AI14,"[1]家族",P12:AI12,"[2]女",P13:AI13,"&lt;65") +
SUMIFS(P28:AI28,P14:AI14,"[1]家族",P12:AI12,"[2]女",P13:AI13,"&lt;65") +
SUMIFS(P29:AI29,P14:AI14,"[1]家族",P12:AI12,"[2]女",P13:AI13,"&lt;65") +
SUMIFS(P30:AI30,P14:AI14,"[1]家族",P12:AI12,"[2]女",P13:AI13,"&lt;65") +
SUMIFS(P15:AI15,P14:AI14,"[3]ゆい・手間替え受け",P12:AI12,"[2]女") +
SUMIFS(P16:AI16,P14:AI14,"[3]ゆい・手間替え受け",P12:AI12,"[2]女") +
SUMIFS(P17:AI17,P14:AI14,"[3]ゆい・手間替え受け",P12:AI12,"[2]女") +
SUMIFS(P18:AI18,P14:AI14,"[3]ゆい・手間替え受け",P12:AI12,"[2]女") +
SUMIFS(P19:AI19,P14:AI14,"[3]ゆい・手間替え受け",P12:AI12,"[2]女") +
SUMIFS(P20:AI20,P14:AI14,"[3]ゆい・手間替え受け",P12:AI12,"[2]女") +
SUMIFS(P21:AI21,P14:AI14,"[3]ゆい・手間替え受け",P12:AI12,"[2]女") +
SUMIFS(P22:AI22,P14:AI14,"[3]ゆい・手間替え受け",P12:AI12,"[2]女") +
SUMIFS(P23:AI23,P14:AI14,"[3]ゆい・手間替え受け",P12:AI12,"[2]女") +
SUMIFS(P24:AI24,P14:AI14,"[3]ゆい・手間替え受け",P12:AI12,"[2]女") +
SUMIFS(P25:AI25,P14:AI14,"[3]ゆい・手間替え受け",P12:AI12,"[2]女") +
SUMIFS(P26:AI26,P14:AI14,"[3]ゆい・手間替え受け",P12:AI12,"[2]女") +
SUMIFS(P27:AI27,P14:AI14,"[3]ゆい・手間替え受け",P12:AI12,"[2]女") +
SUMIFS(P28:AI28,P14:AI14,"[3]ゆい・手間替え受け",P12:AI12,"[2]女") +
SUMIFS(P29:AI29,P14:AI14,"[3]ゆい・手間替え受け",P12:AI12,"[2]女")</f>
        <v>0</v>
      </c>
      <c r="BJ39" s="243">
        <f>SUMIFS(P15:AI15,P14:AI14,"[1]家族",P12:AI12,"[2]女",P13:AI13,"&gt;=65",P13:AI13,"&lt;70") +
SUMIFS(P16:AI16,P14:AI14,"[1]家族",P12:AI12,"[2]女",P13:AI13,"&gt;=65",P13:AI13,"&lt;70") +
SUMIFS(P17:AI17,P14:AI14,"[1]家族",P12:AI12,"[2]女",P13:AI13,"&gt;=65",P13:AI13,"&lt;70") +
SUMIFS(P18:AI18,P14:AI14,"[1]家族",P12:AI12,"[2]女",P13:AI13,"&gt;=65",P13:AI13,"&lt;70") +
SUMIFS(P19:AI19,P14:AI14,"[1]家族",P12:AI12,"[2]女",P13:AI13,"&gt;=65",P13:AI13,"&lt;70") +
SUMIFS(P20:AI20,P14:AI14,"[1]家族",P12:AI12,"[2]女",P13:AI13,"&gt;=65",P13:AI13,"&lt;70") +
SUMIFS(P21:AI21,P14:AI14,"[1]家族",P12:AI12,"[2]女",P13:AI13,"&gt;=65",P13:AI13,"&lt;70") +
SUMIFS(P22:AI22,P14:AI14,"[1]家族",P12:AI12,"[2]女",P13:AI13,"&gt;=65",P13:AI13,"&lt;70") +
SUMIFS(P23:AI23,P14:AI14,"[1]家族",P12:AI12,"[2]女",P13:AI13,"&gt;=65",P13:AI13,"&lt;70") +
SUMIFS(P24:AI24,P14:AI14,"[1]家族",P12:AI12,"[2]女",P13:AI13,"&gt;=65",P13:AI13,"&lt;70") +
SUMIFS(P25:AI25,P14:AI14,"[1]家族",P12:AI12,"[2]女",P13:AI13,"&gt;=65",P13:AI13,"&lt;70") +
SUMIFS(P26:AI26,P14:AI14,"[1]家族",P12:AI12,"[2]女",P13:AI13,"&gt;=65",P13:AI13,"&lt;70") +
SUMIFS(P27:AI27,P14:AI14,"[1]家族",P12:AI12,"[2]女",P13:AI13,"&gt;=65",P13:AI13,"&lt;70") +
SUMIFS(P28:AI28,P14:AI14,"[1]家族",P12:AI12,"[2]女",P13:AI13,"&gt;=65",P13:AI13,"&lt;70") +
SUMIFS(P29:AI29,P14:AI14,"[1]家族",P12:AI12,"[2]女",P13:AI13,"&gt;=65",P13:AI13,"&lt;70") +
SUMIFS(P30:AI30,P14:AI14,"[1]家族",P12:AI12,"[2]女",P13:AI13,"&gt;=65",P13:AI13,"&lt;70")</f>
        <v>0</v>
      </c>
      <c r="BK39" s="243">
        <f>SUMIFS(P15:AI15,P14:AI14,"[1]家族",P12:AI12,"[2]女",P13:AI13,"&gt;=70",P13:AI13,"&lt;75") +
SUMIFS(P16:AI16,P14:AI14,"[1]家族",P12:AI12,"[2]女",P13:AI13,"&gt;=70",P13:AI13,"&lt;75") +
SUMIFS(P17:AI17,P14:AI14,"[1]家族",P12:AI12,"[2]女",P13:AI13,"&gt;=70",P13:AI13,"&lt;75") +
SUMIFS(P18:AI18,P14:AI14,"[1]家族",P12:AI12,"[2]女",P13:AI13,"&gt;=70",P13:AI13,"&lt;75") +
SUMIFS(P19:AI19,P14:AI14,"[1]家族",P12:AI12,"[2]女",P13:AI13,"&gt;=70",P13:AI13,"&lt;75") +
SUMIFS(P20:AI20,P14:AI14,"[1]家族",P12:AI12,"[2]女",P13:AI13,"&gt;=70",P13:AI13,"&lt;75") +
SUMIFS(P21:AI21,P14:AI14,"[1]家族",P12:AI12,"[2]女",P13:AI13,"&gt;=70",P13:AI13,"&lt;75") +
SUMIFS(P22:AI22,P14:AI14,"[1]家族",P12:AI12,"[2]女",P13:AI13,"&gt;=70",P13:AI13,"&lt;75") +
SUMIFS(P23:AI23,P14:AI14,"[1]家族",P12:AI12,"[2]女",P13:AI13,"&gt;=70",P13:AI13,"&lt;75") +
SUMIFS(P24:AI24,P14:AI14,"[1]家族",P12:AI12,"[2]女",P13:AI13,"&gt;=70",P13:AI13,"&lt;75") +
SUMIFS(P25:AI25,P14:AI14,"[1]家族",P12:AI12,"[2]女",P13:AI13,"&gt;=70",P13:AI13,"&lt;75") +
SUMIFS(P26:AI26,P14:AI14,"[1]家族",P12:AI12,"[2]女",P13:AI13,"&gt;=70",P13:AI13,"&lt;75") +
SUMIFS(P27:AI27,P14:AI14,"[1]家族",P12:AI12,"[2]女",P13:AI13,"&gt;=70",P13:AI13,"&lt;75") +
SUMIFS(P28:AI28,P14:AI14,"[1]家族",P12:AI12,"[2]女",P13:AI13,"&gt;=70",P13:AI13,"&lt;75") +
SUMIFS(P29:AI29,P14:AI14,"[1]家族",P12:AI12,"[2]女",P13:AI13,"&gt;=70",P13:AI13,"&lt;75") +
SUMIFS(P30:AI30,P14:AI14,"[1]家族",P12:AI12,"[2]女",P13:AI13,"&gt;=70",P13:AI13,"&lt;75")</f>
        <v>0</v>
      </c>
      <c r="BL39" s="243">
        <f>SUMIFS(P15:AI15,P14:AI14,"[1]家族",P12:AI12,"[2]女",P13:AI13,"&gt;=75") +
SUMIFS(P16:AI16,P14:AI14,"[1]家族",P12:AI12,"[2]女",P13:AI13,"&gt;=75") +
SUMIFS(P17:AI17,P14:AI14,"[1]家族",P12:AI12,"[2]女",P13:AI13,"&gt;=75") +
SUMIFS(P18:AI18,P14:AI14,"[1]家族",P12:AI12,"[2]女",P13:AI13,"&gt;=75") +
SUMIFS(P19:AI19,P14:AI14,"[1]家族",P12:AI12,"[2]女",P13:AI13,"&gt;=75") +
SUMIFS(P20:AI20,P14:AI14,"[1]家族",P12:AI12,"[2]女",P13:AI13,"&gt;=75") +
SUMIFS(P21:AI21,P14:AI14,"[1]家族",P12:AI12,"[2]女",P13:AI13,"&gt;=75") +
SUMIFS(P22:AI22,P14:AI14,"[1]家族",P12:AI12,"[2]女",P13:AI13,"&gt;=75") +
SUMIFS(P23:AI23,P14:AI14,"[1]家族",P12:AI12,"[2]女",P13:AI13,"&gt;=75") +
SUMIFS(P24:AI24,P14:AI14,"[1]家族",P12:AI12,"[2]女",P13:AI13,"&gt;=75") +
SUMIFS(P25:AI25,P14:AI14,"[1]家族",P12:AI12,"[2]女",P13:AI13,"&gt;=75") +
SUMIFS(P26:AI26,P14:AI14,"[1]家族",P12:AI12,"[2]女",P13:AI13,"&gt;=75") +
SUMIFS(P27:AI27,P14:AI14,"[1]家族",P12:AI12,"[2]女",P13:AI13,"&gt;=75") +
SUMIFS(P28:AI28,P14:AI14,"[1]家族",P12:AI12,"[2]女",P13:AI13,"&gt;=75") +
SUMIFS(P29:AI29,P14:AI14,"[1]家族",P12:AI12,"[2]女",P13:AI13,"&gt;=75") +
SUMIFS(P30:AI30,P14:AI14,"[1]家族",P12:AI12,"[2]女",P13:AI13,"&gt;=75")</f>
        <v>0</v>
      </c>
      <c r="BM39" s="243">
        <f t="shared" ref="BM39:BM44" si="9">SUM(BI39:BL39)</f>
        <v>0</v>
      </c>
      <c r="BN39" s="243">
        <f>SUM(BD39,BI39)</f>
        <v>0</v>
      </c>
      <c r="BO39" s="243">
        <f t="shared" ref="BO39:BQ40" si="10">SUM(BE39,BJ39)</f>
        <v>0</v>
      </c>
      <c r="BP39" s="243">
        <f t="shared" si="10"/>
        <v>0</v>
      </c>
      <c r="BQ39" s="243">
        <f>SUM(BG39,BL39)</f>
        <v>0</v>
      </c>
      <c r="BR39" s="243">
        <f t="shared" ref="BR39:BR44" si="11">SUM(BN39:BQ39)</f>
        <v>0</v>
      </c>
    </row>
    <row r="40" spans="1:83" ht="30" customHeight="1" thickBot="1" x14ac:dyDescent="0.25">
      <c r="BB40" s="364"/>
      <c r="BC40" s="244" t="s">
        <v>170</v>
      </c>
      <c r="BD40" s="245">
        <f>SUMIFS(P31:AI31,P14:AI14,"[1]家族",P12:AI12,"[1]男",P13:AI13,"&lt;65") +
SUMIFS(P31:AI31,P14:AI14,"[3]ゆい・手間替え受け",P12:AI12,"[1]男")</f>
        <v>0</v>
      </c>
      <c r="BE40" s="245">
        <f>SUMIFS(P31:AI31,P14:AI14,"[1]家族",P12:AI12,"[1]男",P13:AI13,"&gt;=65",P13:AI13,"&lt;70")</f>
        <v>0</v>
      </c>
      <c r="BF40" s="245">
        <f>SUMIFS(P31:AI31,P14:AI14,"[1]家族",P12:AI12,"[1]男",P13:AI13,"&gt;=70",P13:AI13,"&lt;75")</f>
        <v>0</v>
      </c>
      <c r="BG40" s="245">
        <f>SUMIFS(P31:AI31,P14:AI14,"[1]家族",P12:AI12,"[1]男",P13:AI13,"&gt;=75")</f>
        <v>0</v>
      </c>
      <c r="BH40" s="243">
        <f t="shared" si="8"/>
        <v>0</v>
      </c>
      <c r="BI40" s="245">
        <f>SUMIFS(P31:AI31,P14:AI14,"[1]家族",P12:AI12,"[2]女",P13:AI13,"&lt;65") +
SUMIFS(P31:AI31,P14:AI14,"[3]ゆい・手間替え受け",P12:AI12,"[2]女")</f>
        <v>0</v>
      </c>
      <c r="BJ40" s="245">
        <f>SUMIFS(P31:AI31,P14:AI14,"[1]家族",P12:AI12,"[2]女",P13:AI13,"&gt;=65",P13:AI13,"&lt;70")</f>
        <v>0</v>
      </c>
      <c r="BK40" s="245">
        <f>SUMIFS(P31:AI31,P14:AI14,"[1]家族",P12:AI12,"[2]女",P13:AI13,"&gt;=70",P13:AI13,"&lt;75")</f>
        <v>0</v>
      </c>
      <c r="BL40" s="245">
        <f>SUMIFS(P31:AI31,P14:AI14,"[1]家族",P12:AI12,"[2]女",P13:AI13,"&gt;=75")</f>
        <v>0</v>
      </c>
      <c r="BM40" s="243">
        <f t="shared" si="9"/>
        <v>0</v>
      </c>
      <c r="BN40" s="243">
        <f>SUM(BD40,BI40)</f>
        <v>0</v>
      </c>
      <c r="BO40" s="243">
        <f t="shared" si="10"/>
        <v>0</v>
      </c>
      <c r="BP40" s="243">
        <f t="shared" si="10"/>
        <v>0</v>
      </c>
      <c r="BQ40" s="243">
        <f t="shared" si="10"/>
        <v>0</v>
      </c>
      <c r="BR40" s="243">
        <f t="shared" si="11"/>
        <v>0</v>
      </c>
    </row>
    <row r="41" spans="1:83" ht="30" customHeight="1" thickBot="1" x14ac:dyDescent="0.25">
      <c r="BB41" s="364"/>
      <c r="BC41" s="244" t="s">
        <v>136</v>
      </c>
      <c r="BD41" s="246">
        <f>SUM(BD39:BD40)</f>
        <v>0</v>
      </c>
      <c r="BE41" s="247">
        <f>SUM(BE39:BE40)</f>
        <v>0</v>
      </c>
      <c r="BF41" s="247">
        <f>SUM(BF39:BF40)</f>
        <v>0</v>
      </c>
      <c r="BG41" s="248">
        <f>SUM(BG39:BG40)</f>
        <v>0</v>
      </c>
      <c r="BH41" s="249">
        <f t="shared" si="8"/>
        <v>0</v>
      </c>
      <c r="BI41" s="246">
        <f>SUM(BI39:BI40)</f>
        <v>0</v>
      </c>
      <c r="BJ41" s="247">
        <f>SUM(BJ39:BJ40)</f>
        <v>0</v>
      </c>
      <c r="BK41" s="247">
        <f>SUM(BK39:BK40)</f>
        <v>0</v>
      </c>
      <c r="BL41" s="248">
        <f>SUM(BL39:BL40)</f>
        <v>0</v>
      </c>
      <c r="BM41" s="250">
        <f t="shared" si="9"/>
        <v>0</v>
      </c>
      <c r="BN41" s="243">
        <f>SUM(BN39:BN40)</f>
        <v>0</v>
      </c>
      <c r="BO41" s="243">
        <f>SUM(BO39:BO40)</f>
        <v>0</v>
      </c>
      <c r="BP41" s="243">
        <f>SUM(BP39:BP40)</f>
        <v>0</v>
      </c>
      <c r="BQ41" s="243">
        <f>SUM(BQ39:BQ40)</f>
        <v>0</v>
      </c>
      <c r="BR41" s="245">
        <f t="shared" si="11"/>
        <v>0</v>
      </c>
    </row>
    <row r="42" spans="1:83" ht="30" customHeight="1" x14ac:dyDescent="0.2">
      <c r="BB42" s="364" t="s">
        <v>171</v>
      </c>
      <c r="BC42" s="242" t="s">
        <v>169</v>
      </c>
      <c r="BD42" s="251">
        <f>BD39*$BO$32</f>
        <v>0</v>
      </c>
      <c r="BE42" s="251">
        <f>ROUND(BE39*$BO$32*0.9,)</f>
        <v>0</v>
      </c>
      <c r="BF42" s="251">
        <f>ROUND(BF39*$BO$32*0.8,)</f>
        <v>0</v>
      </c>
      <c r="BG42" s="251">
        <f>ROUND(BG39*$BO$32*0.7,)</f>
        <v>0</v>
      </c>
      <c r="BH42" s="252">
        <f t="shared" si="8"/>
        <v>0</v>
      </c>
      <c r="BI42" s="251">
        <f>BI39*$BO$32</f>
        <v>0</v>
      </c>
      <c r="BJ42" s="251">
        <f>ROUND(BJ39*$BO$32*0.9,)</f>
        <v>0</v>
      </c>
      <c r="BK42" s="251">
        <f>ROUND(BK39*$BO$32*0.8,)</f>
        <v>0</v>
      </c>
      <c r="BL42" s="251">
        <f>ROUND(BL39*$BO$32*0.7,)</f>
        <v>0</v>
      </c>
      <c r="BM42" s="252">
        <f t="shared" si="9"/>
        <v>0</v>
      </c>
      <c r="BN42" s="252">
        <f>SUM(BD42,BI42)</f>
        <v>0</v>
      </c>
      <c r="BO42" s="252">
        <f t="shared" ref="BO42:BQ43" si="12">SUM(BE42,BJ42)</f>
        <v>0</v>
      </c>
      <c r="BP42" s="252">
        <f t="shared" si="12"/>
        <v>0</v>
      </c>
      <c r="BQ42" s="253">
        <f t="shared" si="12"/>
        <v>0</v>
      </c>
      <c r="BR42" s="254">
        <f>ROUND(SUM(BN42:BQ42),0)</f>
        <v>0</v>
      </c>
    </row>
    <row r="43" spans="1:83" ht="30" customHeight="1" thickBot="1" x14ac:dyDescent="0.25">
      <c r="BB43" s="364"/>
      <c r="BC43" s="244" t="s">
        <v>170</v>
      </c>
      <c r="BD43" s="255">
        <f>BD40*$BO$32</f>
        <v>0</v>
      </c>
      <c r="BE43" s="255">
        <f>ROUND(BE40*$BO$32*0.9,)</f>
        <v>0</v>
      </c>
      <c r="BF43" s="255">
        <f>ROUND(BF40*$BO$32*0.8,)</f>
        <v>0</v>
      </c>
      <c r="BG43" s="255">
        <f>ROUND(BG40*$BO$32*0.7,)</f>
        <v>0</v>
      </c>
      <c r="BH43" s="252">
        <f t="shared" si="8"/>
        <v>0</v>
      </c>
      <c r="BI43" s="255">
        <f>BI40*$BO$32</f>
        <v>0</v>
      </c>
      <c r="BJ43" s="255">
        <f>ROUND(BJ40*$BO$32*0.9,)</f>
        <v>0</v>
      </c>
      <c r="BK43" s="255">
        <f>ROUND(BK40*$BO$32*0.8,)</f>
        <v>0</v>
      </c>
      <c r="BL43" s="255">
        <f>ROUND(BL40*$BO$32*0.7,)</f>
        <v>0</v>
      </c>
      <c r="BM43" s="252">
        <f t="shared" si="9"/>
        <v>0</v>
      </c>
      <c r="BN43" s="252">
        <f>SUM(BD43,BI43)</f>
        <v>0</v>
      </c>
      <c r="BO43" s="252">
        <f t="shared" si="12"/>
        <v>0</v>
      </c>
      <c r="BP43" s="252">
        <f t="shared" si="12"/>
        <v>0</v>
      </c>
      <c r="BQ43" s="253">
        <f t="shared" si="12"/>
        <v>0</v>
      </c>
      <c r="BR43" s="256">
        <f>ROUND(SUM(BN43:BQ43),0)</f>
        <v>0</v>
      </c>
    </row>
    <row r="44" spans="1:83" ht="30" customHeight="1" thickBot="1" x14ac:dyDescent="0.25">
      <c r="BB44" s="364"/>
      <c r="BC44" s="244" t="s">
        <v>136</v>
      </c>
      <c r="BD44" s="257">
        <f>ROUND(SUM(BD42:BD43),0)</f>
        <v>0</v>
      </c>
      <c r="BE44" s="258">
        <f>ROUND(SUM(BE42:BE43),0)</f>
        <v>0</v>
      </c>
      <c r="BF44" s="258">
        <f>ROUND(SUM(BF42:BF43),0)</f>
        <v>0</v>
      </c>
      <c r="BG44" s="259">
        <f>ROUND(SUM(BG42:BG43),0)</f>
        <v>0</v>
      </c>
      <c r="BH44" s="260">
        <f>SUM(BD44:BG44)</f>
        <v>0</v>
      </c>
      <c r="BI44" s="257">
        <f>ROUND(SUM(BI42:BI43),0)</f>
        <v>0</v>
      </c>
      <c r="BJ44" s="258">
        <f>ROUND(SUM(BJ42:BJ43),0)</f>
        <v>0</v>
      </c>
      <c r="BK44" s="258">
        <f>ROUND(SUM(BK42:BK43),0)</f>
        <v>0</v>
      </c>
      <c r="BL44" s="259">
        <f>ROUND(SUM(BL42:BL43),0)</f>
        <v>0</v>
      </c>
      <c r="BM44" s="261">
        <f t="shared" si="9"/>
        <v>0</v>
      </c>
      <c r="BN44" s="252">
        <f>SUM(BN42:BN43)</f>
        <v>0</v>
      </c>
      <c r="BO44" s="252">
        <f>SUM(BO42:BO43)</f>
        <v>0</v>
      </c>
      <c r="BP44" s="252">
        <f>SUM(BP42:BP43)</f>
        <v>0</v>
      </c>
      <c r="BQ44" s="252">
        <f>SUM(BQ42:BQ43)</f>
        <v>0</v>
      </c>
      <c r="BR44" s="251">
        <f t="shared" si="11"/>
        <v>0</v>
      </c>
    </row>
    <row r="45" spans="1:83" ht="30" customHeight="1" x14ac:dyDescent="0.2">
      <c r="BB45" s="203"/>
      <c r="BC45" s="203"/>
      <c r="BD45" s="204"/>
      <c r="BE45" s="204"/>
      <c r="BF45" s="204"/>
      <c r="BG45" s="204"/>
      <c r="BH45" s="204"/>
      <c r="BI45" s="204"/>
      <c r="BJ45" s="204"/>
      <c r="BK45" s="204"/>
      <c r="BL45" s="204"/>
      <c r="BM45" s="204"/>
      <c r="BN45" s="203"/>
      <c r="BO45" s="203"/>
      <c r="BP45" s="203"/>
      <c r="BQ45" s="203"/>
      <c r="BR45" s="203"/>
    </row>
    <row r="46" spans="1:83" ht="30" customHeight="1" x14ac:dyDescent="0.2">
      <c r="BB46" s="379"/>
      <c r="BC46" s="379"/>
      <c r="BD46" s="386" t="s">
        <v>127</v>
      </c>
      <c r="BE46" s="386"/>
      <c r="BF46" s="386"/>
      <c r="BG46" s="386"/>
      <c r="BH46" s="386"/>
      <c r="BI46" s="386"/>
      <c r="BJ46" s="386"/>
      <c r="BK46" s="386"/>
      <c r="BL46" s="386"/>
      <c r="BM46" s="386"/>
      <c r="BN46" s="386"/>
      <c r="BO46" s="386"/>
      <c r="BP46" s="386"/>
      <c r="BQ46" s="386"/>
      <c r="BR46" s="386"/>
    </row>
    <row r="47" spans="1:83" ht="30" customHeight="1" x14ac:dyDescent="0.2">
      <c r="BB47" s="379"/>
      <c r="BC47" s="379"/>
      <c r="BD47" s="387" t="s">
        <v>131</v>
      </c>
      <c r="BE47" s="387"/>
      <c r="BF47" s="387"/>
      <c r="BG47" s="387"/>
      <c r="BH47" s="387"/>
      <c r="BI47" s="387"/>
      <c r="BJ47" s="387"/>
      <c r="BK47" s="388" t="s">
        <v>132</v>
      </c>
      <c r="BL47" s="388"/>
      <c r="BM47" s="388"/>
      <c r="BN47" s="388"/>
      <c r="BO47" s="388"/>
      <c r="BP47" s="388"/>
      <c r="BQ47" s="388"/>
      <c r="BR47" s="389" t="s">
        <v>133</v>
      </c>
    </row>
    <row r="48" spans="1:83" ht="30" customHeight="1" x14ac:dyDescent="0.2">
      <c r="BB48" s="379"/>
      <c r="BC48" s="379"/>
      <c r="BD48" s="390" t="s">
        <v>134</v>
      </c>
      <c r="BE48" s="391" t="s">
        <v>172</v>
      </c>
      <c r="BF48" s="391"/>
      <c r="BG48" s="391"/>
      <c r="BH48" s="391"/>
      <c r="BI48" s="391"/>
      <c r="BJ48" s="392" t="s">
        <v>136</v>
      </c>
      <c r="BK48" s="390" t="s">
        <v>134</v>
      </c>
      <c r="BL48" s="391" t="s">
        <v>172</v>
      </c>
      <c r="BM48" s="391"/>
      <c r="BN48" s="391"/>
      <c r="BO48" s="391"/>
      <c r="BP48" s="391"/>
      <c r="BQ48" s="392" t="s">
        <v>136</v>
      </c>
      <c r="BR48" s="390"/>
    </row>
    <row r="49" spans="54:70" ht="30" customHeight="1" x14ac:dyDescent="0.2">
      <c r="BB49" s="379"/>
      <c r="BC49" s="379"/>
      <c r="BD49" s="391"/>
      <c r="BE49" s="262" t="s">
        <v>164</v>
      </c>
      <c r="BF49" s="262" t="s">
        <v>165</v>
      </c>
      <c r="BG49" s="262" t="s">
        <v>166</v>
      </c>
      <c r="BH49" s="263" t="s">
        <v>167</v>
      </c>
      <c r="BI49" s="263" t="s">
        <v>136</v>
      </c>
      <c r="BJ49" s="393"/>
      <c r="BK49" s="391"/>
      <c r="BL49" s="262" t="s">
        <v>164</v>
      </c>
      <c r="BM49" s="262" t="s">
        <v>165</v>
      </c>
      <c r="BN49" s="262" t="s">
        <v>166</v>
      </c>
      <c r="BO49" s="263" t="s">
        <v>167</v>
      </c>
      <c r="BP49" s="263" t="s">
        <v>136</v>
      </c>
      <c r="BQ49" s="393"/>
      <c r="BR49" s="391"/>
    </row>
    <row r="50" spans="54:70" ht="30" customHeight="1" x14ac:dyDescent="0.2">
      <c r="BB50" s="364" t="s">
        <v>168</v>
      </c>
      <c r="BC50" s="264" t="s">
        <v>169</v>
      </c>
      <c r="BD50" s="243">
        <f>BG14</f>
        <v>0</v>
      </c>
      <c r="BE50" s="243">
        <f>SUM(SUMIFS(P15:AI15,P14:AI14,{"[2]同居人"},P12:AI12,"[1]男",P13:AI13,"&lt;65")) +
SUM(SUMIFS(P16:AI16,P14:AI14,{"[2]同居人"},P12:AI12,"[1]男",P13:AI13,"&lt;65")) +
SUM(SUMIFS(P17:AI17,P14:AI14,{"[2]同居人"},P12:AI12,"[1]男",P13:AI13,"&lt;65")) +
SUM(SUMIFS(P18:AI18,P14:AI14,{"[2]同居人"},P12:AI12,"[1]男",P13:AI13,"&lt;65")) +
SUM(SUMIFS(P19:AI19,P14:AI14,{"[2]同居人"},P12:AI12,"[1]男",P13:AI13,"&lt;65")) +
SUM(SUMIFS(P20:AI20,P14:AI14,{"[2]同居人"},P12:AI12,"[1]男",P13:AI13,"&lt;65")) +
SUM(SUMIFS(P21:AI21,P14:AI14,{"[2]同居人"},P12:AI12,"[1]男",P13:AI13,"&lt;65")) +
SUM(SUMIFS(P22:AI22,P14:AI14,{"[2]同居人"},P12:AI12,"[1]男",P13:AI13,"&lt;65")) +
SUM(SUMIFS(P23:AI23,P14:AI14,{"[2]同居人"},P12:AI12,"[1]男",P13:AI13,"&lt;65")) +
SUM(SUMIFS(P24:AI24,P14:AI14,{"[2]同居人"},P12:AI12,"[1]男",P13:AI13,"&lt;65")) +
SUM(SUMIFS(P25:AI25,P14:AI14,{"[2]同居人"},P12:AI12,"[1]男",P13:AI13,"&lt;65")) +
SUM(SUMIFS(P26:AI26,P14:AI14,{"[2]同居人"},P12:AI12,"[1]男",P13:AI13,"&lt;65")) +
SUM(SUMIFS(P27:AI27,P14:AI14,{"[2]同居人"},P12:AI12,"[1]男",P13:AI13,"&lt;65")) +
SUM(SUMIFS(P28:AI28,P14:AI14,{"[2]同居人"},P12:AI12,"[1]男",P13:AI13,"&lt;65")) +
SUM(SUMIFS(P29:AI29,P14:AI14,{"[2]同居人"},P12:AI12,"[1]男",P13:AI13,"&lt;65")) +
SUM(SUMIFS(P15:AI15,P14:AI14,{"[4]手伝い・共同作業受け"},P12:AI12,"[1]男")) +
SUM(SUMIFS(P16:AI16,P14:AI14,{"[4]手伝い・共同作業受け"},P12:AI12,"[1]男")) +
SUM(SUMIFS(P17:AI17,P14:AI14,{"[4]手伝い・共同作業受け"},P12:AI12,"[1]男")) +
SUM(SUMIFS(P18:AI18,P14:AI14,{"[4]手伝い・共同作業受け"},P12:AI12,"[1]男")) +
SUM(SUMIFS(P19:AI19,P14:AI14,{"[4]手伝い・共同作業受け"},P12:AI12,"[1]男")) +
SUM(SUMIFS(P20:AI20,P14:AI14,{"[4]手伝い・共同作業受け"},P12:AI12,"[1]男")) +
SUM(SUMIFS(P21:AI21,P14:AI14,{"[4]手伝い・共同作業受け"},P12:AI12,"[1]男")) +
SUM(SUMIFS(P22:AI22,P14:AI14,{"[4]手伝い・共同作業受け"},P12:AI12,"[1]男")) +
SUM(SUMIFS(P23:AI23,P14:AI14,{"[4]手伝い・共同作業受け"},P12:AI12,"[1]男")) +
SUM(SUMIFS(P24:AI24,P14:AI14,{"[4]手伝い・共同作業受け"},P12:AI12,"[1]男")) +
SUM(SUMIFS(P25:AI25,P14:AI14,{"[4]手伝い・共同作業受け"},P12:AI12,"[1]男")) +
SUM(SUMIFS(P26:AI26,P14:AI14,{"[4]手伝い・共同作業受け"},P12:AI12,"[1]男")) +
SUM(SUMIFS(P27:AI27,P14:AI14,{"[4]手伝い・共同作業受け"},P12:AI12,"[1]男")) +
SUM(SUMIFS(P28:AI28,P14:AI14,{"[4]手伝い・共同作業受け"},P12:AI12,"[1]男")) +
SUM(SUMIFS(P29:AI29,P14:AI14,{"[4]手伝い・共同作業受け"},P12:AI12,"[1]男"))</f>
        <v>0</v>
      </c>
      <c r="BF50" s="243">
        <f>SUM(SUMIFS(P15:AI15,P14:AI14,{"[2]同居人"},P12:AI12,"[1]男",P13:AI13,"&gt;=65",P13:AI13,"&lt;70")) +
SUM(SUMIFS(P16:AI16,P14:AI14,{"[2]同居人"},P12:AI12,"[1]男",P13:AI13,"&gt;=65",P13:AI13,"&lt;70")) +
SUM(SUMIFS(P17:AI17,P14:AI14,{"[2]同居人"},P12:AI12,"[1]男",P13:AI13,"&gt;=65",P13:AI13,"&lt;70")) +
SUM(SUMIFS(P18:AI18,P14:AI14,{"[2]同居人"},P12:AI12,"[1]男",P13:AI13,"&gt;=65",P13:AI13,"&lt;70")) +
SUM(SUMIFS(P19:AI19,P14:AI14,{"[2]同居人"},P12:AI12,"[1]男",P13:AI13,"&gt;=65",P13:AI13,"&lt;70")) +
SUM(SUMIFS(P20:AI20,P14:AI14,{"[2]同居人"},P12:AI12,"[1]男",P13:AI13,"&gt;=65",P13:AI13,"&lt;70")) +
SUM(SUMIFS(P21:AI21,P14:AI14,{"[2]同居人"},P12:AI12,"[1]男",P13:AI13,"&gt;=65",P13:AI13,"&lt;70")) +
SUM(SUMIFS(P22:AI22,P14:AI14,{"[2]同居人"},P12:AI12,"[1]男",P13:AI13,"&gt;=65",P13:AI13,"&lt;70")) +
SUM(SUMIFS(P23:AI23,P14:AI14,{"[2]同居人"},P12:AI12,"[1]男",P13:AI13,"&gt;=65",P13:AI13,"&lt;70")) +
SUM(SUMIFS(P24:AI24,P14:AI14,{"[2]同居人"},P12:AI12,"[1]男",P13:AI13,"&gt;=65",P13:AI13,"&lt;70")) +
SUM(SUMIFS(P25:AI25,P14:AI14,{"[2]同居人"},P12:AI12,"[1]男",P13:AI13,"&gt;=65",P13:AI13,"&lt;70")) +
SUM(SUMIFS(P26:AI26,P14:AI14,{"[2]同居人"},P12:AI12,"[1]男",P13:AI13,"&gt;=65",P13:AI13,"&lt;70")) +
SUM(SUMIFS(P27:AI27,P14:AI14,{"[2]同居人"},P12:AI12,"[1]男",P13:AI13,"&gt;=65",P13:AI13,"&lt;70")) +
SUM(SUMIFS(P28:AI28,P14:AI14,{"[2]同居人"},P12:AI12,"[1]男",P13:AI13,"&gt;=65",P13:AI13,"&lt;70")) +
SUM(SUMIFS(P29:AI29,P14:AI14,{"[2]同居人"},P12:AI12,"[1]男",P13:AI13,"&gt;=65",P13:AI13,"&lt;70"))</f>
        <v>0</v>
      </c>
      <c r="BG50" s="243">
        <f>SUM(SUMIFS(P15:AI15,P14:AI14,{"[2]同居人"},P12:AI12,"[1]男",P13:AI13,"&gt;=70",P13:AI13,"&lt;75")) +
SUM(SUMIFS(P16:AI16,P14:AI14,{"[2]同居人"},P12:AI12,"[1]男",P13:AI13,"&gt;=70",P13:AI13,"&lt;75")) +
SUM(SUMIFS(P17:AI17,P14:AI14,{"[2]同居人"},P12:AI12,"[1]男",P13:AI13,"&gt;=70",P13:AI13,"&lt;75")) +
SUM(SUMIFS(P18:AI18,P14:AI14,{"[2]同居人"},P12:AI12,"[1]男",P13:AI13,"&gt;=70",P13:AI13,"&lt;75")) +
SUM(SUMIFS(P19:AI19,P14:AI14,{"[2]同居人"},P12:AI12,"[1]男",P13:AI13,"&gt;=70",P13:AI13,"&lt;75")) +
SUM(SUMIFS(P20:AI20,P14:AI14,{"[2]同居人"},P12:AI12,"[1]男",P13:AI13,"&gt;=70",P13:AI13,"&lt;75")) +
SUM(SUMIFS(P21:AI21,P14:AI14,{"[2]同居人"},P12:AI12,"[1]男",P13:AI13,"&gt;=70",P13:AI13,"&lt;75")) +
SUM(SUMIFS(P22:AI22,P14:AI14,{"[2]同居人"},P12:AI12,"[1]男",P13:AI13,"&gt;=70",P13:AI13,"&lt;75")) +
SUM(SUMIFS(P23:AI23,P14:AI14,{"[2]同居人"},P12:AI12,"[1]男",P13:AI13,"&gt;=70",P13:AI13,"&lt;75")) +
SUM(SUMIFS(P24:AI24,P14:AI14,{"[2]同居人"},P12:AI12,"[1]男",P13:AI13,"&gt;=70",P13:AI13,"&lt;75")) +
SUM(SUMIFS(P25:AI25,P14:AI14,{"[2]同居人"},P12:AI12,"[1]男",P13:AI13,"&gt;=70",P13:AI13,"&lt;75")) +
SUM(SUMIFS(P26:AI26,P14:AI14,{"[2]同居人"},P12:AI12,"[1]男",P13:AI13,"&gt;=70",P13:AI13,"&lt;75")) +
SUM(SUMIFS(P27:AI27,P14:AI14,{"[2]同居人"},P12:AI12,"[1]男",P13:AI13,"&gt;=70",P13:AI13,"&lt;75")) +
SUM(SUMIFS(P28:AI28,P14:AI14,{"[2]同居人"},P12:AI12,"[1]男",P13:AI13,"&gt;=70",P13:AI13,"&lt;75")) +
SUM(SUMIFS(P29:AI29,P14:AI14,{"[2]同居人"},P12:AI12,"[1]男",P13:AI13,"&gt;=70",P13:AI13,"&lt;75"))</f>
        <v>0</v>
      </c>
      <c r="BH50" s="243">
        <f>SUM(SUMIFS(P15:AI15,P14:AI14,{"[2]同居人"},P12:AI12,"[1]男",P13:AI13,"&gt;=75")) +
SUM(SUMIFS(P16:AI16,P14:AI14,{"[2]同居人"},P12:AI12,"[1]男",P13:AI13,"&gt;=75")) +
SUM(SUMIFS(P17:AI17,P14:AI14,{"[2]同居人"},P12:AI12,"[1]男",P13:AI13,"&gt;=75")) +
SUM(SUMIFS(P18:AI18,P14:AI14,{"[2]同居人"},P12:AI12,"[1]男",P13:AI13,"&gt;=75")) +
SUM(SUMIFS(P19:AI19,P14:AI14,{"[2]同居人"},P12:AI12,"[1]男",P13:AI13,"&gt;=75")) +
SUM(SUMIFS(P20:AI20,P14:AI14,{"[2]同居人"},P12:AI12,"[1]男",P13:AI13,"&gt;=75")) +
SUM(SUMIFS(P21:AI21,P14:AI14,{"[2]同居人"},P12:AI12,"[1]男",P13:AI13,"&gt;=75")) +
SUM(SUMIFS(P22:AI22,P14:AI14,{"[2]同居人"},P12:AI12,"[1]男",P13:AI13,"&gt;=75")) +
SUM(SUMIFS(P23:AI23,P14:AI14,{"[2]同居人"},P12:AI12,"[1]男",P13:AI13,"&gt;=75")) +
SUM(SUMIFS(P24:AI24,P14:AI14,{"[2]同居人"},P12:AI12,"[1]男",P13:AI13,"&gt;=75")) +
SUM(SUMIFS(P25:AI25,P14:AI14,{"[2]同居人"},P12:AI12,"[1]男",P13:AI13,"&gt;=75")) +
SUM(SUMIFS(P26:AI26,P14:AI14,{"[2]同居人"},P12:AI12,"[1]男",P13:AI13,"&gt;=75")) +
SUM(SUMIFS(P27:AI27,P14:AI14,{"[2]同居人"},P12:AI12,"[1]男",P13:AI13,"&gt;=75")) +
SUM(SUMIFS(P28:AI28,P14:AI14,{"[2]同居人"},P12:AI12,"[1]男",P13:AI13,"&gt;=75")) +
SUM(SUMIFS(P29:AI29,P14:AI14,{"[2]同居人"},P12:AI12,"[1]男",P13:AI13,"&gt;=75"))</f>
        <v>0</v>
      </c>
      <c r="BI50" s="243">
        <f>SUM(BE50:BH50)</f>
        <v>0</v>
      </c>
      <c r="BJ50" s="243">
        <f t="shared" ref="BJ50:BJ54" si="13">SUM(BD50,BI50)</f>
        <v>0</v>
      </c>
      <c r="BK50" s="243">
        <f>BJ14</f>
        <v>0</v>
      </c>
      <c r="BL50" s="243">
        <f>SUM(SUMIFS(P15:AI15,P14:AI14,{"[2]同居人"},P12:AI12,"[2]女",P13:AI13,"&lt;65")) +
SUM(SUMIFS(P16:AI16,P14:AI14,{"[2]同居人"},P12:AI12,"[2]女",P13:AI13,"&lt;65")) +
SUM(SUMIFS(P17:AI17,P14:AI14,{"[2]同居人"},P12:AI12,"[2]女",P13:AI13,"&lt;65")) +
SUM(SUMIFS(P18:AI18,P14:AI14,{"[2]同居人"},P12:AI12,"[2]女",P13:AI13,"&lt;65")) +
SUM(SUMIFS(P19:AI19,P14:AI14,{"[2]同居人"},P12:AI12,"[2]女",P13:AI13,"&lt;65")) +
SUM(SUMIFS(P20:AI20,P14:AI14,{"[2]同居人"},P12:AI12,"[2]女",P13:AI13,"&lt;65")) +
SUM(SUMIFS(P21:AI21,P14:AI14,{"[2]同居人"},P12:AI12,"[2]女",P13:AI13,"&lt;65")) +
SUM(SUMIFS(P22:AI22,P14:AI14,{"[2]同居人"},P12:AI12,"[2]女",P13:AI13,"&lt;65")) +
SUM(SUMIFS(P23:AI23,P14:AI14,{"[2]同居人"},P12:AI12,"[2]女",P13:AI13,"&lt;65")) +
SUM(SUMIFS(P24:AI24,P14:AI14,{"[2]同居人"},P12:AI12,"[2]女",P13:AI13,"&lt;65")) +
SUM(SUMIFS(P25:AI25,P14:AI14,{"[2]同居人"},P12:AI12,"[2]女",P13:AI13,"&lt;65")) +
SUM(SUMIFS(P26:AI26,P14:AI14,{"[2]同居人"},P12:AI12,"[2]女",P13:AI13,"&lt;65")) +
SUM(SUMIFS(P27:AI27,P14:AI14,{"[2]同居人"},P12:AI12,"[2]女",P13:AI13,"&lt;65")) +
SUM(SUMIFS(P28:AI28,P14:AI14,{"[2]同居人"},P12:AI12,"[2]女",P13:AI13,"&lt;65")) +
SUM(SUMIFS(P29:AI29,P14:AI14,{"[2]同居人"},P12:AI12,"[2]女",P13:AI13,"&lt;65")) +
SUM(SUMIFS(P15:AI15,P14:AI14,{"[4]手伝い・共同作業受け"},P12:AI12,"[2]女")) +
SUM(SUMIFS(P16:AI16,P14:AI14,{"[4]手伝い・共同作業受け"},P12:AI12,"[2]女")) +
SUM(SUMIFS(P17:AI17,P14:AI14,{"[4]手伝い・共同作業受け"},P12:AI12,"[2]女")) +
SUM(SUMIFS(P18:AI18,P14:AI14,{"[4]手伝い・共同作業受け"},P12:AI12,"[2]女")) +
SUM(SUMIFS(P19:AI19,P14:AI14,{"[4]手伝い・共同作業受け"},P12:AI12,"[2]女")) +
SUM(SUMIFS(P20:AI20,P14:AI14,{"[4]手伝い・共同作業受け"},P12:AI12,"[2]女")) +
SUM(SUMIFS(P21:AI21,P14:AI14,{"[4]手伝い・共同作業受け"},P12:AI12,"[2]女")) +
SUM(SUMIFS(P22:AI22,P14:AI14,{"[4]手伝い・共同作業受け"},P12:AI12,"[2]女")) +
SUM(SUMIFS(P23:AI23,P14:AI14,{"[4]手伝い・共同作業受け"},P12:AI12,"[2]女")) +
SUM(SUMIFS(P24:AI24,P14:AI14,{"[4]手伝い・共同作業受け"},P12:AI12,"[2]女")) +
SUM(SUMIFS(P25:AI25,P14:AI14,{"[4]手伝い・共同作業受け"},P12:AI12,"[2]女")) +
SUM(SUMIFS(P26:AI26,P14:AI14,{"[4]手伝い・共同作業受け"},P12:AI12,"[2]女")) +
SUM(SUMIFS(P27:AI27,P14:AI14,{"[4]手伝い・共同作業受け"},P12:AI12,"[2]女")) +
SUM(SUMIFS(P28:AI28,P14:AI14,{"[4]手伝い・共同作業受け"},P12:AI12,"[2]女")) +
SUM(SUMIFS(P29:AI29,P14:AI14,{"[4]手伝い・共同作業受け"},P12:AI12,"[2]女"))</f>
        <v>0</v>
      </c>
      <c r="BM50" s="243">
        <f>SUM(SUMIFS(P15:AI15,P14:AI14,{"[2]同居人"},P12:AI12,"[2]女",P13:AI13,"&gt;=65",P13:AI13,"&lt;70")) +
SUM(SUMIFS(P16:AI16,P14:AI14,{"[2]同居人"},P12:AI12,"[2]女",P13:AI13,"&gt;=65",P13:AI13,"&lt;70")) +
SUM(SUMIFS(P17:AI17,P14:AI14,{"[2]同居人"},P12:AI12,"[2]女",P13:AI13,"&gt;=65",P13:AI13,"&lt;70")) +
SUM(SUMIFS(P18:AI18,P14:AI14,{"[2]同居人"},P12:AI12,"[2]女",P13:AI13,"&gt;=65",P13:AI13,"&lt;70")) +
SUM(SUMIFS(P19:AI19,P14:AI14,{"[2]同居人"},P12:AI12,"[2]女",P13:AI13,"&gt;=65",P13:AI13,"&lt;70")) +
SUM(SUMIFS(P20:AI20,P14:AI14,{"[2]同居人"},P12:AI12,"[2]女",P13:AI13,"&gt;=65",P13:AI13,"&lt;70")) +
SUM(SUMIFS(P21:AI21,P14:AI14,{"[2]同居人"},P12:AI12,"[2]女",P13:AI13,"&gt;=65",P13:AI13,"&lt;70")) +
SUM(SUMIFS(P22:AI22,P14:AI14,{"[2]同居人"},P12:AI12,"[2]女",P13:AI13,"&gt;=65",P13:AI13,"&lt;70")) +
SUM(SUMIFS(P23:AI23,P14:AI14,{"[2]同居人"},P12:AI12,"[2]女",P13:AI13,"&gt;=65",P13:AI13,"&lt;70")) +
SUM(SUMIFS(P24:AI24,P14:AI14,{"[2]同居人"},P12:AI12,"[2]女",P13:AI13,"&gt;=65",P13:AI13,"&lt;70")) +
SUM(SUMIFS(P25:AI25,P14:AI14,{"[2]同居人"},P12:AI12,"[2]女",P13:AI13,"&gt;=65",P13:AI13,"&lt;70")) +
SUM(SUMIFS(P26:AI26,P14:AI14,{"[2]同居人"},P12:AI12,"[2]女",P13:AI13,"&gt;=65",P13:AI13,"&lt;70")) +
SUM(SUMIFS(P27:AI27,P14:AI14,{"[2]同居人"},P12:AI12,"[2]女",P13:AI13,"&gt;=65",P13:AI13,"&lt;70")) +
SUM(SUMIFS(P28:AI28,P14:AI14,{"[2]同居人"},P12:AI12,"[2]女",P13:AI13,"&gt;=65",P13:AI13,"&lt;70")) +
SUM(SUMIFS(P29:AI29,P14:AI14,{"[2]同居人"},P12:AI12,"[2]女",P13:AI13,"&gt;=65",P13:AI13,"&lt;70"))</f>
        <v>0</v>
      </c>
      <c r="BN50" s="243">
        <f>SUM(SUMIFS(P15:AI15,P14:AI14,{"[2]同居人"},P12:AI12,"[2]女",P13:AI13,"&gt;=70",P13:AI13,"&lt;75")) +
SUM(SUMIFS(P16:AI16,P14:AI14,{"[2]同居人"},P12:AI12,"[2]女",P13:AI13,"&gt;=70",P13:AI13,"&lt;75")) +
SUM(SUMIFS(P17:AI17,P14:AI14,{"[2]同居人"},P12:AI12,"[2]女",P13:AI13,"&gt;=70",P13:AI13,"&lt;75")) +
SUM(SUMIFS(P18:AI18,P14:AI14,{"[2]同居人"},P12:AI12,"[2]女",P13:AI13,"&gt;=70",P13:AI13,"&lt;75")) +
SUM(SUMIFS(P19:AI19,P14:AI14,{"[2]同居人"},P12:AI12,"[2]女",P13:AI13,"&gt;=70",P13:AI13,"&lt;75")) +
SUM(SUMIFS(P20:AI20,P14:AI14,{"[2]同居人"},P12:AI12,"[2]女",P13:AI13,"&gt;=70",P13:AI13,"&lt;75")) +
SUM(SUMIFS(P21:AI21,P14:AI14,{"[2]同居人"},P12:AI12,"[2]女",P13:AI13,"&gt;=70",P13:AI13,"&lt;75")) +
SUM(SUMIFS(P22:AI22,P14:AI14,{"[2]同居人"},P12:AI12,"[2]女",P13:AI13,"&gt;=70",P13:AI13,"&lt;75")) +
SUM(SUMIFS(P23:AI23,P14:AI14,{"[2]同居人"},P12:AI12,"[2]女",P13:AI13,"&gt;=70",P13:AI13,"&lt;75")) +
SUM(SUMIFS(P24:AI24,P14:AI14,{"[2]同居人"},P12:AI12,"[2]女",P13:AI13,"&gt;=70",P13:AI13,"&lt;75")) +
SUM(SUMIFS(P25:AI25,P14:AI14,{"[2]同居人"},P12:AI12,"[2]女",P13:AI13,"&gt;=70",P13:AI13,"&lt;75")) +
SUM(SUMIFS(P26:AI26,P14:AI14,{"[2]同居人"},P12:AI12,"[2]女",P13:AI13,"&gt;=70",P13:AI13,"&lt;75")) +
SUM(SUMIFS(P27:AI27,P14:AI14,{"[2]同居人"},P12:AI12,"[2]女",P13:AI13,"&gt;=70",P13:AI13,"&lt;75")) +
SUM(SUMIFS(P28:AI28,P14:AI14,{"[2]同居人"},P12:AI12,"[2]女",P13:AI13,"&gt;=70",P13:AI13,"&lt;75")) +
SUM(SUMIFS(P29:AI29,P14:AI14,{"[2]同居人"},P12:AI12,"[2]女",P13:AI13,"&gt;=70",P13:AI13,"&lt;75"))</f>
        <v>0</v>
      </c>
      <c r="BO50" s="243">
        <f>SUM(SUMIFS(P15:AI15,P14:AI14,{"[2]同居人"},P12:AI12,"[2]女",P13:AI13,"&gt;=75")) +
SUM(SUMIFS(P16:AI16,P14:AI14,{"[2]同居人"},P12:AI12,"[2]女",P13:AI13,"&gt;=75")) +
SUM(SUMIFS(P17:AI17,P14:AI14,{"[2]同居人"},P12:AI12,"[2]女",P13:AI13,"&gt;=75")) +
SUM(SUMIFS(P18:AI18,P14:AI14,{"[2]同居人"},P12:AI12,"[2]女",P13:AI13,"&gt;=75")) +
SUM(SUMIFS(P19:AI19,P14:AI14,{"[2]同居人"},P12:AI12,"[2]女",P13:AI13,"&gt;=75")) +
SUM(SUMIFS(P20:AI20,P14:AI14,{"[2]同居人"},P12:AI12,"[2]女",P13:AI13,"&gt;=75")) +
SUM(SUMIFS(P21:AI21,P14:AI14,{"[2]同居人"},P12:AI12,"[2]女",P13:AI13,"&gt;=75")) +
SUM(SUMIFS(P22:AI22,P14:AI14,{"[2]同居人"},P12:AI12,"[2]女",P13:AI13,"&gt;=75")) +
SUM(SUMIFS(P23:AI23,P14:AI14,{"[2]同居人"},P12:AI12,"[2]女",P13:AI13,"&gt;=75")) +
SUM(SUMIFS(P24:AI24,P14:AI14,{"[2]同居人"},P12:AI12,"[2]女",P13:AI13,"&gt;=75")) +
SUM(SUMIFS(P25:AI25,P14:AI14,{"[2]同居人"},P12:AI12,"[2]女",P13:AI13,"&gt;=75")) +
SUM(SUMIFS(P26:AI26,P14:AI14,{"[2]同居人"},P12:AI12,"[2]女",P13:AI13,"&gt;=75")) +
SUM(SUMIFS(P27:AI27,P14:AI14,{"[2]同居人"},P12:AI12,"[2]女",P13:AI13,"&gt;=75")) +
SUM(SUMIFS(P28:AI28,P14:AI14,{"[2]同居人"},P12:AI12,"[2]女",P13:AI13,"&gt;=75")) +
SUM(SUMIFS(P29:AI29,P14:AI14,{"[2]同居人"},P12:AI12,"[2]女",P13:AI13,"&gt;=75"))</f>
        <v>0</v>
      </c>
      <c r="BP50" s="243">
        <f t="shared" ref="BP50:BP55" si="14">SUM(BL50:BO50)</f>
        <v>0</v>
      </c>
      <c r="BQ50" s="243">
        <f t="shared" ref="BQ50:BQ52" si="15">SUM(BK50,BP50)</f>
        <v>0</v>
      </c>
      <c r="BR50" s="243">
        <f t="shared" ref="BR50:BR55" si="16">SUM(BQ50,BJ50)</f>
        <v>0</v>
      </c>
    </row>
    <row r="51" spans="54:70" ht="30" customHeight="1" x14ac:dyDescent="0.2">
      <c r="BB51" s="364"/>
      <c r="BC51" s="265" t="s">
        <v>170</v>
      </c>
      <c r="BD51" s="243">
        <f>BG31</f>
        <v>0</v>
      </c>
      <c r="BE51" s="243">
        <f>SUM(SUMIFS(P31:AI31,P14:AI14,{"[2]同居人"},P12:AI12,"[1]男",P13:AI13,"&lt;65"))+
SUM(SUMIFS(P31:AI31,P14:AI14,{"[4]手伝い・共同作業受け"},P12:AI12,"[1]男"))</f>
        <v>0</v>
      </c>
      <c r="BF51" s="243">
        <f>SUM(SUMIFS(P31:AI31,P14:AI14,{"[2]同居人"},P12:AI12,"[1]男",P13:AI13,"&gt;=65",P13:AI13,"&lt;70"))</f>
        <v>0</v>
      </c>
      <c r="BG51" s="243">
        <f>SUM(SUMIFS(P31:AI31,P14:AI14,{"[2]同居人"},P12:AI12,"[1]男",P13:AI13,"&gt;=70",P13:AI13,"&lt;75"))</f>
        <v>0</v>
      </c>
      <c r="BH51" s="243">
        <f>SUM(SUMIFS(P31:AI31,P14:AI14,{"[2]同居人"},P12:AI12,"[1]男",P13:AI13,"&gt;=75"))</f>
        <v>0</v>
      </c>
      <c r="BI51" s="243">
        <f>SUM(BE51:BH51)</f>
        <v>0</v>
      </c>
      <c r="BJ51" s="243">
        <f t="shared" si="13"/>
        <v>0</v>
      </c>
      <c r="BK51" s="243">
        <f>BJ31</f>
        <v>0</v>
      </c>
      <c r="BL51" s="243">
        <f>SUM(SUMIFS(P31:AI31,P14:AI14,{"[2]同居人"},P12:AI12,"[2]女",P13:AI13,"&lt;65"))+
SUM(SUMIFS(P31:AI31,P14:AI14,{"[4]手伝い・共同作業受け"},P12:AI12,"[2]女"))</f>
        <v>0</v>
      </c>
      <c r="BM51" s="243">
        <f>SUM(SUMIFS(P31:AI31,P14:AI14,{"[2]同居人"},P12:AI12,"[2]女",P13:AI13,"&gt;=65",P13:AI13,"&lt;70"))</f>
        <v>0</v>
      </c>
      <c r="BN51" s="243">
        <f>SUM(SUMIFS(P31:AI31,P14:AI14,{"[2]同居人"},P12:AI12,"[2]女",P13:AI13,"&gt;=70",P13:AI13,"&lt;75"))</f>
        <v>0</v>
      </c>
      <c r="BO51" s="243">
        <f>SUM(SUMIFS(P31:AI31,P14:AI14,{"[2]同居人"},P12:AI12,"[2]女",P13:AI13,"&gt;=75"))</f>
        <v>0</v>
      </c>
      <c r="BP51" s="243">
        <f t="shared" si="14"/>
        <v>0</v>
      </c>
      <c r="BQ51" s="243">
        <f t="shared" si="15"/>
        <v>0</v>
      </c>
      <c r="BR51" s="243">
        <f t="shared" si="16"/>
        <v>0</v>
      </c>
    </row>
    <row r="52" spans="54:70" ht="30" customHeight="1" thickBot="1" x14ac:dyDescent="0.25">
      <c r="BB52" s="364"/>
      <c r="BC52" s="244" t="s">
        <v>136</v>
      </c>
      <c r="BD52" s="243">
        <f>SUM(BD50:BD51)</f>
        <v>0</v>
      </c>
      <c r="BE52" s="243">
        <f>SUM(BE50:BE51)</f>
        <v>0</v>
      </c>
      <c r="BF52" s="243">
        <f>SUM(BF50:BF51)</f>
        <v>0</v>
      </c>
      <c r="BG52" s="243">
        <f>SUM(BG50:BG51)</f>
        <v>0</v>
      </c>
      <c r="BH52" s="243">
        <f>SUM(BH50:BH51)</f>
        <v>0</v>
      </c>
      <c r="BI52" s="243">
        <f t="shared" ref="BI52:BI55" si="17">SUM(BE52:BH52)</f>
        <v>0</v>
      </c>
      <c r="BJ52" s="243">
        <f t="shared" si="13"/>
        <v>0</v>
      </c>
      <c r="BK52" s="243">
        <f>SUM(BK50:BK51)</f>
        <v>0</v>
      </c>
      <c r="BL52" s="243">
        <f>SUM(BL50:BL51)</f>
        <v>0</v>
      </c>
      <c r="BM52" s="243">
        <f>SUM(BM50:BM51)</f>
        <v>0</v>
      </c>
      <c r="BN52" s="243">
        <f>SUM(BN50:BN51)</f>
        <v>0</v>
      </c>
      <c r="BO52" s="243">
        <f>SUM(BO50:BO51)</f>
        <v>0</v>
      </c>
      <c r="BP52" s="243">
        <f t="shared" si="14"/>
        <v>0</v>
      </c>
      <c r="BQ52" s="243">
        <f t="shared" si="15"/>
        <v>0</v>
      </c>
      <c r="BR52" s="245">
        <f t="shared" si="16"/>
        <v>0</v>
      </c>
    </row>
    <row r="53" spans="54:70" ht="30" customHeight="1" x14ac:dyDescent="0.2">
      <c r="BB53" s="364" t="s">
        <v>171</v>
      </c>
      <c r="BC53" s="264" t="s">
        <v>169</v>
      </c>
      <c r="BD53" s="252" t="str">
        <f>IF(OR(BD52="",BD52=0),"",ROUND(P37*Q37%*BD50/BD52,))</f>
        <v/>
      </c>
      <c r="BE53" s="252">
        <f>BE50*$BO$32</f>
        <v>0</v>
      </c>
      <c r="BF53" s="252">
        <f>ROUND(BF50*$BO$32*0.9,)</f>
        <v>0</v>
      </c>
      <c r="BG53" s="252">
        <f>ROUND(BG50*$BO$32*0.8,)</f>
        <v>0</v>
      </c>
      <c r="BH53" s="252">
        <f>ROUND(BH50*$BO$32*0.7,)</f>
        <v>0</v>
      </c>
      <c r="BI53" s="252">
        <f t="shared" si="17"/>
        <v>0</v>
      </c>
      <c r="BJ53" s="252">
        <f t="shared" si="13"/>
        <v>0</v>
      </c>
      <c r="BK53" s="252" t="str">
        <f>IF(BK52&gt;0,ROUND(P38*Q38%*BK50/BK52,),"")</f>
        <v/>
      </c>
      <c r="BL53" s="252">
        <f>BL50*$BO$32</f>
        <v>0</v>
      </c>
      <c r="BM53" s="252">
        <f>ROUND(BM50*$BO$32*0.9,)</f>
        <v>0</v>
      </c>
      <c r="BN53" s="252">
        <f>ROUND(BN50*$BO$32*0.8,)</f>
        <v>0</v>
      </c>
      <c r="BO53" s="252">
        <f>ROUND(BO50*$BO$32*0.7,)</f>
        <v>0</v>
      </c>
      <c r="BP53" s="252">
        <f t="shared" si="14"/>
        <v>0</v>
      </c>
      <c r="BQ53" s="253">
        <f>SUM(BK53,BP53)</f>
        <v>0</v>
      </c>
      <c r="BR53" s="254">
        <f>ROUND(SUM(BQ53,BJ53),0)</f>
        <v>0</v>
      </c>
    </row>
    <row r="54" spans="54:70" ht="30" customHeight="1" thickBot="1" x14ac:dyDescent="0.25">
      <c r="BB54" s="364"/>
      <c r="BC54" s="265" t="s">
        <v>170</v>
      </c>
      <c r="BD54" s="252" t="str">
        <f>IF(OR(BD52="",BD52=0),"",ROUND(P37*Q37%*BD51/BD52,))</f>
        <v/>
      </c>
      <c r="BE54" s="252">
        <f>BE51*$BO$32</f>
        <v>0</v>
      </c>
      <c r="BF54" s="252">
        <f>ROUND(BF51*$BO$32*0.9,)</f>
        <v>0</v>
      </c>
      <c r="BG54" s="252">
        <f>ROUND(BG51*$BO$32*0.8,)</f>
        <v>0</v>
      </c>
      <c r="BH54" s="252">
        <f>ROUND(BH51*$BO$32*0.7,)</f>
        <v>0</v>
      </c>
      <c r="BI54" s="252">
        <f t="shared" si="17"/>
        <v>0</v>
      </c>
      <c r="BJ54" s="255">
        <f t="shared" si="13"/>
        <v>0</v>
      </c>
      <c r="BK54" s="252" t="str">
        <f>IF(BK52&gt;0,ROUND(P38*Q38%*BK51/BK52,),"")</f>
        <v/>
      </c>
      <c r="BL54" s="252">
        <f>BL51*$BO$32</f>
        <v>0</v>
      </c>
      <c r="BM54" s="252">
        <f>ROUND(BM51*$BO$32*0.9,)</f>
        <v>0</v>
      </c>
      <c r="BN54" s="252">
        <f>ROUND(BN51*$BO$32*0.8,)</f>
        <v>0</v>
      </c>
      <c r="BO54" s="252">
        <f>ROUND(BO51*$BO$32*0.7,)</f>
        <v>0</v>
      </c>
      <c r="BP54" s="252">
        <f t="shared" si="14"/>
        <v>0</v>
      </c>
      <c r="BQ54" s="266">
        <f t="shared" ref="BQ54" si="18">SUM(BK54,BP54)</f>
        <v>0</v>
      </c>
      <c r="BR54" s="256">
        <f>ROUND(SUM(BQ54,BJ54),0)</f>
        <v>0</v>
      </c>
    </row>
    <row r="55" spans="54:70" ht="30" customHeight="1" thickBot="1" x14ac:dyDescent="0.25">
      <c r="BB55" s="364"/>
      <c r="BC55" s="244" t="s">
        <v>136</v>
      </c>
      <c r="BD55" s="252">
        <f>SUM(BD53:BD54)</f>
        <v>0</v>
      </c>
      <c r="BE55" s="252">
        <f>SUM(BE53:BE54)</f>
        <v>0</v>
      </c>
      <c r="BF55" s="252">
        <f>SUM(BF53:BF54)</f>
        <v>0</v>
      </c>
      <c r="BG55" s="252">
        <f>SUM(BG53:BG54)</f>
        <v>0</v>
      </c>
      <c r="BH55" s="252">
        <f>SUM(BH53:BH54)</f>
        <v>0</v>
      </c>
      <c r="BI55" s="253">
        <f t="shared" si="17"/>
        <v>0</v>
      </c>
      <c r="BJ55" s="267">
        <f>ROUND(SUM(BD55,BI55),0)</f>
        <v>0</v>
      </c>
      <c r="BK55" s="261">
        <f>SUM(BK53:BK54)</f>
        <v>0</v>
      </c>
      <c r="BL55" s="252">
        <f>SUM(BL53:BL54)</f>
        <v>0</v>
      </c>
      <c r="BM55" s="252">
        <f>SUM(BM53:BM54)</f>
        <v>0</v>
      </c>
      <c r="BN55" s="252">
        <f>SUM(BN53:BN54)</f>
        <v>0</v>
      </c>
      <c r="BO55" s="252">
        <f>SUM(BO53:BO54)</f>
        <v>0</v>
      </c>
      <c r="BP55" s="253">
        <f t="shared" si="14"/>
        <v>0</v>
      </c>
      <c r="BQ55" s="267">
        <f>ROUND(SUM(BK55,BP55),0)</f>
        <v>0</v>
      </c>
      <c r="BR55" s="268">
        <f t="shared" si="16"/>
        <v>0</v>
      </c>
    </row>
  </sheetData>
  <sheetProtection formatCells="0" formatColumns="0" formatRows="0" insertColumns="0" insertRows="0" insertHyperlinks="0" deleteColumns="0" deleteRows="0" selectLockedCells="1" sort="0"/>
  <mergeCells count="133">
    <mergeCell ref="F14:L14"/>
    <mergeCell ref="M14:O14"/>
    <mergeCell ref="C15:E15"/>
    <mergeCell ref="F15:O15"/>
    <mergeCell ref="AL15:AN15"/>
    <mergeCell ref="AK3:AK4"/>
    <mergeCell ref="AL3:AN4"/>
    <mergeCell ref="AO3:AO4"/>
    <mergeCell ref="AP3:AT4"/>
    <mergeCell ref="AK5:AK6"/>
    <mergeCell ref="AL5:AN6"/>
    <mergeCell ref="AO5:AO6"/>
    <mergeCell ref="AP5:AT6"/>
    <mergeCell ref="C10:E13"/>
    <mergeCell ref="F10:L13"/>
    <mergeCell ref="AJ10:AJ13"/>
    <mergeCell ref="AK10:AK13"/>
    <mergeCell ref="AL10:AN13"/>
    <mergeCell ref="AO10:AX13"/>
    <mergeCell ref="M11:O11"/>
    <mergeCell ref="M12:O12"/>
    <mergeCell ref="M13:O13"/>
    <mergeCell ref="C16:E16"/>
    <mergeCell ref="F16:O16"/>
    <mergeCell ref="AL16:AN16"/>
    <mergeCell ref="AO16:AX16"/>
    <mergeCell ref="C17:E17"/>
    <mergeCell ref="F17:O17"/>
    <mergeCell ref="AL17:AN17"/>
    <mergeCell ref="AO17:AX17"/>
    <mergeCell ref="AO15:AX15"/>
    <mergeCell ref="C20:E20"/>
    <mergeCell ref="F20:O20"/>
    <mergeCell ref="AL20:AN20"/>
    <mergeCell ref="AO20:AX20"/>
    <mergeCell ref="C21:E21"/>
    <mergeCell ref="F21:O21"/>
    <mergeCell ref="AL21:AN21"/>
    <mergeCell ref="AO21:AX21"/>
    <mergeCell ref="C18:E18"/>
    <mergeCell ref="F18:O18"/>
    <mergeCell ref="AL18:AN18"/>
    <mergeCell ref="AO18:AX18"/>
    <mergeCell ref="C19:E19"/>
    <mergeCell ref="F19:O19"/>
    <mergeCell ref="AL19:AN19"/>
    <mergeCell ref="AO19:AX19"/>
    <mergeCell ref="C24:E24"/>
    <mergeCell ref="F24:O24"/>
    <mergeCell ref="AL24:AN24"/>
    <mergeCell ref="AO24:AX24"/>
    <mergeCell ref="C25:E25"/>
    <mergeCell ref="F25:O25"/>
    <mergeCell ref="AL25:AN25"/>
    <mergeCell ref="AO25:AX25"/>
    <mergeCell ref="C22:E22"/>
    <mergeCell ref="F22:O22"/>
    <mergeCell ref="AL22:AN22"/>
    <mergeCell ref="AO22:AX22"/>
    <mergeCell ref="C23:E23"/>
    <mergeCell ref="F23:O23"/>
    <mergeCell ref="AL23:AN23"/>
    <mergeCell ref="AO23:AX23"/>
    <mergeCell ref="C26:E26"/>
    <mergeCell ref="F26:O26"/>
    <mergeCell ref="AL26:AN26"/>
    <mergeCell ref="AO26:AX26"/>
    <mergeCell ref="C27:E27"/>
    <mergeCell ref="F27:O27"/>
    <mergeCell ref="AL27:AN27"/>
    <mergeCell ref="AO27:AX27"/>
    <mergeCell ref="C28:E28"/>
    <mergeCell ref="F28:O28"/>
    <mergeCell ref="AL28:AN28"/>
    <mergeCell ref="AO28:AX28"/>
    <mergeCell ref="C29:E29"/>
    <mergeCell ref="F29:O29"/>
    <mergeCell ref="AL29:AN29"/>
    <mergeCell ref="AO29:AX29"/>
    <mergeCell ref="C30:E30"/>
    <mergeCell ref="F30:O30"/>
    <mergeCell ref="AL30:AN30"/>
    <mergeCell ref="AO30:AX30"/>
    <mergeCell ref="C31:E31"/>
    <mergeCell ref="F31:O31"/>
    <mergeCell ref="AL31:AN31"/>
    <mergeCell ref="AO31:AX31"/>
    <mergeCell ref="BB10:BC13"/>
    <mergeCell ref="BD10:BF10"/>
    <mergeCell ref="BG10:BM10"/>
    <mergeCell ref="BD11:BD13"/>
    <mergeCell ref="BE11:BE13"/>
    <mergeCell ref="BF11:BF13"/>
    <mergeCell ref="BG11:BI11"/>
    <mergeCell ref="BJ11:BL11"/>
    <mergeCell ref="BM11:BM13"/>
    <mergeCell ref="BG12:BG13"/>
    <mergeCell ref="BH12:BH13"/>
    <mergeCell ref="BI12:BI13"/>
    <mergeCell ref="BJ12:BJ13"/>
    <mergeCell ref="BK12:BK13"/>
    <mergeCell ref="BL12:BL13"/>
    <mergeCell ref="BD36:BR36"/>
    <mergeCell ref="BD37:BH37"/>
    <mergeCell ref="BI37:BM37"/>
    <mergeCell ref="BN37:BR37"/>
    <mergeCell ref="BB14:BC14"/>
    <mergeCell ref="BB15:BB30"/>
    <mergeCell ref="BB31:BC31"/>
    <mergeCell ref="BO31:BP31"/>
    <mergeCell ref="BB32:BC32"/>
    <mergeCell ref="BO32:BP32"/>
    <mergeCell ref="BD46:BR46"/>
    <mergeCell ref="BD47:BJ47"/>
    <mergeCell ref="BK47:BQ47"/>
    <mergeCell ref="BR47:BR49"/>
    <mergeCell ref="BD48:BD49"/>
    <mergeCell ref="BE48:BI48"/>
    <mergeCell ref="BJ48:BJ49"/>
    <mergeCell ref="BK48:BK49"/>
    <mergeCell ref="BL48:BP48"/>
    <mergeCell ref="BQ48:BQ49"/>
    <mergeCell ref="BB50:BB52"/>
    <mergeCell ref="BB53:BB55"/>
    <mergeCell ref="C35:O36"/>
    <mergeCell ref="P35:P36"/>
    <mergeCell ref="Q35:Q36"/>
    <mergeCell ref="C37:O37"/>
    <mergeCell ref="C38:O38"/>
    <mergeCell ref="BB39:BB41"/>
    <mergeCell ref="BB42:BB44"/>
    <mergeCell ref="BB46:BC49"/>
    <mergeCell ref="BB36:BC38"/>
  </mergeCells>
  <phoneticPr fontId="2"/>
  <dataValidations count="3">
    <dataValidation type="textLength" imeMode="hiragana" allowBlank="1" showInputMessage="1" showErrorMessage="1" error="20文字まで入力できます。" sqref="AP3:AT6 AK3:AN6" xr:uid="{D106DE2B-4B2B-429F-86AF-AE9CBE01067C}">
      <formula1>1</formula1>
      <formula2>20</formula2>
    </dataValidation>
    <dataValidation type="whole" operator="greaterThan" allowBlank="1" showInputMessage="1" showErrorMessage="1" error="0より大きい数値を整数で入力してください。" sqref="BO32:BP32 P37:P38" xr:uid="{D60695D5-1EFC-413C-A222-5D81B5780E1F}">
      <formula1>0</formula1>
    </dataValidation>
    <dataValidation type="custom" allowBlank="1" showInputMessage="1" showErrorMessage="1" error="0.001~100の範囲で小数点第３位までの数値を入力してください。" sqref="Q37:Q38" xr:uid="{E88C33AB-0BEF-4EB5-A257-E8B40A0E106E}">
      <formula1>AND(AND(Q37*1000=INT(Q37*1000)),(Q37&gt;0),(Q37&lt;=100))</formula1>
    </dataValidation>
  </dataValidations>
  <pageMargins left="0.19685039370078741" right="0.19685039370078741" top="0.59055118110236227" bottom="0.59055118110236227" header="0" footer="0"/>
  <pageSetup paperSize="8" scale="25" orientation="landscape" cellComments="asDisplayed" r:id="rId1"/>
  <headerFooter alignWithMargins="0">
    <oddFooter>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7CC0-4F03-4E7D-AD08-C23A7E07E8CC}">
  <sheetPr>
    <pageSetUpPr fitToPage="1"/>
  </sheetPr>
  <dimension ref="A1:BG48"/>
  <sheetViews>
    <sheetView showGridLines="0" zoomScale="89" zoomScaleNormal="89" zoomScaleSheetLayoutView="70" workbookViewId="0"/>
  </sheetViews>
  <sheetFormatPr defaultColWidth="2.77734375" defaultRowHeight="14.25" customHeight="1" x14ac:dyDescent="0.2"/>
  <cols>
    <col min="1" max="1" width="0.88671875" style="106" customWidth="1"/>
    <col min="2" max="27" width="2.77734375" style="106" customWidth="1"/>
    <col min="28" max="28" width="14.21875" style="106" customWidth="1"/>
    <col min="29" max="29" width="11.33203125" style="106" customWidth="1"/>
    <col min="30" max="30" width="14.21875" style="106" customWidth="1"/>
    <col min="31" max="31" width="11.33203125" style="106" customWidth="1"/>
    <col min="32" max="32" width="14.21875" style="106" customWidth="1"/>
    <col min="33" max="33" width="11.33203125" style="106" customWidth="1"/>
    <col min="34" max="34" width="14.21875" style="106" customWidth="1"/>
    <col min="35" max="35" width="11.33203125" style="106" customWidth="1"/>
    <col min="36" max="36" width="14.21875" style="106" customWidth="1"/>
    <col min="37" max="37" width="11.33203125" style="106" customWidth="1"/>
    <col min="38" max="38" width="1.6640625" style="106" customWidth="1"/>
    <col min="39" max="44" width="2.77734375" style="106" customWidth="1"/>
    <col min="45" max="45" width="0.88671875" style="164" customWidth="1"/>
    <col min="46" max="46" width="2.77734375" style="106"/>
    <col min="47" max="47" width="4.6640625" customWidth="1"/>
    <col min="48" max="58" width="17.6640625" customWidth="1"/>
    <col min="59" max="59" width="12.33203125" customWidth="1"/>
    <col min="60" max="16384" width="2.77734375" style="106"/>
  </cols>
  <sheetData>
    <row r="1" spans="1:59" ht="14.25" customHeight="1" x14ac:dyDescent="0.2">
      <c r="A1" s="195" t="s">
        <v>120</v>
      </c>
      <c r="AU1" s="202" t="s">
        <v>124</v>
      </c>
      <c r="AV1" s="203"/>
      <c r="AW1" s="204"/>
      <c r="AX1" s="204"/>
      <c r="AY1" s="203"/>
      <c r="AZ1" s="203"/>
      <c r="BA1" s="203"/>
      <c r="BB1" s="203"/>
      <c r="BC1" s="203"/>
      <c r="BD1" s="203"/>
      <c r="BE1" s="203"/>
      <c r="BF1" s="203"/>
    </row>
    <row r="2" spans="1:59" s="127" customFormat="1" ht="18" customHeight="1" x14ac:dyDescent="0.2">
      <c r="A2" s="123" t="s">
        <v>114</v>
      </c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6"/>
      <c r="AU2" s="205" t="s">
        <v>114</v>
      </c>
      <c r="AV2" s="203"/>
      <c r="AW2" s="204"/>
      <c r="AX2" s="204"/>
      <c r="AY2" s="203"/>
      <c r="AZ2" s="203"/>
      <c r="BA2" s="203"/>
      <c r="BB2" s="203"/>
      <c r="BC2" s="203"/>
      <c r="BD2" s="203"/>
      <c r="BE2" s="203"/>
      <c r="BF2" s="203"/>
      <c r="BG2" s="177"/>
    </row>
    <row r="3" spans="1:59" s="127" customFormat="1" ht="14.25" hidden="1" customHeight="1" x14ac:dyDescent="0.2">
      <c r="A3" s="123"/>
      <c r="C3" s="128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6"/>
      <c r="AU3" s="203"/>
      <c r="AV3" s="203"/>
      <c r="AW3" s="204"/>
      <c r="AX3" s="204"/>
      <c r="AY3" s="203"/>
      <c r="AZ3" s="203"/>
      <c r="BA3" s="203"/>
      <c r="BB3" s="203"/>
      <c r="BC3" s="203"/>
      <c r="BD3" s="203"/>
      <c r="BE3" s="203"/>
      <c r="BF3" s="203"/>
      <c r="BG3"/>
    </row>
    <row r="4" spans="1:59" s="127" customFormat="1" ht="14.25" hidden="1" customHeight="1" x14ac:dyDescent="0.2">
      <c r="A4" s="123"/>
      <c r="C4" s="128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6"/>
      <c r="AU4" s="206"/>
      <c r="AV4" s="206"/>
      <c r="AW4" s="207"/>
      <c r="AX4" s="206"/>
      <c r="AY4" s="206"/>
      <c r="AZ4" s="206"/>
      <c r="BA4" s="206"/>
      <c r="BB4" s="206"/>
      <c r="BC4" s="206"/>
      <c r="BD4" s="206"/>
      <c r="BE4" s="206"/>
      <c r="BF4" s="206"/>
      <c r="BG4"/>
    </row>
    <row r="5" spans="1:59" s="127" customFormat="1" ht="14.25" hidden="1" customHeight="1" x14ac:dyDescent="0.2">
      <c r="A5" s="123"/>
      <c r="C5" s="128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6"/>
      <c r="AU5" s="206"/>
      <c r="AV5" s="206"/>
      <c r="AW5" s="207"/>
      <c r="AX5" s="206"/>
      <c r="AY5" s="206"/>
      <c r="AZ5" s="206"/>
      <c r="BA5" s="206"/>
      <c r="BB5" s="206"/>
      <c r="BC5" s="206"/>
      <c r="BD5" s="206"/>
      <c r="BE5" s="206"/>
      <c r="BF5" s="206"/>
      <c r="BG5"/>
    </row>
    <row r="6" spans="1:59" s="129" customFormat="1" ht="14.25" customHeight="1" x14ac:dyDescent="0.2"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1"/>
      <c r="AU6" s="206"/>
      <c r="AV6" s="206"/>
      <c r="AW6" s="206"/>
      <c r="AX6" s="206"/>
      <c r="AY6" s="206"/>
      <c r="AZ6" s="206"/>
      <c r="BA6" s="206"/>
      <c r="BB6" s="203"/>
      <c r="BC6" s="203"/>
      <c r="BD6" s="203"/>
      <c r="BE6" s="203"/>
      <c r="BF6" s="203"/>
      <c r="BG6"/>
    </row>
    <row r="7" spans="1:59" s="127" customFormat="1" ht="18" customHeight="1" x14ac:dyDescent="0.2">
      <c r="B7" s="132" t="s">
        <v>117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6"/>
      <c r="AU7" s="210"/>
      <c r="AV7" s="202"/>
      <c r="AW7" s="204"/>
      <c r="AX7" s="204"/>
      <c r="AY7" s="202"/>
      <c r="AZ7" s="202"/>
      <c r="BA7" s="202"/>
      <c r="BB7" s="202"/>
      <c r="BC7" s="202"/>
      <c r="BD7" s="202"/>
      <c r="BE7" s="202"/>
      <c r="BF7" s="202"/>
      <c r="BG7" s="177"/>
    </row>
    <row r="8" spans="1:59" s="133" customFormat="1" ht="14.25" customHeight="1" x14ac:dyDescent="0.2"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34"/>
      <c r="AU8" s="211"/>
      <c r="AV8" s="211"/>
      <c r="AW8" s="211"/>
      <c r="AX8" s="211"/>
      <c r="AY8" s="270"/>
      <c r="AZ8" s="270"/>
      <c r="BA8" s="270"/>
      <c r="BB8" s="270"/>
      <c r="BC8" s="270"/>
      <c r="BD8" s="270"/>
      <c r="BE8" s="270"/>
      <c r="BF8" s="270"/>
      <c r="BG8"/>
    </row>
    <row r="9" spans="1:59" s="133" customFormat="1" ht="14.25" customHeight="1" x14ac:dyDescent="0.2">
      <c r="C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34"/>
      <c r="AS9" s="134"/>
      <c r="AU9" s="208" t="s">
        <v>125</v>
      </c>
      <c r="AV9" s="208"/>
      <c r="AW9" s="209"/>
      <c r="AX9" s="209"/>
      <c r="AY9" s="208"/>
      <c r="AZ9" s="208"/>
      <c r="BA9" s="203"/>
      <c r="BB9" s="212"/>
      <c r="BC9" s="212"/>
      <c r="BD9" s="212"/>
      <c r="BE9" s="212"/>
      <c r="BF9" s="212"/>
      <c r="BG9"/>
    </row>
    <row r="10" spans="1:59" s="133" customFormat="1" ht="14.25" customHeight="1" thickBot="1" x14ac:dyDescent="0.25">
      <c r="C10" s="128" t="s">
        <v>89</v>
      </c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 t="s">
        <v>90</v>
      </c>
      <c r="AC10" s="128"/>
      <c r="AD10" s="128" t="s">
        <v>121</v>
      </c>
      <c r="AE10" s="128" t="s">
        <v>113</v>
      </c>
      <c r="AF10" s="128" t="s">
        <v>122</v>
      </c>
      <c r="AG10" s="128" t="s">
        <v>112</v>
      </c>
      <c r="AH10" s="128" t="s">
        <v>91</v>
      </c>
      <c r="AI10" s="128"/>
      <c r="AJ10" s="128"/>
      <c r="AK10" s="128"/>
      <c r="AL10" s="90"/>
      <c r="AM10" s="128"/>
      <c r="AN10" s="128"/>
      <c r="AO10" s="128"/>
      <c r="AP10" s="128"/>
      <c r="AQ10" s="128"/>
      <c r="AR10" s="90" t="s">
        <v>45</v>
      </c>
      <c r="AS10" s="134"/>
      <c r="AU10" s="211"/>
      <c r="AV10" s="211"/>
      <c r="AW10" s="211"/>
      <c r="AX10" s="211"/>
      <c r="AY10" s="211"/>
      <c r="AZ10" s="211"/>
      <c r="BA10" s="211"/>
      <c r="BB10" s="212"/>
      <c r="BC10" s="212"/>
      <c r="BD10" s="212"/>
      <c r="BE10" s="212"/>
      <c r="BF10" s="212"/>
      <c r="BG10"/>
    </row>
    <row r="11" spans="1:59" ht="14.1" customHeight="1" x14ac:dyDescent="0.2">
      <c r="C11" s="135"/>
      <c r="D11" s="536" t="s">
        <v>92</v>
      </c>
      <c r="E11" s="536"/>
      <c r="F11" s="536"/>
      <c r="G11" s="536"/>
      <c r="H11" s="536"/>
      <c r="I11" s="536"/>
      <c r="J11" s="136"/>
      <c r="K11" s="137"/>
      <c r="L11" s="527" t="s">
        <v>22</v>
      </c>
      <c r="M11" s="527"/>
      <c r="N11" s="527"/>
      <c r="O11" s="527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138"/>
      <c r="AB11" s="527" t="s">
        <v>93</v>
      </c>
      <c r="AC11" s="527"/>
      <c r="AD11" s="527"/>
      <c r="AE11" s="527"/>
      <c r="AF11" s="527"/>
      <c r="AG11" s="527"/>
      <c r="AH11" s="527"/>
      <c r="AI11" s="527"/>
      <c r="AJ11" s="526" t="s">
        <v>94</v>
      </c>
      <c r="AK11" s="527"/>
      <c r="AL11" s="135"/>
      <c r="AM11" s="536" t="s">
        <v>92</v>
      </c>
      <c r="AN11" s="536"/>
      <c r="AO11" s="536"/>
      <c r="AP11" s="536"/>
      <c r="AQ11" s="536"/>
      <c r="AR11" s="536"/>
      <c r="AS11" s="139"/>
      <c r="AU11" s="211"/>
      <c r="AV11" s="211"/>
      <c r="AW11" s="211"/>
      <c r="AX11" s="211"/>
      <c r="AY11" s="211"/>
      <c r="AZ11" s="211"/>
      <c r="BA11" s="211"/>
      <c r="BB11" s="212"/>
      <c r="BC11" s="212"/>
      <c r="BD11" s="212"/>
      <c r="BE11" s="212"/>
      <c r="BF11" s="212"/>
    </row>
    <row r="12" spans="1:59" ht="14.1" customHeight="1" x14ac:dyDescent="0.2">
      <c r="C12" s="140"/>
      <c r="D12" s="537"/>
      <c r="E12" s="537"/>
      <c r="F12" s="537"/>
      <c r="G12" s="537"/>
      <c r="H12" s="537"/>
      <c r="I12" s="537"/>
      <c r="J12" s="141"/>
      <c r="K12" s="142"/>
      <c r="L12" s="455"/>
      <c r="M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  <c r="Y12" s="455"/>
      <c r="Z12" s="455"/>
      <c r="AA12" s="143"/>
      <c r="AB12" s="540"/>
      <c r="AC12" s="540"/>
      <c r="AD12" s="540"/>
      <c r="AE12" s="540"/>
      <c r="AF12" s="540"/>
      <c r="AG12" s="540"/>
      <c r="AH12" s="540"/>
      <c r="AI12" s="540"/>
      <c r="AJ12" s="528"/>
      <c r="AK12" s="455"/>
      <c r="AL12" s="140"/>
      <c r="AM12" s="537"/>
      <c r="AN12" s="537"/>
      <c r="AO12" s="537"/>
      <c r="AP12" s="537"/>
      <c r="AQ12" s="537"/>
      <c r="AR12" s="537"/>
      <c r="AS12" s="144"/>
      <c r="AU12" s="211"/>
      <c r="AV12" s="211"/>
      <c r="AW12" s="211"/>
      <c r="AX12" s="213" t="s">
        <v>45</v>
      </c>
      <c r="AY12" s="211"/>
      <c r="AZ12" s="211"/>
      <c r="BA12" s="211"/>
      <c r="BB12" s="212"/>
      <c r="BC12" s="212"/>
      <c r="BD12" s="212"/>
      <c r="BE12" s="212"/>
      <c r="BF12" s="203"/>
    </row>
    <row r="13" spans="1:59" ht="14.1" customHeight="1" x14ac:dyDescent="0.2">
      <c r="C13" s="140"/>
      <c r="D13" s="537"/>
      <c r="E13" s="537"/>
      <c r="F13" s="537"/>
      <c r="G13" s="537"/>
      <c r="H13" s="537"/>
      <c r="I13" s="537"/>
      <c r="J13" s="141"/>
      <c r="K13" s="142"/>
      <c r="L13" s="455"/>
      <c r="M13" s="455"/>
      <c r="N13" s="455"/>
      <c r="O13" s="455"/>
      <c r="P13" s="455"/>
      <c r="Q13" s="455"/>
      <c r="R13" s="455"/>
      <c r="S13" s="455"/>
      <c r="T13" s="455"/>
      <c r="U13" s="455"/>
      <c r="V13" s="455"/>
      <c r="W13" s="455"/>
      <c r="X13" s="455"/>
      <c r="Y13" s="455"/>
      <c r="Z13" s="455"/>
      <c r="AA13" s="143"/>
      <c r="AB13" s="417" t="s">
        <v>95</v>
      </c>
      <c r="AC13" s="417"/>
      <c r="AD13" s="543" t="s">
        <v>96</v>
      </c>
      <c r="AE13" s="418"/>
      <c r="AF13" s="417" t="s">
        <v>97</v>
      </c>
      <c r="AG13" s="417"/>
      <c r="AH13" s="543" t="s">
        <v>98</v>
      </c>
      <c r="AI13" s="417"/>
      <c r="AJ13" s="546" t="s">
        <v>99</v>
      </c>
      <c r="AK13" s="417"/>
      <c r="AL13" s="140"/>
      <c r="AM13" s="537"/>
      <c r="AN13" s="537"/>
      <c r="AO13" s="537"/>
      <c r="AP13" s="537"/>
      <c r="AQ13" s="537"/>
      <c r="AR13" s="537"/>
      <c r="AS13" s="144"/>
      <c r="AU13" s="405"/>
      <c r="AV13" s="405"/>
      <c r="AW13" s="533" t="s">
        <v>180</v>
      </c>
      <c r="AX13" s="533" t="s">
        <v>127</v>
      </c>
      <c r="AY13" s="203"/>
      <c r="AZ13" s="535"/>
      <c r="BA13" s="535"/>
      <c r="BB13" s="514"/>
      <c r="BC13" s="514"/>
      <c r="BD13" s="514"/>
      <c r="BE13" s="514"/>
      <c r="BF13" s="514"/>
    </row>
    <row r="14" spans="1:59" ht="14.1" customHeight="1" x14ac:dyDescent="0.2">
      <c r="C14" s="140"/>
      <c r="D14" s="537"/>
      <c r="E14" s="537"/>
      <c r="F14" s="537"/>
      <c r="G14" s="537"/>
      <c r="H14" s="537"/>
      <c r="I14" s="537"/>
      <c r="J14" s="141"/>
      <c r="K14" s="142"/>
      <c r="L14" s="455"/>
      <c r="M14" s="455"/>
      <c r="N14" s="455"/>
      <c r="O14" s="455"/>
      <c r="P14" s="455"/>
      <c r="Q14" s="455"/>
      <c r="R14" s="455"/>
      <c r="S14" s="455"/>
      <c r="T14" s="455"/>
      <c r="U14" s="455"/>
      <c r="V14" s="455"/>
      <c r="W14" s="455"/>
      <c r="X14" s="455"/>
      <c r="Y14" s="455"/>
      <c r="Z14" s="455"/>
      <c r="AA14" s="143"/>
      <c r="AB14" s="455"/>
      <c r="AC14" s="455"/>
      <c r="AD14" s="544"/>
      <c r="AE14" s="545"/>
      <c r="AF14" s="455"/>
      <c r="AG14" s="455"/>
      <c r="AH14" s="544"/>
      <c r="AI14" s="540"/>
      <c r="AJ14" s="547"/>
      <c r="AK14" s="540"/>
      <c r="AL14" s="140"/>
      <c r="AM14" s="537"/>
      <c r="AN14" s="537"/>
      <c r="AO14" s="537"/>
      <c r="AP14" s="537"/>
      <c r="AQ14" s="537"/>
      <c r="AR14" s="537"/>
      <c r="AS14" s="144"/>
      <c r="AU14" s="405"/>
      <c r="AV14" s="405"/>
      <c r="AW14" s="534"/>
      <c r="AX14" s="534"/>
      <c r="AY14" s="203"/>
      <c r="AZ14" s="535"/>
      <c r="BA14" s="535"/>
      <c r="BB14" s="514"/>
      <c r="BC14" s="514"/>
      <c r="BD14" s="514"/>
      <c r="BE14" s="514"/>
      <c r="BF14" s="514"/>
    </row>
    <row r="15" spans="1:59" ht="18" customHeight="1" x14ac:dyDescent="0.2">
      <c r="C15" s="140"/>
      <c r="D15" s="537"/>
      <c r="E15" s="537"/>
      <c r="F15" s="537"/>
      <c r="G15" s="537"/>
      <c r="H15" s="537"/>
      <c r="I15" s="537"/>
      <c r="J15" s="141"/>
      <c r="K15" s="142"/>
      <c r="L15" s="455"/>
      <c r="M15" s="455"/>
      <c r="N15" s="455"/>
      <c r="O15" s="455"/>
      <c r="P15" s="455"/>
      <c r="Q15" s="455"/>
      <c r="R15" s="455"/>
      <c r="S15" s="455"/>
      <c r="T15" s="455"/>
      <c r="U15" s="455"/>
      <c r="V15" s="455"/>
      <c r="W15" s="455"/>
      <c r="X15" s="455"/>
      <c r="Y15" s="455"/>
      <c r="Z15" s="455"/>
      <c r="AA15" s="143"/>
      <c r="AB15" s="529" t="s">
        <v>100</v>
      </c>
      <c r="AC15" s="524" t="s">
        <v>191</v>
      </c>
      <c r="AD15" s="531" t="s">
        <v>100</v>
      </c>
      <c r="AE15" s="551" t="s">
        <v>191</v>
      </c>
      <c r="AF15" s="529" t="s">
        <v>100</v>
      </c>
      <c r="AG15" s="524" t="s">
        <v>191</v>
      </c>
      <c r="AH15" s="531" t="s">
        <v>100</v>
      </c>
      <c r="AI15" s="524" t="s">
        <v>191</v>
      </c>
      <c r="AJ15" s="549" t="s">
        <v>100</v>
      </c>
      <c r="AK15" s="524" t="s">
        <v>191</v>
      </c>
      <c r="AL15" s="140"/>
      <c r="AM15" s="537"/>
      <c r="AN15" s="537"/>
      <c r="AO15" s="537"/>
      <c r="AP15" s="537"/>
      <c r="AQ15" s="537"/>
      <c r="AR15" s="537"/>
      <c r="AS15" s="144"/>
      <c r="AU15" s="405"/>
      <c r="AV15" s="405"/>
      <c r="AW15" s="534"/>
      <c r="AX15" s="534"/>
      <c r="AY15" s="203"/>
      <c r="AZ15" s="535"/>
      <c r="BA15" s="535"/>
      <c r="BB15" s="515"/>
      <c r="BC15" s="515"/>
      <c r="BD15" s="515"/>
      <c r="BE15" s="515"/>
      <c r="BF15" s="515"/>
    </row>
    <row r="16" spans="1:59" ht="18" customHeight="1" thickBot="1" x14ac:dyDescent="0.25">
      <c r="C16" s="145"/>
      <c r="D16" s="538"/>
      <c r="E16" s="538"/>
      <c r="F16" s="538"/>
      <c r="G16" s="538"/>
      <c r="H16" s="538"/>
      <c r="I16" s="538"/>
      <c r="J16" s="146"/>
      <c r="K16" s="147"/>
      <c r="L16" s="539"/>
      <c r="M16" s="539"/>
      <c r="N16" s="539"/>
      <c r="O16" s="539"/>
      <c r="P16" s="539"/>
      <c r="Q16" s="539"/>
      <c r="R16" s="539"/>
      <c r="S16" s="539"/>
      <c r="T16" s="539"/>
      <c r="U16" s="539"/>
      <c r="V16" s="539"/>
      <c r="W16" s="539"/>
      <c r="X16" s="539"/>
      <c r="Y16" s="539"/>
      <c r="Z16" s="539"/>
      <c r="AA16" s="148"/>
      <c r="AB16" s="530"/>
      <c r="AC16" s="525"/>
      <c r="AD16" s="532"/>
      <c r="AE16" s="552"/>
      <c r="AF16" s="530"/>
      <c r="AG16" s="525"/>
      <c r="AH16" s="548"/>
      <c r="AI16" s="525"/>
      <c r="AJ16" s="550"/>
      <c r="AK16" s="525"/>
      <c r="AL16" s="145"/>
      <c r="AM16" s="538"/>
      <c r="AN16" s="538"/>
      <c r="AO16" s="538"/>
      <c r="AP16" s="538"/>
      <c r="AQ16" s="538"/>
      <c r="AR16" s="538"/>
      <c r="AS16" s="149"/>
      <c r="AU16" s="405"/>
      <c r="AV16" s="405"/>
      <c r="AW16" s="534"/>
      <c r="AX16" s="534"/>
      <c r="AY16" s="203"/>
      <c r="AZ16" s="535"/>
      <c r="BA16" s="535"/>
      <c r="BB16" s="515"/>
      <c r="BC16" s="515"/>
      <c r="BD16" s="515"/>
      <c r="BE16" s="515"/>
      <c r="BF16" s="515"/>
    </row>
    <row r="17" spans="3:59" ht="33" customHeight="1" thickTop="1" x14ac:dyDescent="0.2">
      <c r="C17" s="140"/>
      <c r="D17" s="541" t="str">
        <f>設定!H8</f>
        <v/>
      </c>
      <c r="E17" s="541"/>
      <c r="F17" s="541"/>
      <c r="G17" s="541"/>
      <c r="H17" s="541"/>
      <c r="I17" s="541"/>
      <c r="J17" s="141"/>
      <c r="K17" s="458"/>
      <c r="L17" s="458"/>
      <c r="M17" s="458"/>
      <c r="N17" s="458"/>
      <c r="O17" s="458"/>
      <c r="P17" s="458"/>
      <c r="Q17" s="458"/>
      <c r="R17" s="458"/>
      <c r="S17" s="458"/>
      <c r="T17" s="458"/>
      <c r="U17" s="458"/>
      <c r="V17" s="458"/>
      <c r="W17" s="458"/>
      <c r="X17" s="458"/>
      <c r="Y17" s="458"/>
      <c r="Z17" s="458"/>
      <c r="AA17" s="542"/>
      <c r="AB17" s="313">
        <f>ROUND(SUMIFS(月別入力!$I:$I,月別入力!$D:$D,$D17,月別入力!$G:$G,AB$10,月別入力!$H:$H,"=[1]構成員"),1)</f>
        <v>0</v>
      </c>
      <c r="AC17" s="314">
        <f>COUNTIFS(設定!$H:$H,"&gt;0",設定!$F:$F,"=[1]構成員",設定!$E:$E,AB$10)</f>
        <v>0</v>
      </c>
      <c r="AD17" s="315">
        <f>ROUND(SUMIFS(月別入力!$I:$I,月別入力!$D:$D,$D17,月別入力!$G:$G,AD$10,月別入力!$G:$G,AE$10,月別入力!$H:$H,"=[1]構成員"),1)</f>
        <v>0</v>
      </c>
      <c r="AE17" s="315">
        <f>COUNTIFS(設定!$H:$H,"&gt;0",設定!$F:$F,"=[1]構成員",設定!$E:$E,AD$10,設定!$E:$E,AE$10)</f>
        <v>0</v>
      </c>
      <c r="AF17" s="315">
        <f>ROUND(SUMIFS(月別入力!$I:$I,月別入力!$D:$D,$D17,月別入力!$G:$G,AF$10,月別入力!$G:$G,AG$10,月別入力!$H:$H,"=[1]構成員"),1)</f>
        <v>0</v>
      </c>
      <c r="AG17" s="315">
        <f>COUNTIFS(設定!$H:$H,"&gt;0",設定!$F:$F,"=[1]構成員",設定!$E:$E,AF$10,設定!$E:$E,AG$10)</f>
        <v>0</v>
      </c>
      <c r="AH17" s="315">
        <f>ROUND(SUMIFS(月別入力!$I:$I,月別入力!$D:$D,$D17,月別入力!$G:$G,AH$10,月別入力!$H:$H,"=[1]構成員"),1)</f>
        <v>0</v>
      </c>
      <c r="AI17" s="315">
        <f>COUNTIFS(設定!$H:$H,"&gt;0",設定!$F:$F,"=[1]構成員",設定!$E:$E,AH$10)</f>
        <v>0</v>
      </c>
      <c r="AJ17" s="316">
        <f>ROUND(SUMIFS(月別入力!$I:$I,月別入力!$D:$D,$D17,月別入力!$H:$H,"=[2]雇用"),1)</f>
        <v>0</v>
      </c>
      <c r="AK17" s="317">
        <f>COUNTIFS(設定!$H:$H,"&gt;0",設定!$F:$F,"=[2]雇用")</f>
        <v>0</v>
      </c>
      <c r="AL17" s="150"/>
      <c r="AM17" s="541" t="str">
        <f>D17</f>
        <v/>
      </c>
      <c r="AN17" s="541"/>
      <c r="AO17" s="541"/>
      <c r="AP17" s="541"/>
      <c r="AQ17" s="541"/>
      <c r="AR17" s="541"/>
      <c r="AS17" s="144"/>
      <c r="AU17" s="492" t="s">
        <v>138</v>
      </c>
      <c r="AV17" s="221" t="s">
        <v>139</v>
      </c>
      <c r="AW17" s="218">
        <f>SUM(AB17,AD17,AF17,AH17)</f>
        <v>0</v>
      </c>
      <c r="AX17" s="218">
        <f>AJ17</f>
        <v>0</v>
      </c>
      <c r="AY17" s="203"/>
      <c r="AZ17" s="493"/>
      <c r="BA17" s="216"/>
      <c r="BB17" s="276"/>
      <c r="BC17" s="276"/>
      <c r="BD17" s="276"/>
      <c r="BE17" s="276"/>
      <c r="BF17" s="276"/>
    </row>
    <row r="18" spans="3:59" ht="33" customHeight="1" x14ac:dyDescent="0.2">
      <c r="C18" s="151"/>
      <c r="D18" s="511" t="str">
        <f>設定!I8</f>
        <v/>
      </c>
      <c r="E18" s="511"/>
      <c r="F18" s="511"/>
      <c r="G18" s="511"/>
      <c r="H18" s="511"/>
      <c r="I18" s="511"/>
      <c r="J18" s="152"/>
      <c r="K18" s="512"/>
      <c r="L18" s="512"/>
      <c r="M18" s="512"/>
      <c r="N18" s="512"/>
      <c r="O18" s="512"/>
      <c r="P18" s="512"/>
      <c r="Q18" s="512"/>
      <c r="R18" s="512"/>
      <c r="S18" s="512"/>
      <c r="T18" s="512"/>
      <c r="U18" s="512"/>
      <c r="V18" s="512"/>
      <c r="W18" s="512"/>
      <c r="X18" s="512"/>
      <c r="Y18" s="512"/>
      <c r="Z18" s="512"/>
      <c r="AA18" s="513"/>
      <c r="AB18" s="318">
        <f>ROUND(SUMIFS(月別入力!$I:$I,月別入力!$D:$D,$D18,月別入力!$G:$G,AB$10,月別入力!$H:$H,"=[1]構成員"),1)</f>
        <v>0</v>
      </c>
      <c r="AC18" s="319">
        <f>COUNTIFS(設定!$I:$I,"&gt;0",設定!$F:$F,"=[1]構成員",設定!$E:$E,AB$10)</f>
        <v>0</v>
      </c>
      <c r="AD18" s="320">
        <f>ROUND(SUMIFS(月別入力!$I:$I,月別入力!$D:$D,$D18,月別入力!$G:$G,AD$10,月別入力!$G:$G,AE$10,月別入力!$H:$H,"=[1]構成員"),1)</f>
        <v>0</v>
      </c>
      <c r="AE18" s="320">
        <f>COUNTIFS(設定!$I:$I,"&gt;0",設定!$F:$F,"=[1]構成員",設定!$E:$E,AD$10,設定!$E:$E,AE$10)</f>
        <v>0</v>
      </c>
      <c r="AF18" s="320">
        <f>ROUND(SUMIFS(月別入力!$I:$I,月別入力!$D:$D,$D18,月別入力!$G:$G,AF$10,月別入力!$G:$G,AG$10,月別入力!$H:$H,"=[1]構成員"),1)</f>
        <v>0</v>
      </c>
      <c r="AG18" s="320">
        <f>COUNTIFS(設定!$I:$I,"&gt;0",設定!$F:$F,"=[1]構成員",設定!$E:$E,AF$10,設定!$E:$E,AG$10)</f>
        <v>0</v>
      </c>
      <c r="AH18" s="320">
        <f>ROUND(SUMIFS(月別入力!$I:$I,月別入力!$D:$D,$D18,月別入力!$G:$G,AH$10,月別入力!$H:$H,"=[1]構成員"),1)</f>
        <v>0</v>
      </c>
      <c r="AI18" s="320">
        <f>COUNTIFS(設定!$I:$I,"&gt;0",設定!$F:$F,"=[1]構成員",設定!$E:$E,AH$10)</f>
        <v>0</v>
      </c>
      <c r="AJ18" s="321">
        <f>ROUND(SUMIFS(月別入力!$I:$I,月別入力!$D:$D,$D18,月別入力!$H:$H,"=[2]雇用"),1)</f>
        <v>0</v>
      </c>
      <c r="AK18" s="322">
        <f>COUNTIFS(設定!$I:$I,"&gt;0",設定!$F:$F,"=[2]雇用")</f>
        <v>0</v>
      </c>
      <c r="AL18" s="153"/>
      <c r="AM18" s="511" t="str">
        <f t="shared" ref="AM18:AM33" si="0">D18</f>
        <v/>
      </c>
      <c r="AN18" s="511"/>
      <c r="AO18" s="511"/>
      <c r="AP18" s="511"/>
      <c r="AQ18" s="511"/>
      <c r="AR18" s="511"/>
      <c r="AS18" s="154"/>
      <c r="AU18" s="492"/>
      <c r="AV18" s="221" t="s">
        <v>140</v>
      </c>
      <c r="AW18" s="218">
        <f t="shared" ref="AW18:AW33" si="1">SUM(AB18,AD18,AF18,AH18)</f>
        <v>0</v>
      </c>
      <c r="AX18" s="218">
        <f t="shared" ref="AX18:AX31" si="2">AJ18</f>
        <v>0</v>
      </c>
      <c r="AY18" s="203"/>
      <c r="AZ18" s="493"/>
      <c r="BA18" s="216"/>
      <c r="BB18" s="276"/>
      <c r="BC18" s="276"/>
      <c r="BD18" s="276"/>
      <c r="BE18" s="276"/>
      <c r="BF18" s="276"/>
    </row>
    <row r="19" spans="3:59" ht="33" customHeight="1" x14ac:dyDescent="0.2">
      <c r="C19" s="151"/>
      <c r="D19" s="511" t="str">
        <f>設定!J8</f>
        <v/>
      </c>
      <c r="E19" s="511"/>
      <c r="F19" s="511"/>
      <c r="G19" s="511"/>
      <c r="H19" s="511"/>
      <c r="I19" s="511"/>
      <c r="J19" s="152"/>
      <c r="K19" s="512"/>
      <c r="L19" s="512"/>
      <c r="M19" s="512"/>
      <c r="N19" s="512"/>
      <c r="O19" s="512"/>
      <c r="P19" s="512"/>
      <c r="Q19" s="512"/>
      <c r="R19" s="512"/>
      <c r="S19" s="512"/>
      <c r="T19" s="512"/>
      <c r="U19" s="512"/>
      <c r="V19" s="512"/>
      <c r="W19" s="512"/>
      <c r="X19" s="512"/>
      <c r="Y19" s="512"/>
      <c r="Z19" s="512"/>
      <c r="AA19" s="513"/>
      <c r="AB19" s="318">
        <f>ROUND(SUMIFS(月別入力!$I:$I,月別入力!$D:$D,$D19,月別入力!$G:$G,AB$10,月別入力!$H:$H,"=[1]構成員"),1)</f>
        <v>0</v>
      </c>
      <c r="AC19" s="319">
        <f>COUNTIFS(設定!$J:$J,"&gt;0",設定!$F:$F,"=[1]構成員",設定!$E:$E,AB$10)</f>
        <v>0</v>
      </c>
      <c r="AD19" s="320">
        <f>ROUND(SUMIFS(月別入力!$I:$I,月別入力!$D:$D,$D19,月別入力!$G:$G,AD$10,月別入力!$G:$G,AE$10,月別入力!$H:$H,"=[1]構成員"),1)</f>
        <v>0</v>
      </c>
      <c r="AE19" s="320">
        <f>COUNTIFS(設定!$J:$J,"&gt;0",設定!$F:$F,"=[1]構成員",設定!$E:$E,AD$10,設定!$E:$E,AE$10)</f>
        <v>0</v>
      </c>
      <c r="AF19" s="320">
        <f>ROUND(SUMIFS(月別入力!$I:$I,月別入力!$D:$D,$D19,月別入力!$G:$G,AF$10,月別入力!$G:$G,AG$10,月別入力!$H:$H,"=[1]構成員"),1)</f>
        <v>0</v>
      </c>
      <c r="AG19" s="320">
        <f>COUNTIFS(設定!$J:$J,"&gt;0",設定!$F:$F,"=[1]構成員",設定!$E:$E,AF$10,設定!$E:$E,AG$10)</f>
        <v>0</v>
      </c>
      <c r="AH19" s="320">
        <f>ROUND(SUMIFS(月別入力!$I:$I,月別入力!$D:$D,$D19,月別入力!$G:$G,AH$10,月別入力!$H:$H,"=[1]構成員"),1)</f>
        <v>0</v>
      </c>
      <c r="AI19" s="320">
        <f>COUNTIFS(設定!$J:$J,"&gt;0",設定!$F:$F,"=[1]構成員",設定!$E:$E,AH$10)</f>
        <v>0</v>
      </c>
      <c r="AJ19" s="321">
        <f>ROUND(SUMIFS(月別入力!$I:$I,月別入力!$D:$D,$D19,月別入力!$H:$H,"=[2]雇用"),1)</f>
        <v>0</v>
      </c>
      <c r="AK19" s="322">
        <f>COUNTIFS(設定!$J:$J,"&gt;0",設定!$F:$F,"=[2]雇用")</f>
        <v>0</v>
      </c>
      <c r="AL19" s="153"/>
      <c r="AM19" s="511" t="str">
        <f t="shared" si="0"/>
        <v/>
      </c>
      <c r="AN19" s="511"/>
      <c r="AO19" s="511"/>
      <c r="AP19" s="511"/>
      <c r="AQ19" s="511"/>
      <c r="AR19" s="511"/>
      <c r="AS19" s="154"/>
      <c r="AU19" s="492"/>
      <c r="AV19" s="221" t="s">
        <v>141</v>
      </c>
      <c r="AW19" s="218">
        <f t="shared" si="1"/>
        <v>0</v>
      </c>
      <c r="AX19" s="218">
        <f t="shared" si="2"/>
        <v>0</v>
      </c>
      <c r="AY19" s="203"/>
      <c r="AZ19" s="493"/>
      <c r="BA19" s="216"/>
      <c r="BB19" s="276"/>
      <c r="BC19" s="276"/>
      <c r="BD19" s="276"/>
      <c r="BE19" s="276"/>
      <c r="BF19" s="276"/>
    </row>
    <row r="20" spans="3:59" ht="33" customHeight="1" x14ac:dyDescent="0.2">
      <c r="C20" s="151"/>
      <c r="D20" s="511" t="str">
        <f>設定!K8</f>
        <v/>
      </c>
      <c r="E20" s="511"/>
      <c r="F20" s="511"/>
      <c r="G20" s="511"/>
      <c r="H20" s="511"/>
      <c r="I20" s="511"/>
      <c r="J20" s="152"/>
      <c r="K20" s="512"/>
      <c r="L20" s="512"/>
      <c r="M20" s="512"/>
      <c r="N20" s="512"/>
      <c r="O20" s="512"/>
      <c r="P20" s="512"/>
      <c r="Q20" s="512"/>
      <c r="R20" s="512"/>
      <c r="S20" s="512"/>
      <c r="T20" s="512"/>
      <c r="U20" s="512"/>
      <c r="V20" s="512"/>
      <c r="W20" s="512"/>
      <c r="X20" s="512"/>
      <c r="Y20" s="512"/>
      <c r="Z20" s="512"/>
      <c r="AA20" s="513"/>
      <c r="AB20" s="318">
        <f>ROUND(SUMIFS(月別入力!$I:$I,月別入力!$D:$D,$D20,月別入力!$G:$G,AB$10,月別入力!$H:$H,"=[1]構成員"),1)</f>
        <v>0</v>
      </c>
      <c r="AC20" s="319">
        <f>COUNTIFS(設定!$K:$K,"&gt;0",設定!$F:$F,"=[1]構成員",設定!$E:$E,AB$10)</f>
        <v>0</v>
      </c>
      <c r="AD20" s="320">
        <f>ROUND(SUMIFS(月別入力!$I:$I,月別入力!$D:$D,$D20,月別入力!$G:$G,AD$10,月別入力!$G:$G,AE$10,月別入力!$H:$H,"=[1]構成員"),1)</f>
        <v>0</v>
      </c>
      <c r="AE20" s="320">
        <f>COUNTIFS(設定!$K:$K,"&gt;0",設定!$F:$F,"=[1]構成員",設定!$E:$E,AD$10,設定!$E:$E,AE$10)</f>
        <v>0</v>
      </c>
      <c r="AF20" s="320">
        <f>ROUND(SUMIFS(月別入力!$I:$I,月別入力!$D:$D,$D20,月別入力!$G:$G,AF$10,月別入力!$G:$G,AG$10,月別入力!$H:$H,"=[1]構成員"),1)</f>
        <v>0</v>
      </c>
      <c r="AG20" s="320">
        <f>COUNTIFS(設定!$K:$K,"&gt;0",設定!$F:$F,"=[1]構成員",設定!$E:$E,AF$10,設定!$E:$E,AG$10)</f>
        <v>0</v>
      </c>
      <c r="AH20" s="320">
        <f>ROUND(SUMIFS(月別入力!$I:$I,月別入力!$D:$D,$D20,月別入力!$G:$G,AH$10,月別入力!$H:$H,"=[1]構成員"),1)</f>
        <v>0</v>
      </c>
      <c r="AI20" s="320">
        <f>COUNTIFS(設定!$K:$K,"&gt;0",設定!$F:$F,"=[1]構成員",設定!$E:$E,AH$10)</f>
        <v>0</v>
      </c>
      <c r="AJ20" s="321">
        <f>ROUND(SUMIFS(月別入力!$I:$I,月別入力!$D:$D,$D20,月別入力!$H:$H,"=[2]雇用"),1)</f>
        <v>0</v>
      </c>
      <c r="AK20" s="322">
        <f>COUNTIFS(設定!$K:$K,"&gt;0",設定!$F:$F,"=[2]雇用")</f>
        <v>0</v>
      </c>
      <c r="AL20" s="153"/>
      <c r="AM20" s="511" t="str">
        <f t="shared" si="0"/>
        <v/>
      </c>
      <c r="AN20" s="511"/>
      <c r="AO20" s="511"/>
      <c r="AP20" s="511"/>
      <c r="AQ20" s="511"/>
      <c r="AR20" s="511"/>
      <c r="AS20" s="154"/>
      <c r="AU20" s="492"/>
      <c r="AV20" s="221" t="s">
        <v>142</v>
      </c>
      <c r="AW20" s="218">
        <f t="shared" si="1"/>
        <v>0</v>
      </c>
      <c r="AX20" s="218">
        <f t="shared" si="2"/>
        <v>0</v>
      </c>
      <c r="AY20" s="203"/>
      <c r="AZ20" s="493"/>
      <c r="BA20" s="216"/>
      <c r="BB20" s="276"/>
      <c r="BC20" s="276"/>
      <c r="BD20" s="276"/>
      <c r="BE20" s="276"/>
      <c r="BF20" s="276"/>
    </row>
    <row r="21" spans="3:59" ht="33" customHeight="1" x14ac:dyDescent="0.2">
      <c r="C21" s="151"/>
      <c r="D21" s="511" t="str">
        <f>設定!L8</f>
        <v/>
      </c>
      <c r="E21" s="511"/>
      <c r="F21" s="511"/>
      <c r="G21" s="511"/>
      <c r="H21" s="511"/>
      <c r="I21" s="511"/>
      <c r="J21" s="15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3"/>
      <c r="AB21" s="318">
        <f>ROUND(SUMIFS(月別入力!$I:$I,月別入力!$D:$D,$D21,月別入力!$G:$G,AB$10,月別入力!$H:$H,"=[1]構成員"),1)</f>
        <v>0</v>
      </c>
      <c r="AC21" s="319">
        <f>COUNTIFS(設定!$L:$L,"&gt;0",設定!$F:$F,"=[1]構成員",設定!$E:$E,AB$10)</f>
        <v>0</v>
      </c>
      <c r="AD21" s="320">
        <f>ROUND(SUMIFS(月別入力!$I:$I,月別入力!$D:$D,$D21,月別入力!$G:$G,AD$10,月別入力!$G:$G,AE$10,月別入力!$H:$H,"=[1]構成員"),1)</f>
        <v>0</v>
      </c>
      <c r="AE21" s="320">
        <f>COUNTIFS(設定!$L:$L,"&gt;0",設定!$F:$F,"=[1]構成員",設定!$E:$E,AD$10,設定!$E:$E,AE$10)</f>
        <v>0</v>
      </c>
      <c r="AF21" s="320">
        <f>ROUND(SUMIFS(月別入力!$I:$I,月別入力!$D:$D,$D21,月別入力!$G:$G,AF$10,月別入力!$G:$G,AG$10,月別入力!$H:$H,"=[1]構成員"),1)</f>
        <v>0</v>
      </c>
      <c r="AG21" s="320">
        <f>COUNTIFS(設定!$L:$L,"&gt;0",設定!$F:$F,"=[1]構成員",設定!$E:$E,AF$10,設定!$E:$E,AG$10)</f>
        <v>0</v>
      </c>
      <c r="AH21" s="320">
        <f>ROUND(SUMIFS(月別入力!$I:$I,月別入力!$D:$D,$D21,月別入力!$G:$G,AH$10,月別入力!$H:$H,"=[1]構成員"),1)</f>
        <v>0</v>
      </c>
      <c r="AI21" s="320">
        <f>COUNTIFS(設定!$L:$L,"&gt;0",設定!$F:$F,"=[1]構成員",設定!$E:$E,AH$10)</f>
        <v>0</v>
      </c>
      <c r="AJ21" s="321">
        <f>ROUND(SUMIFS(月別入力!$I:$I,月別入力!$D:$D,$D21,月別入力!$H:$H,"=[2]雇用"),1)</f>
        <v>0</v>
      </c>
      <c r="AK21" s="322">
        <f>COUNTIFS(設定!$L:$L,"&gt;0",設定!$F:$F,"=[2]雇用")</f>
        <v>0</v>
      </c>
      <c r="AL21" s="153"/>
      <c r="AM21" s="511" t="str">
        <f t="shared" si="0"/>
        <v/>
      </c>
      <c r="AN21" s="511"/>
      <c r="AO21" s="511"/>
      <c r="AP21" s="511"/>
      <c r="AQ21" s="511"/>
      <c r="AR21" s="511"/>
      <c r="AS21" s="154"/>
      <c r="AU21" s="492"/>
      <c r="AV21" s="221" t="s">
        <v>143</v>
      </c>
      <c r="AW21" s="218">
        <f t="shared" si="1"/>
        <v>0</v>
      </c>
      <c r="AX21" s="218">
        <f t="shared" si="2"/>
        <v>0</v>
      </c>
      <c r="AY21" s="203"/>
      <c r="AZ21" s="493"/>
      <c r="BA21" s="216"/>
      <c r="BB21" s="276"/>
      <c r="BC21" s="276"/>
      <c r="BD21" s="276"/>
      <c r="BE21" s="276"/>
      <c r="BF21" s="276"/>
    </row>
    <row r="22" spans="3:59" ht="33" customHeight="1" x14ac:dyDescent="0.2">
      <c r="C22" s="151"/>
      <c r="D22" s="511" t="str">
        <f>設定!M8</f>
        <v/>
      </c>
      <c r="E22" s="511"/>
      <c r="F22" s="511"/>
      <c r="G22" s="511"/>
      <c r="H22" s="511"/>
      <c r="I22" s="511"/>
      <c r="J22" s="152"/>
      <c r="K22" s="512"/>
      <c r="L22" s="512"/>
      <c r="M22" s="512"/>
      <c r="N22" s="512"/>
      <c r="O22" s="512"/>
      <c r="P22" s="512"/>
      <c r="Q22" s="512"/>
      <c r="R22" s="512"/>
      <c r="S22" s="512"/>
      <c r="T22" s="512"/>
      <c r="U22" s="512"/>
      <c r="V22" s="512"/>
      <c r="W22" s="512"/>
      <c r="X22" s="512"/>
      <c r="Y22" s="512"/>
      <c r="Z22" s="512"/>
      <c r="AA22" s="513"/>
      <c r="AB22" s="323">
        <f>ROUND(SUMIFS(月別入力!$I:$I,月別入力!$D:$D,$D22,月別入力!$G:$G,AB$10,月別入力!$H:$H,"=[1]構成員"),1)</f>
        <v>0</v>
      </c>
      <c r="AC22" s="319">
        <f>COUNTIFS(設定!$M:$M,"&gt;0",設定!$F:$F,"=[1]構成員",設定!$E:$E,AB$10)</f>
        <v>0</v>
      </c>
      <c r="AD22" s="320">
        <f>ROUND(SUMIFS(月別入力!$I:$I,月別入力!$D:$D,$D22,月別入力!$G:$G,AD$10,月別入力!$G:$G,AE$10,月別入力!$H:$H,"=[1]構成員"),1)</f>
        <v>0</v>
      </c>
      <c r="AE22" s="320">
        <f>COUNTIFS(設定!$M:$M,"&gt;0",設定!$F:$F,"=[1]構成員",設定!$E:$E,AD$10,設定!$E:$E,AE$10)</f>
        <v>0</v>
      </c>
      <c r="AF22" s="320">
        <f>ROUND(SUMIFS(月別入力!$I:$I,月別入力!$D:$D,$D22,月別入力!$G:$G,AF$10,月別入力!$G:$G,AG$10,月別入力!$H:$H,"=[1]構成員"),1)</f>
        <v>0</v>
      </c>
      <c r="AG22" s="320">
        <f>COUNTIFS(設定!$M:$M,"&gt;0",設定!$F:$F,"=[1]構成員",設定!$E:$E,AF$10,設定!$E:$E,AG$10)</f>
        <v>0</v>
      </c>
      <c r="AH22" s="320">
        <f>ROUND(SUMIFS(月別入力!$I:$I,月別入力!$D:$D,$D22,月別入力!$G:$G,AH$10,月別入力!$H:$H,"=[1]構成員"),1)</f>
        <v>0</v>
      </c>
      <c r="AI22" s="320">
        <f>COUNTIFS(設定!$M:$M,"&gt;0",設定!$F:$F,"=[1]構成員",設定!$E:$E,AH$10)</f>
        <v>0</v>
      </c>
      <c r="AJ22" s="321">
        <f>ROUND(SUMIFS(月別入力!$I:$I,月別入力!$D:$D,$D22,月別入力!$H:$H,"=[2]雇用"),1)</f>
        <v>0</v>
      </c>
      <c r="AK22" s="322">
        <f>COUNTIFS(設定!$M:$M,"&gt;0",設定!$F:$F,"=[2]雇用")</f>
        <v>0</v>
      </c>
      <c r="AL22" s="153"/>
      <c r="AM22" s="511" t="str">
        <f t="shared" si="0"/>
        <v/>
      </c>
      <c r="AN22" s="511"/>
      <c r="AO22" s="511"/>
      <c r="AP22" s="511"/>
      <c r="AQ22" s="511"/>
      <c r="AR22" s="511"/>
      <c r="AS22" s="154"/>
      <c r="AU22" s="492"/>
      <c r="AV22" s="221" t="s">
        <v>144</v>
      </c>
      <c r="AW22" s="218">
        <f t="shared" si="1"/>
        <v>0</v>
      </c>
      <c r="AX22" s="218">
        <f t="shared" si="2"/>
        <v>0</v>
      </c>
      <c r="AY22" s="203"/>
      <c r="AZ22" s="493"/>
      <c r="BA22" s="216"/>
      <c r="BB22" s="276"/>
      <c r="BC22" s="276"/>
      <c r="BD22" s="276"/>
      <c r="BE22" s="276"/>
      <c r="BF22" s="276"/>
    </row>
    <row r="23" spans="3:59" ht="33" customHeight="1" x14ac:dyDescent="0.2">
      <c r="C23" s="151"/>
      <c r="D23" s="511" t="str">
        <f>設定!N8</f>
        <v/>
      </c>
      <c r="E23" s="511"/>
      <c r="F23" s="511"/>
      <c r="G23" s="511"/>
      <c r="H23" s="511"/>
      <c r="I23" s="511"/>
      <c r="J23" s="152"/>
      <c r="K23" s="512"/>
      <c r="L23" s="512"/>
      <c r="M23" s="512"/>
      <c r="N23" s="512"/>
      <c r="O23" s="512"/>
      <c r="P23" s="512"/>
      <c r="Q23" s="512"/>
      <c r="R23" s="512"/>
      <c r="S23" s="512"/>
      <c r="T23" s="512"/>
      <c r="U23" s="512"/>
      <c r="V23" s="512"/>
      <c r="W23" s="512"/>
      <c r="X23" s="512"/>
      <c r="Y23" s="512"/>
      <c r="Z23" s="512"/>
      <c r="AA23" s="513"/>
      <c r="AB23" s="323">
        <f>ROUND(SUMIFS(月別入力!$I:$I,月別入力!$D:$D,$D23,月別入力!$G:$G,AB$10,月別入力!$H:$H,"=[1]構成員"),1)</f>
        <v>0</v>
      </c>
      <c r="AC23" s="319">
        <f>COUNTIFS(設定!$N:$N,"&gt;0",設定!$F:$F,"=[1]構成員",設定!$E:$E,AB$10)</f>
        <v>0</v>
      </c>
      <c r="AD23" s="320">
        <f>ROUND(SUMIFS(月別入力!$I:$I,月別入力!$D:$D,$D23,月別入力!$G:$G,AD$10,月別入力!$G:$G,AE$10,月別入力!$H:$H,"=[1]構成員"),1)</f>
        <v>0</v>
      </c>
      <c r="AE23" s="320">
        <f>COUNTIFS(設定!$N:$N,"&gt;0",設定!$F:$F,"=[1]構成員",設定!$E:$E,AD$10,設定!$E:$E,AE$10)</f>
        <v>0</v>
      </c>
      <c r="AF23" s="320">
        <f>ROUND(SUMIFS(月別入力!$I:$I,月別入力!$D:$D,$D23,月別入力!$G:$G,AF$10,月別入力!$G:$G,AG$10,月別入力!$H:$H,"=[1]構成員"),1)</f>
        <v>0</v>
      </c>
      <c r="AG23" s="320">
        <f>COUNTIFS(設定!$N:$N,"&gt;0",設定!$F:$F,"=[1]構成員",設定!$E:$E,AF$10,設定!$E:$E,AG$10)</f>
        <v>0</v>
      </c>
      <c r="AH23" s="320">
        <f>ROUND(SUMIFS(月別入力!$I:$I,月別入力!$D:$D,$D23,月別入力!$G:$G,AH$10,月別入力!$H:$H,"=[1]構成員"),1)</f>
        <v>0</v>
      </c>
      <c r="AI23" s="320">
        <f>COUNTIFS(設定!$N:$N,"&gt;0",設定!$F:$F,"=[1]構成員",設定!$E:$E,AH$10)</f>
        <v>0</v>
      </c>
      <c r="AJ23" s="321">
        <f>ROUND(SUMIFS(月別入力!$I:$I,月別入力!$D:$D,$D23,月別入力!$H:$H,"=[2]雇用"),1)</f>
        <v>0</v>
      </c>
      <c r="AK23" s="322">
        <f>COUNTIFS(設定!$N:$N,"&gt;0",設定!$F:$F,"=[2]雇用")</f>
        <v>0</v>
      </c>
      <c r="AL23" s="153"/>
      <c r="AM23" s="511" t="str">
        <f t="shared" si="0"/>
        <v/>
      </c>
      <c r="AN23" s="511"/>
      <c r="AO23" s="511"/>
      <c r="AP23" s="511"/>
      <c r="AQ23" s="511"/>
      <c r="AR23" s="511"/>
      <c r="AS23" s="154"/>
      <c r="AU23" s="492"/>
      <c r="AV23" s="221" t="s">
        <v>181</v>
      </c>
      <c r="AW23" s="218">
        <f t="shared" si="1"/>
        <v>0</v>
      </c>
      <c r="AX23" s="218">
        <f t="shared" si="2"/>
        <v>0</v>
      </c>
      <c r="AY23" s="203"/>
      <c r="AZ23" s="219"/>
      <c r="BA23" s="216"/>
      <c r="BB23" s="276"/>
      <c r="BC23" s="276"/>
      <c r="BD23" s="276"/>
      <c r="BE23" s="276"/>
      <c r="BF23" s="276"/>
    </row>
    <row r="24" spans="3:59" ht="33" customHeight="1" x14ac:dyDescent="0.2">
      <c r="C24" s="151"/>
      <c r="D24" s="511" t="str">
        <f>設定!O8</f>
        <v/>
      </c>
      <c r="E24" s="511"/>
      <c r="F24" s="511"/>
      <c r="G24" s="511"/>
      <c r="H24" s="511"/>
      <c r="I24" s="511"/>
      <c r="J24" s="152"/>
      <c r="K24" s="512"/>
      <c r="L24" s="512"/>
      <c r="M24" s="512"/>
      <c r="N24" s="512"/>
      <c r="O24" s="512"/>
      <c r="P24" s="512"/>
      <c r="Q24" s="512"/>
      <c r="R24" s="512"/>
      <c r="S24" s="512"/>
      <c r="T24" s="512"/>
      <c r="U24" s="512"/>
      <c r="V24" s="512"/>
      <c r="W24" s="512"/>
      <c r="X24" s="512"/>
      <c r="Y24" s="512"/>
      <c r="Z24" s="512"/>
      <c r="AA24" s="513"/>
      <c r="AB24" s="318">
        <f>ROUND(SUMIFS(月別入力!$I:$I,月別入力!$D:$D,$D24,月別入力!$G:$G,AB$10,月別入力!$H:$H,"=[1]構成員"),1)</f>
        <v>0</v>
      </c>
      <c r="AC24" s="319">
        <f>COUNTIFS(設定!$O:$O,"&gt;0",設定!$F:$F,"=[1]構成員",設定!$E:$E,AB$10)</f>
        <v>0</v>
      </c>
      <c r="AD24" s="320">
        <f>ROUND(SUMIFS(月別入力!$I:$I,月別入力!$D:$D,$D24,月別入力!$G:$G,AD$10,月別入力!$G:$G,AE$10,月別入力!$H:$H,"=[1]構成員"),1)</f>
        <v>0</v>
      </c>
      <c r="AE24" s="320">
        <f>COUNTIFS(設定!$O:$O,"&gt;0",設定!$F:$F,"=[1]構成員",設定!$E:$E,AD$10,設定!$E:$E,AE$10)</f>
        <v>0</v>
      </c>
      <c r="AF24" s="320">
        <f>ROUND(SUMIFS(月別入力!$I:$I,月別入力!$D:$D,$D24,月別入力!$G:$G,AF$10,月別入力!$G:$G,AG$10,月別入力!$H:$H,"=[1]構成員"),1)</f>
        <v>0</v>
      </c>
      <c r="AG24" s="320">
        <f>COUNTIFS(設定!$O:$O,"&gt;0",設定!$F:$F,"=[1]構成員",設定!$E:$E,AF$10,設定!$E:$E,AG$10)</f>
        <v>0</v>
      </c>
      <c r="AH24" s="320">
        <f>ROUND(SUMIFS(月別入力!$I:$I,月別入力!$D:$D,$D24,月別入力!$G:$G,AH$10,月別入力!$H:$H,"=[1]構成員"),1)</f>
        <v>0</v>
      </c>
      <c r="AI24" s="320">
        <f>COUNTIFS(設定!$O:$O,"&gt;0",設定!$F:$F,"=[1]構成員",設定!$E:$E,AH$10)</f>
        <v>0</v>
      </c>
      <c r="AJ24" s="321">
        <f>ROUND(SUMIFS(月別入力!$I:$I,月別入力!$D:$D,$D24,月別入力!$H:$H,"=[2]雇用"),1)</f>
        <v>0</v>
      </c>
      <c r="AK24" s="322">
        <f>COUNTIFS(設定!$O:$O,"&gt;0",設定!$F:$F,"=[2]雇用")</f>
        <v>0</v>
      </c>
      <c r="AL24" s="153"/>
      <c r="AM24" s="511" t="str">
        <f t="shared" si="0"/>
        <v/>
      </c>
      <c r="AN24" s="511"/>
      <c r="AO24" s="511"/>
      <c r="AP24" s="511"/>
      <c r="AQ24" s="511"/>
      <c r="AR24" s="511"/>
      <c r="AS24" s="154"/>
      <c r="AU24" s="492"/>
      <c r="AV24" s="221" t="s">
        <v>146</v>
      </c>
      <c r="AW24" s="218">
        <f t="shared" si="1"/>
        <v>0</v>
      </c>
      <c r="AX24" s="218">
        <f t="shared" si="2"/>
        <v>0</v>
      </c>
      <c r="AY24" s="203"/>
      <c r="AZ24" s="203"/>
      <c r="BA24" s="203"/>
      <c r="BB24" s="203"/>
      <c r="BC24" s="203"/>
      <c r="BD24" s="203"/>
      <c r="BE24" s="203"/>
      <c r="BF24" s="203"/>
    </row>
    <row r="25" spans="3:59" ht="33" customHeight="1" x14ac:dyDescent="0.2">
      <c r="C25" s="151"/>
      <c r="D25" s="511" t="str">
        <f>設定!P8</f>
        <v/>
      </c>
      <c r="E25" s="511"/>
      <c r="F25" s="511"/>
      <c r="G25" s="511"/>
      <c r="H25" s="511"/>
      <c r="I25" s="511"/>
      <c r="J25" s="15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Y25" s="512"/>
      <c r="Z25" s="512"/>
      <c r="AA25" s="513"/>
      <c r="AB25" s="318">
        <f>ROUND(SUMIFS(月別入力!$I:$I,月別入力!$D:$D,$D25,月別入力!$G:$G,AB$10,月別入力!$H:$H,"=[1]構成員"),1)</f>
        <v>0</v>
      </c>
      <c r="AC25" s="319">
        <f>COUNTIFS(設定!$P:$P,"&gt;0",設定!$F:$F,"=[1]構成員",設定!$E:$E,AB$10)</f>
        <v>0</v>
      </c>
      <c r="AD25" s="320">
        <f>ROUND(SUMIFS(月別入力!$I:$I,月別入力!$D:$D,$D25,月別入力!$G:$G,AD$10,月別入力!$G:$G,AE$10,月別入力!$H:$H,"=[1]構成員"),1)</f>
        <v>0</v>
      </c>
      <c r="AE25" s="320">
        <f>COUNTIFS(設定!$P:$P,"&gt;0",設定!$F:$F,"=[1]構成員",設定!$E:$E,AD$10,設定!$E:$E,AE$10)</f>
        <v>0</v>
      </c>
      <c r="AF25" s="320">
        <f>ROUND(SUMIFS(月別入力!$I:$I,月別入力!$D:$D,$D25,月別入力!$G:$G,AF$10,月別入力!$G:$G,AG$10,月別入力!$H:$H,"=[1]構成員"),1)</f>
        <v>0</v>
      </c>
      <c r="AG25" s="320">
        <f>COUNTIFS(設定!$P:$P,"&gt;0",設定!$F:$F,"=[1]構成員",設定!$E:$E,AF$10,設定!$E:$E,AG$10)</f>
        <v>0</v>
      </c>
      <c r="AH25" s="320">
        <f>ROUND(SUMIFS(月別入力!$I:$I,月別入力!$D:$D,$D25,月別入力!$G:$G,AH$10,月別入力!$H:$H,"=[1]構成員"),1)</f>
        <v>0</v>
      </c>
      <c r="AI25" s="320">
        <f>COUNTIFS(設定!$P:$P,"&gt;0",設定!$F:$F,"=[1]構成員",設定!$E:$E,AH$10)</f>
        <v>0</v>
      </c>
      <c r="AJ25" s="321">
        <f>ROUND(SUMIFS(月別入力!$I:$I,月別入力!$D:$D,$D25,月別入力!$H:$H,"=[2]雇用"),1)</f>
        <v>0</v>
      </c>
      <c r="AK25" s="322">
        <f>COUNTIFS(設定!$P:$P,"&gt;0",設定!$F:$F,"=[2]雇用")</f>
        <v>0</v>
      </c>
      <c r="AL25" s="153"/>
      <c r="AM25" s="511" t="str">
        <f t="shared" si="0"/>
        <v/>
      </c>
      <c r="AN25" s="511"/>
      <c r="AO25" s="511"/>
      <c r="AP25" s="511"/>
      <c r="AQ25" s="511"/>
      <c r="AR25" s="511"/>
      <c r="AS25" s="154"/>
      <c r="AU25" s="492"/>
      <c r="AV25" s="221" t="s">
        <v>147</v>
      </c>
      <c r="AW25" s="218">
        <f t="shared" si="1"/>
        <v>0</v>
      </c>
      <c r="AX25" s="218">
        <f t="shared" si="2"/>
        <v>0</v>
      </c>
      <c r="AY25" s="203"/>
      <c r="AZ25" s="211"/>
      <c r="BA25" s="211"/>
      <c r="BB25" s="211"/>
      <c r="BC25" s="211"/>
      <c r="BD25" s="211"/>
      <c r="BE25" s="211"/>
      <c r="BF25" s="211"/>
    </row>
    <row r="26" spans="3:59" ht="33" customHeight="1" x14ac:dyDescent="0.2">
      <c r="C26" s="151"/>
      <c r="D26" s="511" t="str">
        <f>設定!Q8</f>
        <v/>
      </c>
      <c r="E26" s="511"/>
      <c r="F26" s="511"/>
      <c r="G26" s="511"/>
      <c r="H26" s="511"/>
      <c r="I26" s="511"/>
      <c r="J26" s="152"/>
      <c r="K26" s="512"/>
      <c r="L26" s="512"/>
      <c r="M26" s="512"/>
      <c r="N26" s="512"/>
      <c r="O26" s="512"/>
      <c r="P26" s="512"/>
      <c r="Q26" s="512"/>
      <c r="R26" s="512"/>
      <c r="S26" s="512"/>
      <c r="T26" s="512"/>
      <c r="U26" s="512"/>
      <c r="V26" s="512"/>
      <c r="W26" s="512"/>
      <c r="X26" s="512"/>
      <c r="Y26" s="512"/>
      <c r="Z26" s="512"/>
      <c r="AA26" s="513"/>
      <c r="AB26" s="318">
        <f>ROUND(SUMIFS(月別入力!$I:$I,月別入力!$D:$D,$D26,月別入力!$G:$G,AB$10,月別入力!$H:$H,"=[1]構成員"),1)</f>
        <v>0</v>
      </c>
      <c r="AC26" s="319">
        <f>COUNTIFS(設定!$Q:$Q,"&gt;0",設定!$F:$F,"=[1]構成員",設定!$E:$E,AB$10)</f>
        <v>0</v>
      </c>
      <c r="AD26" s="320">
        <f>ROUND(SUMIFS(月別入力!$I:$I,月別入力!$D:$D,$D26,月別入力!$G:$G,AD$10,月別入力!$G:$G,AE$10,月別入力!$H:$H,"=[1]構成員"),1)</f>
        <v>0</v>
      </c>
      <c r="AE26" s="320">
        <f>COUNTIFS(設定!$Q:$Q,"&gt;0",設定!$F:$F,"=[1]構成員",設定!$E:$E,AD$10,設定!$E:$E,AE$10)</f>
        <v>0</v>
      </c>
      <c r="AF26" s="320">
        <f>ROUND(SUMIFS(月別入力!$I:$I,月別入力!$D:$D,$D26,月別入力!$G:$G,AF$10,月別入力!$G:$G,AG$10,月別入力!$H:$H,"=[1]構成員"),1)</f>
        <v>0</v>
      </c>
      <c r="AG26" s="320">
        <f>COUNTIFS(設定!$Q:$Q,"&gt;0",設定!$F:$F,"=[1]構成員",設定!$E:$E,AF$10,設定!$E:$E,AG$10)</f>
        <v>0</v>
      </c>
      <c r="AH26" s="320">
        <f>ROUND(SUMIFS(月別入力!$I:$I,月別入力!$D:$D,$D26,月別入力!$G:$G,AH$10,月別入力!$H:$H,"=[1]構成員"),1)</f>
        <v>0</v>
      </c>
      <c r="AI26" s="320">
        <f>COUNTIFS(設定!$Q:$Q,"&gt;0",設定!$F:$F,"=[1]構成員",設定!$E:$E,AH$10)</f>
        <v>0</v>
      </c>
      <c r="AJ26" s="321">
        <f>ROUND(SUMIFS(月別入力!$I:$I,月別入力!$D:$D,$D26,月別入力!$H:$H,"=[2]雇用"),1)</f>
        <v>0</v>
      </c>
      <c r="AK26" s="322">
        <f>COUNTIFS(設定!$Q:$Q,"&gt;0",設定!$F:$F,"=[2]雇用")</f>
        <v>0</v>
      </c>
      <c r="AL26" s="153"/>
      <c r="AM26" s="511" t="str">
        <f t="shared" si="0"/>
        <v/>
      </c>
      <c r="AN26" s="511"/>
      <c r="AO26" s="511"/>
      <c r="AP26" s="511"/>
      <c r="AQ26" s="511"/>
      <c r="AR26" s="511"/>
      <c r="AS26" s="154"/>
      <c r="AU26" s="492"/>
      <c r="AV26" s="221" t="s">
        <v>148</v>
      </c>
      <c r="AW26" s="218">
        <f t="shared" si="1"/>
        <v>0</v>
      </c>
      <c r="AX26" s="218">
        <f t="shared" si="2"/>
        <v>0</v>
      </c>
      <c r="AY26" s="203"/>
      <c r="AZ26" s="211"/>
      <c r="BA26" s="211"/>
      <c r="BB26" s="211"/>
      <c r="BC26" s="211"/>
      <c r="BD26" s="211"/>
      <c r="BE26" s="211"/>
      <c r="BF26" s="211"/>
    </row>
    <row r="27" spans="3:59" ht="33" customHeight="1" x14ac:dyDescent="0.2">
      <c r="C27" s="151"/>
      <c r="D27" s="511" t="str">
        <f>設定!R8</f>
        <v/>
      </c>
      <c r="E27" s="511"/>
      <c r="F27" s="511"/>
      <c r="G27" s="511"/>
      <c r="H27" s="511"/>
      <c r="I27" s="511"/>
      <c r="J27" s="152"/>
      <c r="K27" s="512"/>
      <c r="L27" s="512"/>
      <c r="M27" s="512"/>
      <c r="N27" s="512"/>
      <c r="O27" s="512"/>
      <c r="P27" s="512"/>
      <c r="Q27" s="512"/>
      <c r="R27" s="512"/>
      <c r="S27" s="512"/>
      <c r="T27" s="512"/>
      <c r="U27" s="512"/>
      <c r="V27" s="512"/>
      <c r="W27" s="512"/>
      <c r="X27" s="512"/>
      <c r="Y27" s="512"/>
      <c r="Z27" s="512"/>
      <c r="AA27" s="513"/>
      <c r="AB27" s="318">
        <f>ROUND(SUMIFS(月別入力!$I:$I,月別入力!$D:$D,$D27,月別入力!$G:$G,AB$10,月別入力!$H:$H,"=[1]構成員"),1)</f>
        <v>0</v>
      </c>
      <c r="AC27" s="319">
        <f>COUNTIFS(設定!$R:$R,"&gt;0",設定!$F:$F,"=[1]構成員",設定!$E:$E,AB$10)</f>
        <v>0</v>
      </c>
      <c r="AD27" s="320">
        <f>ROUND(SUMIFS(月別入力!$I:$I,月別入力!$D:$D,$D27,月別入力!$G:$G,AD$10,月別入力!$G:$G,AE$10,月別入力!$H:$H,"=[1]構成員"),1)</f>
        <v>0</v>
      </c>
      <c r="AE27" s="320">
        <f>COUNTIFS(設定!$R:$R,"&gt;0",設定!$F:$F,"=[1]構成員",設定!$E:$E,AD$10,設定!$E:$E,AE$10)</f>
        <v>0</v>
      </c>
      <c r="AF27" s="320">
        <f>ROUND(SUMIFS(月別入力!$I:$I,月別入力!$D:$D,$D27,月別入力!$G:$G,AF$10,月別入力!$G:$G,AG$10,月別入力!$H:$H,"=[1]構成員"),1)</f>
        <v>0</v>
      </c>
      <c r="AG27" s="320">
        <f>COUNTIFS(設定!$R:$R,"&gt;0",設定!$F:$F,"=[1]構成員",設定!$E:$E,AF$10,設定!$E:$E,AG$10)</f>
        <v>0</v>
      </c>
      <c r="AH27" s="320">
        <f>ROUND(SUMIFS(月別入力!$I:$I,月別入力!$D:$D,$D27,月別入力!$G:$G,AH$10,月別入力!$H:$H,"=[1]構成員"),1)</f>
        <v>0</v>
      </c>
      <c r="AI27" s="320">
        <f>COUNTIFS(設定!$R:$R,"&gt;0",設定!$F:$F,"=[1]構成員",設定!$E:$E,AH$10)</f>
        <v>0</v>
      </c>
      <c r="AJ27" s="321">
        <f>ROUND(SUMIFS(月別入力!$I:$I,月別入力!$D:$D,$D27,月別入力!$H:$H,"=[2]雇用"),1)</f>
        <v>0</v>
      </c>
      <c r="AK27" s="322">
        <f>COUNTIFS(設定!$R:$R,"&gt;0",設定!$F:$F,"=[2]雇用")</f>
        <v>0</v>
      </c>
      <c r="AL27" s="153"/>
      <c r="AM27" s="511" t="str">
        <f t="shared" si="0"/>
        <v/>
      </c>
      <c r="AN27" s="511"/>
      <c r="AO27" s="511"/>
      <c r="AP27" s="511"/>
      <c r="AQ27" s="511"/>
      <c r="AR27" s="511"/>
      <c r="AS27" s="154"/>
      <c r="AU27" s="492"/>
      <c r="AV27" s="221" t="s">
        <v>149</v>
      </c>
      <c r="AW27" s="218">
        <f t="shared" si="1"/>
        <v>0</v>
      </c>
      <c r="AX27" s="218">
        <f t="shared" si="2"/>
        <v>0</v>
      </c>
      <c r="AY27" s="203"/>
      <c r="AZ27" s="211"/>
      <c r="BA27" s="211"/>
      <c r="BB27" s="203"/>
      <c r="BC27" s="211"/>
      <c r="BD27" s="211"/>
      <c r="BE27" s="211"/>
      <c r="BF27" s="211"/>
    </row>
    <row r="28" spans="3:59" ht="33" customHeight="1" x14ac:dyDescent="0.2">
      <c r="C28" s="151"/>
      <c r="D28" s="511" t="str">
        <f>設定!S8</f>
        <v/>
      </c>
      <c r="E28" s="511"/>
      <c r="F28" s="511"/>
      <c r="G28" s="511"/>
      <c r="H28" s="511"/>
      <c r="I28" s="511"/>
      <c r="J28" s="152"/>
      <c r="K28" s="512"/>
      <c r="L28" s="512"/>
      <c r="M28" s="512"/>
      <c r="N28" s="512"/>
      <c r="O28" s="512"/>
      <c r="P28" s="512"/>
      <c r="Q28" s="512"/>
      <c r="R28" s="512"/>
      <c r="S28" s="512"/>
      <c r="T28" s="512"/>
      <c r="U28" s="512"/>
      <c r="V28" s="512"/>
      <c r="W28" s="512"/>
      <c r="X28" s="512"/>
      <c r="Y28" s="512"/>
      <c r="Z28" s="512"/>
      <c r="AA28" s="513"/>
      <c r="AB28" s="318">
        <f>ROUND(SUMIFS(月別入力!$I:$I,月別入力!$D:$D,$D28,月別入力!$G:$G,AB$10,月別入力!$H:$H,"=[1]構成員"),1)</f>
        <v>0</v>
      </c>
      <c r="AC28" s="319">
        <f>COUNTIFS(設定!$S:$S,"&gt;0",設定!$F:$F,"=[1]構成員",設定!$E:$E,AB$10)</f>
        <v>0</v>
      </c>
      <c r="AD28" s="320">
        <f>ROUND(SUMIFS(月別入力!$I:$I,月別入力!$D:$D,$D28,月別入力!$G:$G,AD$10,月別入力!$G:$G,AE$10,月別入力!$H:$H,"=[1]構成員"),1)</f>
        <v>0</v>
      </c>
      <c r="AE28" s="320">
        <f>COUNTIFS(設定!$S:$S,"&gt;0",設定!$F:$F,"=[1]構成員",設定!$E:$E,AD$10,設定!$E:$E,AE$10)</f>
        <v>0</v>
      </c>
      <c r="AF28" s="320">
        <f>ROUND(SUMIFS(月別入力!$I:$I,月別入力!$D:$D,$D28,月別入力!$G:$G,AF$10,月別入力!$G:$G,AG$10,月別入力!$H:$H,"=[1]構成員"),1)</f>
        <v>0</v>
      </c>
      <c r="AG28" s="320">
        <f>COUNTIFS(設定!$S:$S,"&gt;0",設定!$F:$F,"=[1]構成員",設定!$E:$E,AF$10,設定!$E:$E,AG$10)</f>
        <v>0</v>
      </c>
      <c r="AH28" s="320">
        <f>ROUND(SUMIFS(月別入力!$I:$I,月別入力!$D:$D,$D28,月別入力!$G:$G,AH$10,月別入力!$H:$H,"=[1]構成員"),1)</f>
        <v>0</v>
      </c>
      <c r="AI28" s="320">
        <f>COUNTIFS(設定!$S:$S,"&gt;0",設定!$F:$F,"=[1]構成員",設定!$E:$E,AH$10)</f>
        <v>0</v>
      </c>
      <c r="AJ28" s="321">
        <f>ROUND(SUMIFS(月別入力!$I:$I,月別入力!$D:$D,$D28,月別入力!$H:$H,"=[2]雇用"),1)</f>
        <v>0</v>
      </c>
      <c r="AK28" s="322">
        <f>COUNTIFS(設定!$S:$S,"&gt;0",設定!$F:$F,"=[2]雇用")</f>
        <v>0</v>
      </c>
      <c r="AL28" s="153"/>
      <c r="AM28" s="511" t="str">
        <f t="shared" si="0"/>
        <v/>
      </c>
      <c r="AN28" s="511"/>
      <c r="AO28" s="511"/>
      <c r="AP28" s="511"/>
      <c r="AQ28" s="511"/>
      <c r="AR28" s="511"/>
      <c r="AS28" s="154"/>
      <c r="AU28" s="492"/>
      <c r="AV28" s="221" t="s">
        <v>150</v>
      </c>
      <c r="AW28" s="218">
        <f t="shared" si="1"/>
        <v>0</v>
      </c>
      <c r="AX28" s="218">
        <f t="shared" si="2"/>
        <v>0</v>
      </c>
      <c r="AY28" s="203"/>
      <c r="AZ28" s="211"/>
      <c r="BA28" s="211"/>
      <c r="BB28" s="203"/>
      <c r="BC28" s="211"/>
      <c r="BD28" s="211"/>
      <c r="BE28" s="211"/>
      <c r="BF28" s="211"/>
    </row>
    <row r="29" spans="3:59" ht="33" customHeight="1" x14ac:dyDescent="0.2">
      <c r="C29" s="151"/>
      <c r="D29" s="511" t="str">
        <f>設定!T8</f>
        <v/>
      </c>
      <c r="E29" s="511"/>
      <c r="F29" s="511"/>
      <c r="G29" s="511"/>
      <c r="H29" s="511"/>
      <c r="I29" s="511"/>
      <c r="J29" s="152"/>
      <c r="K29" s="512"/>
      <c r="L29" s="512"/>
      <c r="M29" s="512"/>
      <c r="N29" s="512"/>
      <c r="O29" s="512"/>
      <c r="P29" s="512"/>
      <c r="Q29" s="512"/>
      <c r="R29" s="512"/>
      <c r="S29" s="512"/>
      <c r="T29" s="512"/>
      <c r="U29" s="512"/>
      <c r="V29" s="512"/>
      <c r="W29" s="512"/>
      <c r="X29" s="512"/>
      <c r="Y29" s="512"/>
      <c r="Z29" s="512"/>
      <c r="AA29" s="513"/>
      <c r="AB29" s="323">
        <f>ROUND(SUMIFS(月別入力!$I:$I,月別入力!$D:$D,$D29,月別入力!$G:$G,AB$10,月別入力!$H:$H,"=[1]構成員"),1)</f>
        <v>0</v>
      </c>
      <c r="AC29" s="319">
        <f>COUNTIFS(設定!$T:$T,"&gt;0",設定!$F:$F,"=[1]構成員",設定!$E:$E,AB$10)</f>
        <v>0</v>
      </c>
      <c r="AD29" s="320">
        <f>ROUND(SUMIFS(月別入力!$I:$I,月別入力!$D:$D,$D29,月別入力!$G:$G,AD$10,月別入力!$G:$G,AE$10,月別入力!$H:$H,"=[1]構成員"),1)</f>
        <v>0</v>
      </c>
      <c r="AE29" s="320">
        <f>COUNTIFS(設定!$T:$T,"&gt;0",設定!$F:$F,"=[1]構成員",設定!$E:$E,AD$10,設定!$E:$E,AE$10)</f>
        <v>0</v>
      </c>
      <c r="AF29" s="320">
        <f>ROUND(SUMIFS(月別入力!$I:$I,月別入力!$D:$D,$D29,月別入力!$G:$G,AF$10,月別入力!$G:$G,AG$10,月別入力!$H:$H,"=[1]構成員"),1)</f>
        <v>0</v>
      </c>
      <c r="AG29" s="320">
        <f>COUNTIFS(設定!$T:$T,"&gt;0",設定!$F:$F,"=[1]構成員",設定!$E:$E,AF$10,設定!$E:$E,AG$10)</f>
        <v>0</v>
      </c>
      <c r="AH29" s="320">
        <f>ROUND(SUMIFS(月別入力!$I:$I,月別入力!$D:$D,$D29,月別入力!$G:$G,AH$10,月別入力!$H:$H,"=[1]構成員"),1)</f>
        <v>0</v>
      </c>
      <c r="AI29" s="320">
        <f>COUNTIFS(設定!$T:$T,"&gt;0",設定!$F:$F,"=[1]構成員",設定!$E:$E,AH$10)</f>
        <v>0</v>
      </c>
      <c r="AJ29" s="321">
        <f>ROUND(SUMIFS(月別入力!$I:$I,月別入力!$D:$D,$D29,月別入力!$H:$H,"=[2]雇用"),1)</f>
        <v>0</v>
      </c>
      <c r="AK29" s="322">
        <f>COUNTIFS(設定!$T:$T,"&gt;0",設定!$F:$F,"=[2]雇用")</f>
        <v>0</v>
      </c>
      <c r="AL29" s="153"/>
      <c r="AM29" s="511" t="str">
        <f t="shared" si="0"/>
        <v/>
      </c>
      <c r="AN29" s="511"/>
      <c r="AO29" s="511"/>
      <c r="AP29" s="511"/>
      <c r="AQ29" s="511"/>
      <c r="AR29" s="511"/>
      <c r="AS29" s="154"/>
      <c r="AU29" s="492"/>
      <c r="AV29" s="221" t="s">
        <v>182</v>
      </c>
      <c r="AW29" s="218">
        <f>SUM(AB29,AD29,AF29,AH29)</f>
        <v>0</v>
      </c>
      <c r="AX29" s="218">
        <f t="shared" si="2"/>
        <v>0</v>
      </c>
      <c r="AY29" s="203"/>
      <c r="AZ29" s="211"/>
      <c r="BA29" s="211"/>
      <c r="BB29" s="203"/>
      <c r="BC29" s="211"/>
      <c r="BD29" s="211"/>
      <c r="BE29" s="211"/>
      <c r="BF29" s="211"/>
    </row>
    <row r="30" spans="3:59" s="181" customFormat="1" ht="33" customHeight="1" x14ac:dyDescent="0.2">
      <c r="C30" s="182"/>
      <c r="D30" s="511" t="str">
        <f>設定!U8</f>
        <v/>
      </c>
      <c r="E30" s="511"/>
      <c r="F30" s="511"/>
      <c r="G30" s="511"/>
      <c r="H30" s="511"/>
      <c r="I30" s="511"/>
      <c r="J30" s="183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3"/>
      <c r="AB30" s="323">
        <f>ROUND(SUMIFS(月別入力!$I:$I,月別入力!$D:$D,$D30,月別入力!$G:$G,AB$10,月別入力!$H:$H,"=[1]構成員"),1)</f>
        <v>0</v>
      </c>
      <c r="AC30" s="319">
        <f>COUNTIFS(設定!$U:$U,"&gt;0",設定!$F:$F,"=[1]構成員",設定!$E:$E,AB$10)</f>
        <v>0</v>
      </c>
      <c r="AD30" s="320">
        <f>ROUND(SUMIFS(月別入力!$I:$I,月別入力!$D:$D,$D30,月別入力!$G:$G,AD$10,月別入力!$G:$G,AE$10,月別入力!$H:$H,"=[1]構成員"),1)</f>
        <v>0</v>
      </c>
      <c r="AE30" s="320">
        <f>COUNTIFS(設定!$U:$U,"&gt;0",設定!$F:$F,"=[1]構成員",設定!$E:$E,AD$10,設定!$E:$E,AE$10)</f>
        <v>0</v>
      </c>
      <c r="AF30" s="320">
        <f>ROUND(SUMIFS(月別入力!$I:$I,月別入力!$D:$D,$D30,月別入力!$G:$G,AF$10,月別入力!$G:$G,AG$10,月別入力!$H:$H,"=[1]構成員"),1)</f>
        <v>0</v>
      </c>
      <c r="AG30" s="320">
        <f>COUNTIFS(設定!$U:$U,"&gt;0",設定!$F:$F,"=[1]構成員",設定!$E:$E,AF$10,設定!$E:$E,AG$10)</f>
        <v>0</v>
      </c>
      <c r="AH30" s="320">
        <f>ROUND(SUMIFS(月別入力!$I:$I,月別入力!$D:$D,$D30,月別入力!$G:$G,AH$10,月別入力!$H:$H,"=[1]構成員"),1)</f>
        <v>0</v>
      </c>
      <c r="AI30" s="320">
        <f>COUNTIFS(設定!$U:$U,"&gt;0",設定!$F:$F,"=[1]構成員",設定!$E:$E,AH$10)</f>
        <v>0</v>
      </c>
      <c r="AJ30" s="321">
        <f>ROUND(SUMIFS(月別入力!$I:$I,月別入力!$D:$D,$D30,月別入力!$H:$H,"=[2]雇用"),1)</f>
        <v>0</v>
      </c>
      <c r="AK30" s="322">
        <f>COUNTIFS(設定!$U:$U,"&gt;0",設定!$F:$F,"=[2]雇用")</f>
        <v>0</v>
      </c>
      <c r="AL30" s="184"/>
      <c r="AM30" s="511" t="str">
        <f t="shared" ref="AM30:AM32" si="3">D30</f>
        <v/>
      </c>
      <c r="AN30" s="511"/>
      <c r="AO30" s="511"/>
      <c r="AP30" s="511"/>
      <c r="AQ30" s="511"/>
      <c r="AR30" s="511"/>
      <c r="AS30" s="185"/>
      <c r="AU30" s="492"/>
      <c r="AV30" s="221" t="s">
        <v>152</v>
      </c>
      <c r="AW30" s="218">
        <f t="shared" si="1"/>
        <v>0</v>
      </c>
      <c r="AX30" s="218">
        <f t="shared" si="2"/>
        <v>0</v>
      </c>
      <c r="AY30" s="203"/>
      <c r="AZ30" s="211"/>
      <c r="BA30" s="211"/>
      <c r="BB30" s="203"/>
      <c r="BC30" s="211"/>
      <c r="BD30" s="211"/>
      <c r="BE30" s="211"/>
      <c r="BF30" s="211"/>
      <c r="BG30" s="177"/>
    </row>
    <row r="31" spans="3:59" s="181" customFormat="1" ht="33" customHeight="1" thickBot="1" x14ac:dyDescent="0.25">
      <c r="C31" s="182"/>
      <c r="D31" s="511" t="str">
        <f>設定!V8</f>
        <v/>
      </c>
      <c r="E31" s="511"/>
      <c r="F31" s="511"/>
      <c r="G31" s="511"/>
      <c r="H31" s="511"/>
      <c r="I31" s="511"/>
      <c r="J31" s="183"/>
      <c r="K31" s="512"/>
      <c r="L31" s="512"/>
      <c r="M31" s="512"/>
      <c r="N31" s="512"/>
      <c r="O31" s="512"/>
      <c r="P31" s="512"/>
      <c r="Q31" s="512"/>
      <c r="R31" s="512"/>
      <c r="S31" s="512"/>
      <c r="T31" s="512"/>
      <c r="U31" s="512"/>
      <c r="V31" s="512"/>
      <c r="W31" s="512"/>
      <c r="X31" s="512"/>
      <c r="Y31" s="512"/>
      <c r="Z31" s="512"/>
      <c r="AA31" s="513"/>
      <c r="AB31" s="323">
        <f>ROUND(SUMIFS(月別入力!$I:$I,月別入力!$D:$D,$D31,月別入力!$G:$G,AB$10,月別入力!$H:$H,"=[1]構成員"),1)</f>
        <v>0</v>
      </c>
      <c r="AC31" s="319">
        <f>COUNTIFS(設定!$V:$V,"&gt;0",設定!$F:$F,"=[1]構成員",設定!$E:$E,AB$10)</f>
        <v>0</v>
      </c>
      <c r="AD31" s="320">
        <f>ROUND(SUMIFS(月別入力!$I:$I,月別入力!$D:$D,$D31,月別入力!$G:$G,AD$10,月別入力!$G:$G,AE$10,月別入力!$H:$H,"=[1]構成員"),1)</f>
        <v>0</v>
      </c>
      <c r="AE31" s="320">
        <f>COUNTIFS(設定!$V:$V,"&gt;0",設定!$F:$F,"=[1]構成員",設定!$E:$E,AD$10,設定!$E:$E,AE$10)</f>
        <v>0</v>
      </c>
      <c r="AF31" s="320">
        <f>ROUND(SUMIFS(月別入力!$I:$I,月別入力!$D:$D,$D31,月別入力!$G:$G,AF$10,月別入力!$G:$G,AG$10,月別入力!$H:$H,"=[1]構成員"),1)</f>
        <v>0</v>
      </c>
      <c r="AG31" s="320">
        <f>COUNTIFS(設定!$V:$V,"&gt;0",設定!$F:$F,"=[1]構成員",設定!$E:$E,AF$10,設定!$E:$E,AG$10)</f>
        <v>0</v>
      </c>
      <c r="AH31" s="320">
        <f>ROUND(SUMIFS(月別入力!$I:$I,月別入力!$D:$D,$D31,月別入力!$G:$G,AH$10,月別入力!$H:$H,"=[1]構成員"),1)</f>
        <v>0</v>
      </c>
      <c r="AI31" s="320">
        <f>COUNTIFS(設定!$V:$V,"&gt;0",設定!$F:$F,"=[1]構成員",設定!$E:$E,AH$10)</f>
        <v>0</v>
      </c>
      <c r="AJ31" s="321">
        <f>ROUND(SUMIFS(月別入力!$I:$I,月別入力!$D:$D,$D31,月別入力!$H:$H,"=[2]雇用"),1)</f>
        <v>0</v>
      </c>
      <c r="AK31" s="322">
        <f>COUNTIFS(設定!$V:$V,"&gt;0",設定!$F:$F,"=[2]雇用")</f>
        <v>0</v>
      </c>
      <c r="AL31" s="184"/>
      <c r="AM31" s="511" t="str">
        <f t="shared" si="3"/>
        <v/>
      </c>
      <c r="AN31" s="511"/>
      <c r="AO31" s="511"/>
      <c r="AP31" s="511"/>
      <c r="AQ31" s="511"/>
      <c r="AR31" s="511"/>
      <c r="AS31" s="185"/>
      <c r="AU31" s="492"/>
      <c r="AV31" s="221" t="s">
        <v>153</v>
      </c>
      <c r="AW31" s="218">
        <f t="shared" si="1"/>
        <v>0</v>
      </c>
      <c r="AX31" s="218">
        <f t="shared" si="2"/>
        <v>0</v>
      </c>
      <c r="AY31" s="203"/>
      <c r="AZ31" s="211"/>
      <c r="BA31" s="211"/>
      <c r="BB31" s="203"/>
      <c r="BC31" s="211"/>
      <c r="BD31" s="211"/>
      <c r="BE31" s="211"/>
      <c r="BF31" s="211"/>
      <c r="BG31" s="177"/>
    </row>
    <row r="32" spans="3:59" s="181" customFormat="1" ht="33" customHeight="1" thickTop="1" thickBot="1" x14ac:dyDescent="0.25">
      <c r="C32" s="186"/>
      <c r="D32" s="555" t="str">
        <f>設定!W8</f>
        <v/>
      </c>
      <c r="E32" s="555"/>
      <c r="F32" s="555"/>
      <c r="G32" s="555"/>
      <c r="H32" s="555"/>
      <c r="I32" s="555"/>
      <c r="J32" s="187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556"/>
      <c r="AB32" s="329">
        <f>ROUND(SUMIFS(月別入力!$I:$I,月別入力!$D:$D,$D32,月別入力!$G:$G,AB$10,月別入力!$H:$H,"=[1]構成員"),1)</f>
        <v>0</v>
      </c>
      <c r="AC32" s="330">
        <f>COUNTIFS(設定!$W:$W,"&gt;0",設定!$F:$F,"=[1]構成員",設定!$E:$E,AB$10)</f>
        <v>0</v>
      </c>
      <c r="AD32" s="331">
        <f>ROUND(SUMIFS(月別入力!$I:$I,月別入力!$D:$D,$D32,月別入力!$G:$G,AD$10,月別入力!$G:$G,AE$10,月別入力!$H:$H,"=[1]構成員"),1)</f>
        <v>0</v>
      </c>
      <c r="AE32" s="331">
        <f>COUNTIFS(設定!$W:$W,"&gt;0",設定!$F:$F,"=[1]構成員",設定!$E:$E,AD$10,設定!$E:$E,AE$10)</f>
        <v>0</v>
      </c>
      <c r="AF32" s="331">
        <f>ROUND(SUMIFS(月別入力!$I:$I,月別入力!$D:$D,$D32,月別入力!$G:$G,AF$10,月別入力!$G:$G,AG$10,月別入力!$H:$H,"=[1]構成員"),1)</f>
        <v>0</v>
      </c>
      <c r="AG32" s="331">
        <f>COUNTIFS(設定!$W:$W,"&gt;0",設定!$F:$F,"=[1]構成員",設定!$E:$E,AF$10,設定!$E:$E,AG$10)</f>
        <v>0</v>
      </c>
      <c r="AH32" s="331">
        <f>ROUND(SUMIFS(月別入力!$I:$I,月別入力!$D:$D,$D32,月別入力!$G:$G,AH$10,月別入力!$H:$H,"=[1]構成員"),1)</f>
        <v>0</v>
      </c>
      <c r="AI32" s="331">
        <f>COUNTIFS(設定!$W:$W,"&gt;0",設定!$F:$F,"=[1]構成員",設定!$E:$E,AH$10)</f>
        <v>0</v>
      </c>
      <c r="AJ32" s="198"/>
      <c r="AK32" s="199"/>
      <c r="AL32" s="188"/>
      <c r="AM32" s="555" t="str">
        <f t="shared" si="3"/>
        <v/>
      </c>
      <c r="AN32" s="555"/>
      <c r="AO32" s="555"/>
      <c r="AP32" s="555"/>
      <c r="AQ32" s="555"/>
      <c r="AR32" s="555"/>
      <c r="AS32" s="189"/>
      <c r="AU32" s="399"/>
      <c r="AV32" s="221" t="s">
        <v>154</v>
      </c>
      <c r="AW32" s="218">
        <f>SUM(AB32,AD32,AF32,AH32)</f>
        <v>0</v>
      </c>
      <c r="AX32" s="232"/>
      <c r="AY32" s="203"/>
      <c r="AZ32" s="211"/>
      <c r="BA32" s="211"/>
      <c r="BB32" s="203"/>
      <c r="BC32" s="211"/>
      <c r="BD32" s="211"/>
      <c r="BE32" s="211"/>
      <c r="BF32" s="211"/>
      <c r="BG32" s="177"/>
    </row>
    <row r="33" spans="1:59" ht="33" customHeight="1" thickTop="1" thickBot="1" x14ac:dyDescent="0.25">
      <c r="C33" s="190"/>
      <c r="D33" s="553" t="str">
        <f>設定!X8</f>
        <v/>
      </c>
      <c r="E33" s="553"/>
      <c r="F33" s="553"/>
      <c r="G33" s="553"/>
      <c r="H33" s="553"/>
      <c r="I33" s="553"/>
      <c r="J33" s="191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  <c r="AA33" s="554"/>
      <c r="AB33" s="324">
        <f>ROUND(SUMIFS(月別入力!$I:$I,月別入力!$D:$D,$D33,月別入力!$G:$G,AB$10,月別入力!$H:$H,"=[1]構成員"),1)</f>
        <v>0</v>
      </c>
      <c r="AC33" s="325">
        <f>COUNTIFS(設定!$X:$X,"&gt;0",設定!$F:$F,"=[1]構成員",設定!$E:$E,AB$10)</f>
        <v>0</v>
      </c>
      <c r="AD33" s="326">
        <f>ROUND(SUMIFS(月別入力!$I:$I,月別入力!$D:$D,$D33,月別入力!$G:$G,AD$10,月別入力!$G:$G,AE$10,月別入力!$H:$H,"=[1]構成員"),1)</f>
        <v>0</v>
      </c>
      <c r="AE33" s="326">
        <f>COUNTIFS(設定!$X:$X,"&gt;0",設定!$F:$F,"=[1]構成員",設定!$E:$E,AD$10,設定!$E:$E,AE$10)</f>
        <v>0</v>
      </c>
      <c r="AF33" s="326">
        <f>ROUND(SUMIFS(月別入力!$I:$I,月別入力!$D:$D,$D33,月別入力!$G:$G,AF$10,月別入力!$G:$G,AG$10,月別入力!$H:$H,"=[1]構成員"),1)</f>
        <v>0</v>
      </c>
      <c r="AG33" s="326">
        <f>COUNTIFS(設定!$X:$X,"&gt;0",設定!$F:$F,"=[1]構成員",設定!$E:$E,AF$10,設定!$E:$E,AG$10)</f>
        <v>0</v>
      </c>
      <c r="AH33" s="326">
        <f>ROUND(SUMIFS(月別入力!$I:$I,月別入力!$D:$D,$D33,月別入力!$G:$G,AH$10,月別入力!$H:$H,"=[1]構成員"),1)</f>
        <v>0</v>
      </c>
      <c r="AI33" s="326">
        <f>COUNTIFS(設定!$X:$X,"&gt;0",設定!$F:$F,"=[1]構成員",設定!$E:$E,AH$10)</f>
        <v>0</v>
      </c>
      <c r="AJ33" s="327">
        <f>ROUND(SUMIFS(月別入力!$I:$I,月別入力!$D:$D,$D33,月別入力!$H:$H,"=[2]雇用"),1)</f>
        <v>0</v>
      </c>
      <c r="AK33" s="328">
        <f>COUNTIFS(設定!$X:$X,"&gt;0",設定!$F:$F,"=[2]雇用")</f>
        <v>0</v>
      </c>
      <c r="AL33" s="192"/>
      <c r="AM33" s="553" t="str">
        <f t="shared" si="0"/>
        <v/>
      </c>
      <c r="AN33" s="553"/>
      <c r="AO33" s="553"/>
      <c r="AP33" s="553"/>
      <c r="AQ33" s="553"/>
      <c r="AR33" s="553"/>
      <c r="AS33" s="193"/>
      <c r="AU33" s="394" t="s">
        <v>156</v>
      </c>
      <c r="AV33" s="398"/>
      <c r="AW33" s="218">
        <f t="shared" si="1"/>
        <v>0</v>
      </c>
      <c r="AX33" s="218">
        <f>AJ33</f>
        <v>0</v>
      </c>
      <c r="AY33" s="203"/>
      <c r="AZ33" s="212" t="s">
        <v>155</v>
      </c>
      <c r="BA33" s="238"/>
      <c r="BB33" s="238"/>
      <c r="BC33" s="211"/>
      <c r="BD33" s="211"/>
      <c r="BE33" s="211"/>
      <c r="BF33" s="211"/>
    </row>
    <row r="34" spans="1:59" s="158" customFormat="1" ht="30" customHeight="1" thickBot="1" x14ac:dyDescent="0.25">
      <c r="C34" s="155" t="s">
        <v>51</v>
      </c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7"/>
      <c r="AU34" s="394" t="s">
        <v>183</v>
      </c>
      <c r="AV34" s="398"/>
      <c r="AW34" s="218">
        <f>SUBTOTAL(109,AW17:AW32)</f>
        <v>0</v>
      </c>
      <c r="AX34" s="218">
        <f>SUBTOTAL(109,AX17:AX32)</f>
        <v>0</v>
      </c>
      <c r="AY34" s="203"/>
      <c r="AZ34" s="277" t="s">
        <v>157</v>
      </c>
      <c r="BA34" s="238"/>
      <c r="BB34" s="238"/>
      <c r="BC34" s="211"/>
      <c r="BD34" s="211"/>
      <c r="BE34" s="211"/>
      <c r="BF34" s="211"/>
      <c r="BG34"/>
    </row>
    <row r="35" spans="1:59" s="158" customFormat="1" ht="30" customHeight="1" thickTop="1" thickBot="1" x14ac:dyDescent="0.25">
      <c r="AK35" s="157"/>
      <c r="AL35" s="157"/>
      <c r="AM35" s="157"/>
      <c r="AN35" s="157"/>
      <c r="AO35" s="157"/>
      <c r="AQ35" s="157"/>
      <c r="AS35" s="157"/>
      <c r="AU35" s="387" t="s">
        <v>158</v>
      </c>
      <c r="AV35" s="394"/>
      <c r="AW35" s="218">
        <f>SUM(AW33:AW34)</f>
        <v>0</v>
      </c>
      <c r="AX35" s="218">
        <f>SUM(AX33:AX34)</f>
        <v>0</v>
      </c>
      <c r="AY35" s="203"/>
      <c r="AZ35" s="278"/>
      <c r="BA35" s="238"/>
      <c r="BB35" s="238"/>
      <c r="BC35" s="211"/>
      <c r="BD35" s="211"/>
      <c r="BE35" s="211"/>
      <c r="BF35" s="211"/>
      <c r="BG35"/>
    </row>
    <row r="36" spans="1:59" customFormat="1" ht="14.25" customHeight="1" thickTop="1" x14ac:dyDescent="0.2">
      <c r="A36" s="202"/>
      <c r="B36" s="210" t="s">
        <v>187</v>
      </c>
      <c r="C36" s="202"/>
      <c r="D36" s="202"/>
      <c r="E36" s="203"/>
      <c r="F36" s="202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U36" s="211"/>
      <c r="AV36" s="203"/>
      <c r="AW36" s="204"/>
      <c r="AX36" s="211"/>
      <c r="AY36" s="238"/>
      <c r="AZ36" s="238"/>
      <c r="BA36" s="238"/>
      <c r="BB36" s="238"/>
      <c r="BC36" s="238"/>
      <c r="BD36" s="238"/>
      <c r="BE36" s="238"/>
      <c r="BF36" s="238"/>
    </row>
    <row r="37" spans="1:59" customFormat="1" ht="14.25" customHeight="1" x14ac:dyDescent="0.2">
      <c r="A37" s="203"/>
      <c r="B37" s="280"/>
      <c r="C37" s="270" t="s">
        <v>188</v>
      </c>
      <c r="D37" s="202"/>
      <c r="E37" s="203"/>
      <c r="F37" s="281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81"/>
      <c r="AC37" s="281"/>
      <c r="AD37" s="281"/>
      <c r="AE37" s="281"/>
      <c r="AF37" s="281"/>
      <c r="AG37" s="281"/>
      <c r="AH37" s="281"/>
      <c r="AI37" s="281"/>
      <c r="AJ37" s="281"/>
      <c r="AK37" s="281"/>
      <c r="AL37" s="281"/>
      <c r="AU37" s="211"/>
      <c r="AV37" s="203"/>
      <c r="AW37" s="204"/>
      <c r="AX37" s="211"/>
      <c r="AY37" s="238"/>
      <c r="AZ37" s="238"/>
      <c r="BA37" s="238"/>
      <c r="BB37" s="238"/>
      <c r="BC37" s="238"/>
      <c r="BD37" s="238"/>
      <c r="BE37" s="238"/>
      <c r="BF37" s="238"/>
    </row>
    <row r="38" spans="1:59" customFormat="1" ht="14.25" customHeight="1" thickBot="1" x14ac:dyDescent="0.25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82"/>
      <c r="Y38" s="203"/>
      <c r="Z38" s="203"/>
      <c r="AA38" s="203"/>
      <c r="AB38" s="203"/>
      <c r="AC38" s="203"/>
      <c r="AD38" s="211"/>
      <c r="AE38" s="211"/>
      <c r="AF38" s="211"/>
      <c r="AG38" s="211"/>
      <c r="AH38" s="211"/>
      <c r="AI38" s="211"/>
      <c r="AJ38" s="211"/>
      <c r="AK38" s="211"/>
      <c r="AL38" s="211"/>
      <c r="AU38" s="279" t="s">
        <v>159</v>
      </c>
      <c r="AV38" s="203"/>
      <c r="AW38" s="204"/>
      <c r="AX38" s="211"/>
      <c r="AY38" s="238"/>
      <c r="AZ38" s="238"/>
      <c r="BA38" s="238"/>
      <c r="BB38" s="238"/>
      <c r="BC38" s="238"/>
      <c r="BD38" s="238"/>
      <c r="BE38" s="238"/>
      <c r="BF38" s="238"/>
    </row>
    <row r="39" spans="1:59" customFormat="1" ht="30" customHeight="1" thickBot="1" x14ac:dyDescent="0.25">
      <c r="A39" s="203"/>
      <c r="B39" s="203"/>
      <c r="C39" s="494" t="s">
        <v>174</v>
      </c>
      <c r="D39" s="495"/>
      <c r="E39" s="496"/>
      <c r="F39" s="497" t="s">
        <v>175</v>
      </c>
      <c r="G39" s="498"/>
      <c r="H39" s="498"/>
      <c r="I39" s="498"/>
      <c r="J39" s="498"/>
      <c r="K39" s="498"/>
      <c r="L39" s="499"/>
      <c r="M39" s="500" t="s">
        <v>189</v>
      </c>
      <c r="N39" s="498"/>
      <c r="O39" s="498"/>
      <c r="P39" s="501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83"/>
      <c r="AC39" s="284"/>
      <c r="AD39" s="211"/>
      <c r="AE39" s="211"/>
      <c r="AF39" s="211"/>
      <c r="AG39" s="211"/>
      <c r="AH39" s="211"/>
      <c r="AI39" s="211"/>
      <c r="AJ39" s="211"/>
      <c r="AK39" s="211"/>
      <c r="AL39" s="211"/>
      <c r="AU39" s="379"/>
      <c r="AV39" s="379"/>
      <c r="AW39" s="516" t="s">
        <v>184</v>
      </c>
      <c r="AX39" s="517"/>
      <c r="AY39" s="517"/>
      <c r="AZ39" s="517"/>
      <c r="BA39" s="518"/>
      <c r="BB39" s="389" t="s">
        <v>134</v>
      </c>
      <c r="BC39" s="203"/>
      <c r="BD39" s="203"/>
      <c r="BE39" s="203"/>
      <c r="BF39" s="203"/>
    </row>
    <row r="40" spans="1:59" customFormat="1" ht="38.25" customHeight="1" thickTop="1" thickBot="1" x14ac:dyDescent="0.25">
      <c r="A40" s="203"/>
      <c r="B40" s="203"/>
      <c r="C40" s="502" t="s">
        <v>99</v>
      </c>
      <c r="D40" s="503"/>
      <c r="E40" s="504"/>
      <c r="F40" s="505"/>
      <c r="G40" s="506"/>
      <c r="H40" s="506"/>
      <c r="I40" s="506"/>
      <c r="J40" s="506"/>
      <c r="K40" s="506"/>
      <c r="L40" s="507"/>
      <c r="M40" s="508"/>
      <c r="N40" s="509"/>
      <c r="O40" s="509"/>
      <c r="P40" s="510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85"/>
      <c r="AC40" s="286"/>
      <c r="AD40" s="211"/>
      <c r="AE40" s="211"/>
      <c r="AF40" s="211"/>
      <c r="AG40" s="211"/>
      <c r="AH40" s="211"/>
      <c r="AI40" s="211"/>
      <c r="AJ40" s="211"/>
      <c r="AK40" s="211"/>
      <c r="AL40" s="211"/>
      <c r="AU40" s="379"/>
      <c r="AV40" s="379"/>
      <c r="AW40" s="519"/>
      <c r="AX40" s="520"/>
      <c r="AY40" s="520"/>
      <c r="AZ40" s="520"/>
      <c r="BA40" s="521"/>
      <c r="BB40" s="390"/>
      <c r="BC40" s="203"/>
      <c r="BD40" s="203"/>
      <c r="BE40" s="203"/>
      <c r="BF40" s="203"/>
    </row>
    <row r="41" spans="1:59" customFormat="1" ht="30" customHeight="1" x14ac:dyDescent="0.2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11"/>
      <c r="AE41" s="211"/>
      <c r="AF41" s="211"/>
      <c r="AG41" s="211"/>
      <c r="AH41" s="211"/>
      <c r="AI41" s="211"/>
      <c r="AJ41" s="211"/>
      <c r="AK41" s="211"/>
      <c r="AL41" s="211"/>
      <c r="AU41" s="379"/>
      <c r="AV41" s="379"/>
      <c r="AW41" s="522" t="s">
        <v>164</v>
      </c>
      <c r="AX41" s="522" t="s">
        <v>185</v>
      </c>
      <c r="AY41" s="522" t="s">
        <v>186</v>
      </c>
      <c r="AZ41" s="522" t="s">
        <v>167</v>
      </c>
      <c r="BA41" s="522" t="s">
        <v>136</v>
      </c>
      <c r="BB41" s="390"/>
      <c r="BC41" s="203"/>
      <c r="BD41" s="203"/>
      <c r="BE41" s="203"/>
      <c r="BF41" s="203"/>
    </row>
    <row r="42" spans="1:59" customFormat="1" ht="30" customHeight="1" x14ac:dyDescent="0.2">
      <c r="AU42" s="379"/>
      <c r="AV42" s="379"/>
      <c r="AW42" s="523"/>
      <c r="AX42" s="523"/>
      <c r="AY42" s="523"/>
      <c r="AZ42" s="523"/>
      <c r="BA42" s="523"/>
      <c r="BB42" s="390"/>
      <c r="BC42" s="203"/>
      <c r="BD42" s="203"/>
      <c r="BE42" s="203"/>
      <c r="BF42" s="203"/>
    </row>
    <row r="43" spans="1:59" ht="30" customHeight="1" x14ac:dyDescent="0.2">
      <c r="Y43" s="142"/>
      <c r="Z43" s="142"/>
      <c r="AA43" s="142"/>
      <c r="AC43" s="159"/>
      <c r="AD43" s="159"/>
      <c r="AE43" s="160"/>
      <c r="AF43" s="160"/>
      <c r="AG43" s="161"/>
      <c r="AH43" s="161"/>
      <c r="AI43" s="161"/>
      <c r="AJ43" s="159"/>
      <c r="AK43" s="159"/>
      <c r="AL43" s="159"/>
      <c r="AM43" s="162"/>
      <c r="AN43" s="162"/>
      <c r="AO43" s="163"/>
      <c r="AU43" s="364" t="s">
        <v>168</v>
      </c>
      <c r="AV43" s="242" t="s">
        <v>169</v>
      </c>
      <c r="AW43" s="243">
        <f>SUBTOTAL(109,AB17:AB32)</f>
        <v>0</v>
      </c>
      <c r="AX43" s="243">
        <f>SUBTOTAL(109,AD17:AD32)</f>
        <v>0</v>
      </c>
      <c r="AY43" s="243">
        <f>SUBTOTAL(109,AF17:AF32)</f>
        <v>0</v>
      </c>
      <c r="AZ43" s="243">
        <f>SUBTOTAL(109,AH17:AH32)</f>
        <v>0</v>
      </c>
      <c r="BA43" s="243">
        <f t="shared" ref="BA43:BA48" si="4">SUM(AW43:AZ43)</f>
        <v>0</v>
      </c>
      <c r="BB43" s="243">
        <f>AX34</f>
        <v>0</v>
      </c>
      <c r="BC43" s="203"/>
      <c r="BD43" s="203"/>
      <c r="BE43" s="203"/>
      <c r="BF43" s="203"/>
    </row>
    <row r="44" spans="1:59" ht="30" customHeight="1" x14ac:dyDescent="0.2">
      <c r="AA44" s="164"/>
      <c r="AU44" s="364"/>
      <c r="AV44" s="244" t="s">
        <v>170</v>
      </c>
      <c r="AW44" s="243">
        <f>SUM(AB33)</f>
        <v>0</v>
      </c>
      <c r="AX44" s="243">
        <f>SUM(AD33)</f>
        <v>0</v>
      </c>
      <c r="AY44" s="243">
        <f>SUM(AF33)</f>
        <v>0</v>
      </c>
      <c r="AZ44" s="243">
        <f>SUM(AH33)</f>
        <v>0</v>
      </c>
      <c r="BA44" s="243">
        <f>SUM(AW44:AZ44)</f>
        <v>0</v>
      </c>
      <c r="BB44" s="243">
        <f>AJ33</f>
        <v>0</v>
      </c>
      <c r="BC44" s="203"/>
      <c r="BD44" s="203"/>
      <c r="BE44" s="203"/>
      <c r="BF44" s="203"/>
    </row>
    <row r="45" spans="1:59" ht="30" customHeight="1" x14ac:dyDescent="0.2">
      <c r="AU45" s="364"/>
      <c r="AV45" s="244" t="s">
        <v>136</v>
      </c>
      <c r="AW45" s="243">
        <f>SUM(AW43:AW44)</f>
        <v>0</v>
      </c>
      <c r="AX45" s="243">
        <f>SUM(AX43:AX44)</f>
        <v>0</v>
      </c>
      <c r="AY45" s="243">
        <f>SUM(AY43:AY44)</f>
        <v>0</v>
      </c>
      <c r="AZ45" s="243">
        <f>SUM(AZ43:AZ44)</f>
        <v>0</v>
      </c>
      <c r="BA45" s="243">
        <f t="shared" si="4"/>
        <v>0</v>
      </c>
      <c r="BB45" s="243">
        <f>SUM(BB43:BB44)</f>
        <v>0</v>
      </c>
      <c r="BC45" s="203"/>
      <c r="BD45" s="203"/>
      <c r="BE45" s="203"/>
      <c r="BF45" s="203"/>
    </row>
    <row r="46" spans="1:59" ht="30" customHeight="1" x14ac:dyDescent="0.2">
      <c r="AU46" s="364" t="s">
        <v>171</v>
      </c>
      <c r="AV46" s="242" t="s">
        <v>169</v>
      </c>
      <c r="AW46" s="252">
        <f>ROUND(AW43*$AZ$35,)</f>
        <v>0</v>
      </c>
      <c r="AX46" s="252">
        <f>ROUND(AX43*$AZ$35*0.9,)</f>
        <v>0</v>
      </c>
      <c r="AY46" s="252">
        <f>ROUND(AY43*$AZ$35*0.8,)</f>
        <v>0</v>
      </c>
      <c r="AZ46" s="252">
        <f>ROUND(AZ43*$AZ$35*0.7,)</f>
        <v>0</v>
      </c>
      <c r="BA46" s="252">
        <f>ROUND(SUM(AW46:AZ46),0)</f>
        <v>0</v>
      </c>
      <c r="BB46" s="252" t="str">
        <f>IF($BB$45&gt;0,ROUND($F$40*$M$40%*BB43/$BB$45,),"")</f>
        <v/>
      </c>
      <c r="BC46" s="203"/>
      <c r="BD46" s="203"/>
      <c r="BE46" s="203"/>
      <c r="BF46" s="203"/>
    </row>
    <row r="47" spans="1:59" ht="30" customHeight="1" x14ac:dyDescent="0.2">
      <c r="AU47" s="364"/>
      <c r="AV47" s="244" t="s">
        <v>170</v>
      </c>
      <c r="AW47" s="252">
        <f>ROUND(AW44*$AZ$35,)</f>
        <v>0</v>
      </c>
      <c r="AX47" s="252">
        <f>ROUND(AX44*$AZ$35*0.9,)</f>
        <v>0</v>
      </c>
      <c r="AY47" s="252">
        <f>ROUND(AY44*$AZ$35*0.8,)</f>
        <v>0</v>
      </c>
      <c r="AZ47" s="252">
        <f>ROUND(AZ44*$AZ$35*0.7,)</f>
        <v>0</v>
      </c>
      <c r="BA47" s="252">
        <f>ROUND(SUM(AW47:AZ47),0)</f>
        <v>0</v>
      </c>
      <c r="BB47" s="252" t="str">
        <f>IF($BB$45&gt;0,ROUND($F$40*$M$40%*BB44/$BB$45,),"")</f>
        <v/>
      </c>
      <c r="BC47" s="203"/>
      <c r="BD47" s="203"/>
      <c r="BE47" s="203"/>
      <c r="BF47" s="203"/>
    </row>
    <row r="48" spans="1:59" ht="30" customHeight="1" x14ac:dyDescent="0.2">
      <c r="AU48" s="364"/>
      <c r="AV48" s="244" t="s">
        <v>136</v>
      </c>
      <c r="AW48" s="252">
        <f>ROUND(SUM(AW46:AW47),0)</f>
        <v>0</v>
      </c>
      <c r="AX48" s="252">
        <f>ROUND(SUM(AX46:AX47),0)</f>
        <v>0</v>
      </c>
      <c r="AY48" s="252">
        <f>ROUND(SUM(AY46:AY47),0)</f>
        <v>0</v>
      </c>
      <c r="AZ48" s="252">
        <f>ROUND(SUM(AZ46:AZ47),0)</f>
        <v>0</v>
      </c>
      <c r="BA48" s="252">
        <f t="shared" si="4"/>
        <v>0</v>
      </c>
      <c r="BB48" s="252">
        <f>SUM(BB46:BB47)</f>
        <v>0</v>
      </c>
      <c r="BC48" s="203"/>
      <c r="BD48" s="203"/>
      <c r="BE48" s="203"/>
      <c r="BF48" s="203"/>
    </row>
  </sheetData>
  <sheetProtection formatCells="0" formatColumns="0" formatRows="0" insertColumns="0" insertRows="0" insertHyperlinks="0" deleteColumns="0" deleteRows="0" selectLockedCells="1" sort="0"/>
  <mergeCells count="103">
    <mergeCell ref="D26:I26"/>
    <mergeCell ref="K26:AA26"/>
    <mergeCell ref="AM26:AR26"/>
    <mergeCell ref="D27:I27"/>
    <mergeCell ref="K27:AA27"/>
    <mergeCell ref="AM27:AR27"/>
    <mergeCell ref="D33:I33"/>
    <mergeCell ref="K33:AA33"/>
    <mergeCell ref="AM33:AR33"/>
    <mergeCell ref="D28:I28"/>
    <mergeCell ref="K28:AA28"/>
    <mergeCell ref="AM28:AR28"/>
    <mergeCell ref="D29:I29"/>
    <mergeCell ref="K29:AA29"/>
    <mergeCell ref="AM29:AR29"/>
    <mergeCell ref="D30:I30"/>
    <mergeCell ref="K30:AA30"/>
    <mergeCell ref="AM30:AR30"/>
    <mergeCell ref="D31:I31"/>
    <mergeCell ref="K31:AA31"/>
    <mergeCell ref="AM31:AR31"/>
    <mergeCell ref="D32:I32"/>
    <mergeCell ref="K32:AA32"/>
    <mergeCell ref="AM32:AR32"/>
    <mergeCell ref="D23:I23"/>
    <mergeCell ref="K23:AA23"/>
    <mergeCell ref="AM23:AR23"/>
    <mergeCell ref="D24:I24"/>
    <mergeCell ref="K24:AA24"/>
    <mergeCell ref="AM24:AR24"/>
    <mergeCell ref="D25:I25"/>
    <mergeCell ref="K25:AA25"/>
    <mergeCell ref="AM25:AR25"/>
    <mergeCell ref="D11:I16"/>
    <mergeCell ref="L11:Z16"/>
    <mergeCell ref="AB11:AI12"/>
    <mergeCell ref="AM17:AR17"/>
    <mergeCell ref="D18:I18"/>
    <mergeCell ref="K18:AA18"/>
    <mergeCell ref="AM18:AR18"/>
    <mergeCell ref="D19:I19"/>
    <mergeCell ref="K19:AA19"/>
    <mergeCell ref="AM19:AR19"/>
    <mergeCell ref="D17:I17"/>
    <mergeCell ref="K17:AA17"/>
    <mergeCell ref="AM11:AR16"/>
    <mergeCell ref="AB13:AC14"/>
    <mergeCell ref="AD13:AE14"/>
    <mergeCell ref="AF13:AG14"/>
    <mergeCell ref="AH13:AI14"/>
    <mergeCell ref="AJ13:AK14"/>
    <mergeCell ref="AH15:AH16"/>
    <mergeCell ref="AI15:AI16"/>
    <mergeCell ref="AJ15:AJ16"/>
    <mergeCell ref="AK15:AK16"/>
    <mergeCell ref="AE15:AE16"/>
    <mergeCell ref="AF15:AF16"/>
    <mergeCell ref="AG15:AG16"/>
    <mergeCell ref="AJ11:AK12"/>
    <mergeCell ref="AB15:AB16"/>
    <mergeCell ref="AC15:AC16"/>
    <mergeCell ref="AD15:AD16"/>
    <mergeCell ref="AU13:AV16"/>
    <mergeCell ref="AW13:AW16"/>
    <mergeCell ref="AX13:AX16"/>
    <mergeCell ref="AZ13:BA16"/>
    <mergeCell ref="BB13:BF14"/>
    <mergeCell ref="BB15:BB16"/>
    <mergeCell ref="BC15:BC16"/>
    <mergeCell ref="BD15:BD16"/>
    <mergeCell ref="BE15:BE16"/>
    <mergeCell ref="BF15:BF16"/>
    <mergeCell ref="AW39:BA40"/>
    <mergeCell ref="BB39:BB42"/>
    <mergeCell ref="AW41:AW42"/>
    <mergeCell ref="AX41:AX42"/>
    <mergeCell ref="AY41:AY42"/>
    <mergeCell ref="AZ41:AZ42"/>
    <mergeCell ref="BA41:BA42"/>
    <mergeCell ref="AU17:AU32"/>
    <mergeCell ref="AZ17:AZ19"/>
    <mergeCell ref="AZ20:AZ22"/>
    <mergeCell ref="AU33:AV33"/>
    <mergeCell ref="AU34:AV34"/>
    <mergeCell ref="AU43:AU45"/>
    <mergeCell ref="AU46:AU48"/>
    <mergeCell ref="C39:E39"/>
    <mergeCell ref="F39:L39"/>
    <mergeCell ref="M39:P39"/>
    <mergeCell ref="C40:E40"/>
    <mergeCell ref="F40:L40"/>
    <mergeCell ref="M40:P40"/>
    <mergeCell ref="AU35:AV35"/>
    <mergeCell ref="AU39:AV42"/>
    <mergeCell ref="D20:I20"/>
    <mergeCell ref="K20:AA20"/>
    <mergeCell ref="AM20:AR20"/>
    <mergeCell ref="D21:I21"/>
    <mergeCell ref="K21:AA21"/>
    <mergeCell ref="AM21:AR21"/>
    <mergeCell ref="D22:I22"/>
    <mergeCell ref="K22:AA22"/>
    <mergeCell ref="AM22:AR22"/>
  </mergeCells>
  <phoneticPr fontId="2"/>
  <dataValidations count="2">
    <dataValidation type="whole" operator="greaterThan" allowBlank="1" showInputMessage="1" showErrorMessage="1" error="0より大きい数値を整数で入力してください。" sqref="AZ35 F40:L40" xr:uid="{29F370AF-C1F2-4720-9020-8B81CFF47ABA}">
      <formula1>0</formula1>
    </dataValidation>
    <dataValidation type="custom" allowBlank="1" showInputMessage="1" showErrorMessage="1" error="0.001~100の範囲で小数点第３位までの数値を入力してください。" sqref="M40:P40" xr:uid="{A62E7B2F-89F4-497D-A6C4-B2F64C618F09}">
      <formula1>AND(AND(M40*1000=INT(M40*1000)),(M40&gt;0),(M40&lt;=100))</formula1>
    </dataValidation>
  </dataValidations>
  <pageMargins left="0.59055118110236227" right="0.59055118110236227" top="0.59055118110236227" bottom="0.59055118110236227" header="0" footer="0.19685039370078741"/>
  <pageSetup paperSize="8" scale="45" orientation="landscape" cellComments="asDisplayed" r:id="rId1"/>
  <headerFooter alignWithMargins="0">
    <oddFooter>&amp;R&amp;"ＭＳ ゴシック,標準"&amp;26&amp;G</oddFooter>
    <evenFooter>&amp;R&amp;G</even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5765-3B0C-4B88-8D04-A1A55870A214}">
  <dimension ref="A1:T100"/>
  <sheetViews>
    <sheetView workbookViewId="0">
      <selection activeCell="I5" sqref="I5"/>
    </sheetView>
  </sheetViews>
  <sheetFormatPr defaultColWidth="12.77734375" defaultRowHeight="13.2" x14ac:dyDescent="0.2"/>
  <cols>
    <col min="8" max="10" width="12.77734375" style="177"/>
  </cols>
  <sheetData>
    <row r="1" spans="1:20" x14ac:dyDescent="0.2">
      <c r="A1" s="14" t="s">
        <v>82</v>
      </c>
      <c r="B1" s="14" t="s">
        <v>52</v>
      </c>
      <c r="C1" s="14" t="s">
        <v>34</v>
      </c>
      <c r="D1" s="14" t="s">
        <v>35</v>
      </c>
      <c r="E1" s="14" t="s">
        <v>85</v>
      </c>
      <c r="F1" s="14" t="s">
        <v>68</v>
      </c>
      <c r="G1" s="14" t="s">
        <v>108</v>
      </c>
      <c r="H1" s="14" t="s">
        <v>109</v>
      </c>
      <c r="I1" s="14" t="s">
        <v>110</v>
      </c>
      <c r="J1" s="14" t="s">
        <v>111</v>
      </c>
      <c r="K1" s="14" t="s">
        <v>69</v>
      </c>
      <c r="L1" s="14" t="s">
        <v>70</v>
      </c>
      <c r="M1" s="14" t="s">
        <v>71</v>
      </c>
      <c r="N1" s="14" t="s">
        <v>72</v>
      </c>
      <c r="O1" s="14" t="s">
        <v>73</v>
      </c>
      <c r="P1" s="14" t="s">
        <v>74</v>
      </c>
      <c r="Q1" s="14" t="s">
        <v>75</v>
      </c>
      <c r="R1" s="107" t="s">
        <v>76</v>
      </c>
      <c r="S1" s="12" t="s">
        <v>88</v>
      </c>
      <c r="T1" s="12"/>
    </row>
    <row r="2" spans="1:20" x14ac:dyDescent="0.2">
      <c r="A2" s="12" t="s">
        <v>83</v>
      </c>
      <c r="B2" s="12" t="s">
        <v>53</v>
      </c>
      <c r="C2" s="167" t="s">
        <v>102</v>
      </c>
      <c r="D2" s="12" t="s">
        <v>63</v>
      </c>
      <c r="E2" s="12" t="s">
        <v>86</v>
      </c>
      <c r="F2" s="165" t="s">
        <v>9</v>
      </c>
      <c r="G2" s="165" t="s">
        <v>9</v>
      </c>
      <c r="H2" s="194" t="s">
        <v>9</v>
      </c>
      <c r="I2" s="194" t="s">
        <v>9</v>
      </c>
      <c r="J2" s="194" t="s">
        <v>9</v>
      </c>
      <c r="K2" s="165"/>
      <c r="L2" s="165"/>
      <c r="M2" s="165"/>
      <c r="N2" s="165"/>
      <c r="O2" s="165"/>
      <c r="P2" s="165"/>
      <c r="Q2" s="165"/>
      <c r="R2" s="12" t="str">
        <f>IF(AND(設定!G10&gt;0,設定!F10&lt;&gt;"[5]雇用"),設定!C10,"")</f>
        <v/>
      </c>
      <c r="S2" s="12" t="str">
        <f>IF(AND(設定!F10&gt;0,設定!F10&lt;&gt;"[5]雇用"),ROW()-1,"")</f>
        <v/>
      </c>
      <c r="T2" s="12" t="str">
        <f>IFERROR(INDEX(設定!$C$10:$C$109,SMALL(リスト!$S$2:$S$100,ROW()-1),1),"")</f>
        <v/>
      </c>
    </row>
    <row r="3" spans="1:20" x14ac:dyDescent="0.2">
      <c r="A3" s="12" t="s">
        <v>84</v>
      </c>
      <c r="B3" s="12" t="s">
        <v>54</v>
      </c>
      <c r="C3" s="167" t="s">
        <v>103</v>
      </c>
      <c r="D3" s="12" t="s">
        <v>64</v>
      </c>
      <c r="E3" s="12" t="s">
        <v>87</v>
      </c>
      <c r="F3" s="165" t="s">
        <v>10</v>
      </c>
      <c r="G3" s="165"/>
      <c r="H3" s="194"/>
      <c r="I3" s="194"/>
      <c r="J3" s="194"/>
      <c r="K3" s="165"/>
      <c r="L3" s="165" t="s">
        <v>10</v>
      </c>
      <c r="M3" s="165" t="s">
        <v>10</v>
      </c>
      <c r="N3" s="165"/>
      <c r="O3" s="165" t="s">
        <v>10</v>
      </c>
      <c r="P3" s="165" t="s">
        <v>10</v>
      </c>
      <c r="Q3" s="165" t="s">
        <v>10</v>
      </c>
      <c r="R3" s="12" t="str">
        <f>IF(AND(設定!G11&gt;0,設定!F11&lt;&gt;"[5]雇用"),設定!C11,"")</f>
        <v/>
      </c>
      <c r="S3" s="12" t="str">
        <f>IF(AND(設定!F11&gt;0,設定!F11&lt;&gt;"[5]雇用"),ROW()-1,"")</f>
        <v/>
      </c>
      <c r="T3" s="12" t="str">
        <f>IFERROR(INDEX(設定!$C$10:$C$109,SMALL(リスト!$S$2:$S$100,ROW()-1),1),"")</f>
        <v/>
      </c>
    </row>
    <row r="4" spans="1:20" x14ac:dyDescent="0.2">
      <c r="A4" s="12"/>
      <c r="B4" s="12" t="s">
        <v>55</v>
      </c>
      <c r="C4" s="12"/>
      <c r="D4" s="12" t="s">
        <v>65</v>
      </c>
      <c r="E4" s="12"/>
      <c r="F4" s="165" t="s">
        <v>5</v>
      </c>
      <c r="G4" s="165" t="s">
        <v>5</v>
      </c>
      <c r="H4" s="194" t="s">
        <v>5</v>
      </c>
      <c r="I4" s="194" t="s">
        <v>5</v>
      </c>
      <c r="J4" s="194" t="s">
        <v>5</v>
      </c>
      <c r="K4" s="165" t="s">
        <v>5</v>
      </c>
      <c r="L4" s="165" t="s">
        <v>5</v>
      </c>
      <c r="M4" s="165" t="s">
        <v>5</v>
      </c>
      <c r="N4" s="165" t="s">
        <v>5</v>
      </c>
      <c r="O4" s="165" t="s">
        <v>5</v>
      </c>
      <c r="P4" s="165" t="s">
        <v>5</v>
      </c>
      <c r="Q4" s="165" t="s">
        <v>5</v>
      </c>
      <c r="R4" s="12" t="str">
        <f>IF(AND(設定!G12&gt;0,設定!F12&lt;&gt;"[5]雇用"),設定!C12,"")</f>
        <v/>
      </c>
      <c r="S4" s="12" t="str">
        <f>IF(AND(設定!F12&gt;0,設定!F12&lt;&gt;"[5]雇用"),ROW()-1,"")</f>
        <v/>
      </c>
      <c r="T4" s="12" t="str">
        <f>IFERROR(INDEX(設定!$C$10:$C$109,SMALL(リスト!$S$2:$S$100,ROW()-1),1),"")</f>
        <v/>
      </c>
    </row>
    <row r="5" spans="1:20" x14ac:dyDescent="0.2">
      <c r="A5" s="12"/>
      <c r="B5" s="12" t="s">
        <v>56</v>
      </c>
      <c r="C5" s="12"/>
      <c r="D5" s="12" t="s">
        <v>66</v>
      </c>
      <c r="E5" s="12"/>
      <c r="F5" s="165" t="s">
        <v>2</v>
      </c>
      <c r="G5" s="165" t="s">
        <v>2</v>
      </c>
      <c r="H5" s="194" t="s">
        <v>2</v>
      </c>
      <c r="I5" s="194" t="s">
        <v>2</v>
      </c>
      <c r="J5" s="194" t="s">
        <v>2</v>
      </c>
      <c r="K5" s="165" t="s">
        <v>2</v>
      </c>
      <c r="L5" s="165" t="s">
        <v>2</v>
      </c>
      <c r="M5" s="165" t="s">
        <v>2</v>
      </c>
      <c r="N5" s="165" t="s">
        <v>2</v>
      </c>
      <c r="O5" s="165" t="s">
        <v>2</v>
      </c>
      <c r="P5" s="165" t="s">
        <v>2</v>
      </c>
      <c r="Q5" s="165" t="s">
        <v>2</v>
      </c>
      <c r="R5" s="12" t="str">
        <f>IF(AND(設定!G13&gt;0,設定!F13&lt;&gt;"[5]雇用"),設定!C13,"")</f>
        <v/>
      </c>
      <c r="S5" s="12" t="str">
        <f>IF(AND(設定!F13&gt;0,設定!F13&lt;&gt;"[5]雇用"),ROW()-1,"")</f>
        <v/>
      </c>
      <c r="T5" s="12" t="str">
        <f>IFERROR(INDEX(設定!$C$10:$C$109,SMALL(リスト!$S$2:$S$100,ROW()-1),1),"")</f>
        <v/>
      </c>
    </row>
    <row r="6" spans="1:20" x14ac:dyDescent="0.2">
      <c r="A6" s="12"/>
      <c r="B6" s="12" t="s">
        <v>57</v>
      </c>
      <c r="C6" s="12"/>
      <c r="D6" s="12" t="s">
        <v>67</v>
      </c>
      <c r="E6" s="12"/>
      <c r="F6" s="165" t="s">
        <v>20</v>
      </c>
      <c r="G6" s="165" t="s">
        <v>77</v>
      </c>
      <c r="H6" s="194" t="s">
        <v>77</v>
      </c>
      <c r="I6" s="194" t="s">
        <v>77</v>
      </c>
      <c r="J6" s="194" t="s">
        <v>77</v>
      </c>
      <c r="K6" s="165" t="s">
        <v>77</v>
      </c>
      <c r="L6" s="165" t="s">
        <v>77</v>
      </c>
      <c r="M6" s="165"/>
      <c r="N6" s="165" t="s">
        <v>77</v>
      </c>
      <c r="O6" s="165" t="s">
        <v>77</v>
      </c>
      <c r="P6" s="165" t="s">
        <v>77</v>
      </c>
      <c r="Q6" s="165"/>
      <c r="R6" s="12" t="str">
        <f>IF(AND(設定!G14&gt;0,設定!F14&lt;&gt;"[5]雇用"),設定!C14,"")</f>
        <v/>
      </c>
      <c r="S6" s="12" t="str">
        <f>IF(AND(設定!F14&gt;0,設定!F14&lt;&gt;"[5]雇用"),ROW()-1,"")</f>
        <v/>
      </c>
      <c r="T6" s="12" t="str">
        <f>IFERROR(INDEX(設定!$C$10:$C$109,SMALL(リスト!$S$2:$S$100,ROW()-1),1),"")</f>
        <v/>
      </c>
    </row>
    <row r="7" spans="1:20" x14ac:dyDescent="0.2">
      <c r="A7" s="12"/>
      <c r="B7" s="12" t="s">
        <v>0</v>
      </c>
      <c r="C7" s="12"/>
      <c r="D7" s="12"/>
      <c r="E7" s="12"/>
      <c r="F7" s="165" t="s">
        <v>1</v>
      </c>
      <c r="G7" s="165"/>
      <c r="H7" s="194"/>
      <c r="I7" s="194"/>
      <c r="J7" s="194"/>
      <c r="K7" s="165"/>
      <c r="L7" s="165" t="s">
        <v>78</v>
      </c>
      <c r="M7" s="165" t="s">
        <v>78</v>
      </c>
      <c r="N7" s="165"/>
      <c r="O7" s="165" t="s">
        <v>78</v>
      </c>
      <c r="P7" s="165" t="s">
        <v>78</v>
      </c>
      <c r="Q7" s="165" t="s">
        <v>78</v>
      </c>
      <c r="R7" s="12" t="str">
        <f>IF(AND(設定!G15&gt;0,設定!F15&lt;&gt;"[5]雇用"),設定!C15,"")</f>
        <v/>
      </c>
      <c r="S7" s="12" t="str">
        <f>IF(AND(設定!F15&gt;0,設定!F15&lt;&gt;"[5]雇用"),ROW()-1,"")</f>
        <v/>
      </c>
      <c r="T7" s="12" t="str">
        <f>IFERROR(INDEX(設定!$C$10:$C$109,SMALL(リスト!$S$2:$S$100,ROW()-1),1),"")</f>
        <v/>
      </c>
    </row>
    <row r="8" spans="1:20" x14ac:dyDescent="0.2">
      <c r="A8" s="12"/>
      <c r="B8" s="12" t="s">
        <v>58</v>
      </c>
      <c r="C8" s="12"/>
      <c r="D8" s="12"/>
      <c r="E8" s="12"/>
      <c r="F8" s="165"/>
      <c r="G8" s="165"/>
      <c r="H8" s="194"/>
      <c r="I8" s="194"/>
      <c r="J8" s="194"/>
      <c r="K8" s="165"/>
      <c r="L8" s="165"/>
      <c r="M8" s="165"/>
      <c r="N8" s="165"/>
      <c r="O8" s="165"/>
      <c r="P8" s="165"/>
      <c r="Q8" s="165" t="s">
        <v>79</v>
      </c>
      <c r="R8" s="12" t="str">
        <f>IF(AND(設定!G16&gt;0,設定!F16&lt;&gt;"[5]雇用"),設定!C16,"")</f>
        <v/>
      </c>
      <c r="S8" s="12" t="str">
        <f>IF(AND(設定!F16&gt;0,設定!F16&lt;&gt;"[5]雇用"),ROW()-1,"")</f>
        <v/>
      </c>
      <c r="T8" s="12" t="str">
        <f>IFERROR(INDEX(設定!$C$10:$C$109,SMALL(リスト!$S$2:$S$100,ROW()-1),1),"")</f>
        <v/>
      </c>
    </row>
    <row r="9" spans="1:20" x14ac:dyDescent="0.2">
      <c r="A9" s="12"/>
      <c r="B9" s="12" t="s">
        <v>3</v>
      </c>
      <c r="C9" s="12"/>
      <c r="D9" s="12"/>
      <c r="E9" s="12"/>
      <c r="F9" s="165" t="s">
        <v>6</v>
      </c>
      <c r="G9" s="165" t="s">
        <v>6</v>
      </c>
      <c r="H9" s="194" t="s">
        <v>6</v>
      </c>
      <c r="I9" s="194" t="s">
        <v>6</v>
      </c>
      <c r="J9" s="194" t="s">
        <v>6</v>
      </c>
      <c r="K9" s="165" t="s">
        <v>6</v>
      </c>
      <c r="L9" s="165" t="s">
        <v>6</v>
      </c>
      <c r="M9" s="165" t="s">
        <v>6</v>
      </c>
      <c r="N9" s="165" t="s">
        <v>6</v>
      </c>
      <c r="O9" s="165" t="s">
        <v>6</v>
      </c>
      <c r="P9" s="165" t="s">
        <v>6</v>
      </c>
      <c r="Q9" s="165" t="s">
        <v>6</v>
      </c>
      <c r="R9" s="12" t="str">
        <f>IF(AND(設定!G17&gt;0,設定!F17&lt;&gt;"[5]雇用"),設定!C17,"")</f>
        <v/>
      </c>
      <c r="S9" s="12" t="str">
        <f>IF(AND(設定!F17&gt;0,設定!F17&lt;&gt;"[5]雇用"),ROW()-1,"")</f>
        <v/>
      </c>
      <c r="T9" s="12" t="str">
        <f>IFERROR(INDEX(設定!$C$10:$C$109,SMALL(リスト!$S$2:$S$100,ROW()-1),1),"")</f>
        <v/>
      </c>
    </row>
    <row r="10" spans="1:20" x14ac:dyDescent="0.2">
      <c r="A10" s="12"/>
      <c r="B10" s="12" t="s">
        <v>59</v>
      </c>
      <c r="C10" s="12"/>
      <c r="D10" s="12"/>
      <c r="E10" s="12"/>
      <c r="F10" s="165" t="s">
        <v>12</v>
      </c>
      <c r="G10" s="165" t="s">
        <v>107</v>
      </c>
      <c r="H10" s="194" t="s">
        <v>107</v>
      </c>
      <c r="I10" s="194" t="s">
        <v>107</v>
      </c>
      <c r="J10" s="194" t="s">
        <v>107</v>
      </c>
      <c r="K10" s="165" t="s">
        <v>107</v>
      </c>
      <c r="L10" s="165" t="s">
        <v>107</v>
      </c>
      <c r="M10" s="165" t="s">
        <v>107</v>
      </c>
      <c r="N10" s="165" t="s">
        <v>107</v>
      </c>
      <c r="O10" s="165" t="s">
        <v>107</v>
      </c>
      <c r="P10" s="165" t="s">
        <v>107</v>
      </c>
      <c r="Q10" s="165" t="s">
        <v>107</v>
      </c>
      <c r="R10" s="12" t="str">
        <f>IF(AND(設定!G18&gt;0,設定!F18&lt;&gt;"[5]雇用"),設定!C18,"")</f>
        <v/>
      </c>
      <c r="S10" s="12" t="str">
        <f>IF(AND(設定!F18&gt;0,設定!F18&lt;&gt;"[5]雇用"),ROW()-1,"")</f>
        <v/>
      </c>
      <c r="T10" s="12" t="str">
        <f>IFERROR(INDEX(設定!$C$10:$C$109,SMALL(リスト!$S$2:$S$100,ROW()-1),1),"")</f>
        <v/>
      </c>
    </row>
    <row r="11" spans="1:20" x14ac:dyDescent="0.2">
      <c r="A11" s="12"/>
      <c r="B11" s="12" t="s">
        <v>60</v>
      </c>
      <c r="C11" s="12"/>
      <c r="D11" s="12"/>
      <c r="E11" s="12"/>
      <c r="F11" s="165"/>
      <c r="G11" s="165" t="s">
        <v>80</v>
      </c>
      <c r="H11" s="194" t="s">
        <v>80</v>
      </c>
      <c r="I11" s="194" t="s">
        <v>80</v>
      </c>
      <c r="J11" s="194" t="s">
        <v>80</v>
      </c>
      <c r="K11" s="165"/>
      <c r="L11" s="165"/>
      <c r="M11" s="165"/>
      <c r="N11" s="165"/>
      <c r="O11" s="165"/>
      <c r="P11" s="165"/>
      <c r="Q11" s="165"/>
      <c r="R11" s="12" t="str">
        <f>IF(AND(設定!G19&gt;0,設定!F19&lt;&gt;"[5]雇用"),設定!C19,"")</f>
        <v/>
      </c>
      <c r="S11" s="12" t="str">
        <f>IF(AND(設定!F19&gt;0,設定!F19&lt;&gt;"[5]雇用"),ROW()-1,"")</f>
        <v/>
      </c>
      <c r="T11" s="12" t="str">
        <f>IFERROR(INDEX(設定!$C$10:$C$109,SMALL(リスト!$S$2:$S$100,ROW()-1),1),"")</f>
        <v/>
      </c>
    </row>
    <row r="12" spans="1:20" x14ac:dyDescent="0.2">
      <c r="A12" s="12"/>
      <c r="B12" s="12" t="s">
        <v>61</v>
      </c>
      <c r="C12" s="12"/>
      <c r="D12" s="12"/>
      <c r="E12" s="12"/>
      <c r="F12" s="165" t="s">
        <v>13</v>
      </c>
      <c r="G12" s="165" t="s">
        <v>13</v>
      </c>
      <c r="H12" s="194" t="s">
        <v>13</v>
      </c>
      <c r="I12" s="194" t="s">
        <v>13</v>
      </c>
      <c r="J12" s="194" t="s">
        <v>13</v>
      </c>
      <c r="K12" s="165" t="s">
        <v>13</v>
      </c>
      <c r="L12" s="165" t="s">
        <v>13</v>
      </c>
      <c r="M12" s="165" t="s">
        <v>13</v>
      </c>
      <c r="N12" s="165" t="s">
        <v>13</v>
      </c>
      <c r="O12" s="165" t="s">
        <v>13</v>
      </c>
      <c r="P12" s="165" t="s">
        <v>13</v>
      </c>
      <c r="Q12" s="165" t="s">
        <v>13</v>
      </c>
      <c r="R12" s="12" t="str">
        <f>IF(AND(設定!G20&gt;0,設定!F20&lt;&gt;"[5]雇用"),設定!C20,"")</f>
        <v/>
      </c>
      <c r="S12" s="12" t="str">
        <f>IF(AND(設定!F20&gt;0,設定!F20&lt;&gt;"[5]雇用"),ROW()-1,"")</f>
        <v/>
      </c>
      <c r="T12" s="12" t="str">
        <f>IFERROR(INDEX(設定!$C$10:$C$109,SMALL(リスト!$S$2:$S$100,ROW()-1),1),"")</f>
        <v/>
      </c>
    </row>
    <row r="13" spans="1:20" x14ac:dyDescent="0.2">
      <c r="A13" s="12"/>
      <c r="B13" s="12" t="s">
        <v>62</v>
      </c>
      <c r="C13" s="12"/>
      <c r="D13" s="12"/>
      <c r="E13" s="12"/>
      <c r="F13" s="165" t="s">
        <v>7</v>
      </c>
      <c r="G13" s="165" t="s">
        <v>7</v>
      </c>
      <c r="H13" s="194" t="s">
        <v>7</v>
      </c>
      <c r="I13" s="194" t="s">
        <v>7</v>
      </c>
      <c r="J13" s="194" t="s">
        <v>7</v>
      </c>
      <c r="K13" s="165" t="s">
        <v>7</v>
      </c>
      <c r="L13" s="165" t="s">
        <v>7</v>
      </c>
      <c r="M13" s="165" t="s">
        <v>7</v>
      </c>
      <c r="N13" s="165" t="s">
        <v>7</v>
      </c>
      <c r="O13" s="165" t="s">
        <v>7</v>
      </c>
      <c r="P13" s="165" t="s">
        <v>7</v>
      </c>
      <c r="Q13" s="165" t="s">
        <v>7</v>
      </c>
      <c r="R13" s="12" t="str">
        <f>IF(AND(設定!G21&gt;0,設定!F21&lt;&gt;"[5]雇用"),設定!C21,"")</f>
        <v/>
      </c>
      <c r="S13" s="12" t="str">
        <f>IF(AND(設定!F21&gt;0,設定!F21&lt;&gt;"[5]雇用"),ROW()-1,"")</f>
        <v/>
      </c>
      <c r="T13" s="12" t="str">
        <f>IFERROR(INDEX(設定!$C$10:$C$109,SMALL(リスト!$S$2:$S$100,ROW()-1),1),"")</f>
        <v/>
      </c>
    </row>
    <row r="14" spans="1:20" x14ac:dyDescent="0.2">
      <c r="A14" s="12"/>
      <c r="B14" s="12"/>
      <c r="C14" s="12"/>
      <c r="D14" s="12"/>
      <c r="E14" s="12"/>
      <c r="F14" s="165"/>
      <c r="G14" s="165"/>
      <c r="H14" s="194"/>
      <c r="I14" s="194"/>
      <c r="J14" s="194"/>
      <c r="K14" s="165"/>
      <c r="L14" s="165"/>
      <c r="M14" s="165"/>
      <c r="N14" s="165"/>
      <c r="O14" s="165"/>
      <c r="P14" s="165"/>
      <c r="Q14" s="165" t="s">
        <v>81</v>
      </c>
      <c r="R14" s="12" t="str">
        <f>IF(AND(設定!G22&gt;0,設定!F22&lt;&gt;"[5]雇用"),設定!C22,"")</f>
        <v/>
      </c>
      <c r="S14" s="12" t="str">
        <f>IF(AND(設定!F22&gt;0,設定!F22&lt;&gt;"[5]雇用"),ROW()-1,"")</f>
        <v/>
      </c>
      <c r="T14" s="12" t="str">
        <f>IFERROR(INDEX(設定!$C$10:$C$109,SMALL(リスト!$S$2:$S$100,ROW()-1),1),"")</f>
        <v/>
      </c>
    </row>
    <row r="15" spans="1:20" x14ac:dyDescent="0.2">
      <c r="A15" s="12"/>
      <c r="B15" s="12"/>
      <c r="C15" s="12"/>
      <c r="D15" s="12"/>
      <c r="E15" s="12"/>
      <c r="F15" s="165" t="s">
        <v>14</v>
      </c>
      <c r="G15" s="165" t="s">
        <v>14</v>
      </c>
      <c r="H15" s="194" t="s">
        <v>14</v>
      </c>
      <c r="I15" s="194" t="s">
        <v>14</v>
      </c>
      <c r="J15" s="194" t="s">
        <v>14</v>
      </c>
      <c r="K15" s="165" t="s">
        <v>14</v>
      </c>
      <c r="L15" s="165" t="s">
        <v>8</v>
      </c>
      <c r="M15" s="165" t="s">
        <v>8</v>
      </c>
      <c r="N15" s="165" t="s">
        <v>8</v>
      </c>
      <c r="O15" s="165" t="s">
        <v>14</v>
      </c>
      <c r="P15" s="165" t="s">
        <v>8</v>
      </c>
      <c r="Q15" s="165" t="s">
        <v>8</v>
      </c>
      <c r="R15" s="12" t="str">
        <f>IF(AND(設定!G23&gt;0,設定!F23&lt;&gt;"[5]雇用"),設定!C23,"")</f>
        <v/>
      </c>
      <c r="S15" s="12" t="str">
        <f>IF(AND(設定!F23&gt;0,設定!F23&lt;&gt;"[5]雇用"),ROW()-1,"")</f>
        <v/>
      </c>
      <c r="T15" s="12" t="str">
        <f>IFERROR(INDEX(設定!$C$10:$C$109,SMALL(リスト!$S$2:$S$100,ROW()-1),1),"")</f>
        <v/>
      </c>
    </row>
    <row r="16" spans="1:20" x14ac:dyDescent="0.2">
      <c r="A16" s="12"/>
      <c r="B16" s="12"/>
      <c r="C16" s="12"/>
      <c r="D16" s="12"/>
      <c r="E16" s="12"/>
      <c r="F16" s="165" t="s">
        <v>15</v>
      </c>
      <c r="G16" s="165" t="s">
        <v>15</v>
      </c>
      <c r="H16" s="194" t="s">
        <v>15</v>
      </c>
      <c r="I16" s="194" t="s">
        <v>15</v>
      </c>
      <c r="J16" s="194" t="s">
        <v>15</v>
      </c>
      <c r="K16" s="165" t="s">
        <v>15</v>
      </c>
      <c r="L16" s="165" t="s">
        <v>15</v>
      </c>
      <c r="M16" s="165"/>
      <c r="N16" s="165"/>
      <c r="O16" s="165" t="s">
        <v>15</v>
      </c>
      <c r="P16" s="165"/>
      <c r="Q16" s="165"/>
      <c r="R16" s="12" t="str">
        <f>IF(AND(設定!G24&gt;0,設定!F24&lt;&gt;"[5]雇用"),設定!C24,"")</f>
        <v/>
      </c>
      <c r="S16" s="12" t="str">
        <f>IF(AND(設定!F24&gt;0,設定!F24&lt;&gt;"[5]雇用"),ROW()-1,"")</f>
        <v/>
      </c>
      <c r="T16" s="12" t="str">
        <f>IFERROR(INDEX(設定!$C$10:$C$109,SMALL(リスト!$S$2:$S$100,ROW()-1),1),"")</f>
        <v/>
      </c>
    </row>
    <row r="17" spans="1:20" x14ac:dyDescent="0.2">
      <c r="A17" s="12"/>
      <c r="B17" s="12"/>
      <c r="C17" s="12"/>
      <c r="D17" s="12"/>
      <c r="E17" s="12"/>
      <c r="F17" s="165" t="s">
        <v>16</v>
      </c>
      <c r="G17" s="165" t="s">
        <v>16</v>
      </c>
      <c r="H17" s="194" t="s">
        <v>16</v>
      </c>
      <c r="I17" s="194" t="s">
        <v>16</v>
      </c>
      <c r="J17" s="194" t="s">
        <v>16</v>
      </c>
      <c r="K17" s="165" t="s">
        <v>16</v>
      </c>
      <c r="L17" s="165" t="s">
        <v>16</v>
      </c>
      <c r="M17" s="165" t="s">
        <v>16</v>
      </c>
      <c r="N17" s="165" t="s">
        <v>16</v>
      </c>
      <c r="O17" s="165" t="s">
        <v>16</v>
      </c>
      <c r="P17" s="165" t="s">
        <v>16</v>
      </c>
      <c r="Q17" s="165" t="s">
        <v>16</v>
      </c>
      <c r="R17" s="12" t="str">
        <f>IF(AND(設定!G25&gt;0,設定!F25&lt;&gt;"[5]雇用"),設定!C25,"")</f>
        <v/>
      </c>
      <c r="S17" s="12" t="str">
        <f>IF(AND(設定!F25&gt;0,設定!F25&lt;&gt;"[5]雇用"),ROW()-1,"")</f>
        <v/>
      </c>
      <c r="T17" s="12" t="str">
        <f>IFERROR(INDEX(設定!$C$10:$C$109,SMALL(リスト!$S$2:$S$100,ROW()-1),1),"")</f>
        <v/>
      </c>
    </row>
    <row r="18" spans="1:20" x14ac:dyDescent="0.2">
      <c r="A18" s="12"/>
      <c r="B18" s="12"/>
      <c r="C18" s="12"/>
      <c r="D18" s="12"/>
      <c r="E18" s="12"/>
      <c r="F18" s="165" t="s">
        <v>17</v>
      </c>
      <c r="G18" s="165" t="s">
        <v>17</v>
      </c>
      <c r="H18" s="194" t="s">
        <v>17</v>
      </c>
      <c r="I18" s="194" t="s">
        <v>17</v>
      </c>
      <c r="J18" s="194" t="s">
        <v>17</v>
      </c>
      <c r="K18" s="165" t="s">
        <v>17</v>
      </c>
      <c r="L18" s="165" t="s">
        <v>17</v>
      </c>
      <c r="M18" s="165" t="s">
        <v>17</v>
      </c>
      <c r="N18" s="165" t="s">
        <v>17</v>
      </c>
      <c r="O18" s="165" t="s">
        <v>17</v>
      </c>
      <c r="P18" s="165" t="s">
        <v>17</v>
      </c>
      <c r="Q18" s="165" t="s">
        <v>17</v>
      </c>
      <c r="R18" s="12" t="str">
        <f>IF(AND(設定!G26&gt;0,設定!F26&lt;&gt;"[5]雇用"),設定!C26,"")</f>
        <v/>
      </c>
      <c r="S18" s="12" t="str">
        <f>IF(AND(設定!F26&gt;0,設定!F26&lt;&gt;"[5]雇用"),ROW()-1,"")</f>
        <v/>
      </c>
      <c r="T18" s="12" t="str">
        <f>IFERROR(INDEX(設定!$C$10:$C$109,SMALL(リスト!$S$2:$S$100,ROW()-1),1),"")</f>
        <v/>
      </c>
    </row>
    <row r="19" spans="1:20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 t="str">
        <f>IF(AND(設定!G27&gt;0,設定!F27&lt;&gt;"[5]雇用"),設定!C27,"")</f>
        <v/>
      </c>
      <c r="S19" s="12" t="str">
        <f>IF(AND(設定!F27&gt;0,設定!F27&lt;&gt;"[5]雇用"),ROW()-1,"")</f>
        <v/>
      </c>
      <c r="T19" s="12" t="str">
        <f>IFERROR(INDEX(設定!$C$10:$C$109,SMALL(リスト!$S$2:$S$100,ROW()-1),1),"")</f>
        <v/>
      </c>
    </row>
    <row r="20" spans="1:20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 t="str">
        <f>IF(AND(設定!G28&gt;0,設定!F28&lt;&gt;"[5]雇用"),設定!C28,"")</f>
        <v/>
      </c>
      <c r="S20" s="12" t="str">
        <f>IF(AND(設定!F28&gt;0,設定!F28&lt;&gt;"[5]雇用"),ROW()-1,"")</f>
        <v/>
      </c>
      <c r="T20" s="12" t="str">
        <f>IFERROR(INDEX(設定!$C$10:$C$109,SMALL(リスト!$S$2:$S$100,ROW()-1),1),"")</f>
        <v/>
      </c>
    </row>
    <row r="21" spans="1:20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 t="str">
        <f>IF(AND(設定!G29&gt;0,設定!F29&lt;&gt;"[5]雇用"),設定!C29,"")</f>
        <v/>
      </c>
      <c r="S21" s="12" t="str">
        <f>IF(AND(設定!F29&gt;0,設定!F29&lt;&gt;"[5]雇用"),ROW()-1,"")</f>
        <v/>
      </c>
      <c r="T21" s="12" t="str">
        <f>IFERROR(INDEX(設定!$C$10:$C$109,SMALL(リスト!$S$2:$S$100,ROW()-1),1),"")</f>
        <v/>
      </c>
    </row>
    <row r="22" spans="1:20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 t="str">
        <f>IF(AND(設定!G30&gt;0,設定!F30&lt;&gt;"[5]雇用"),設定!C30,"")</f>
        <v/>
      </c>
      <c r="S22" s="12" t="str">
        <f>IF(AND(設定!F30&gt;0,設定!F30&lt;&gt;"[5]雇用"),ROW()-1,"")</f>
        <v/>
      </c>
      <c r="T22" s="12" t="str">
        <f>IFERROR(INDEX(設定!$C$10:$C$109,SMALL(リスト!$S$2:$S$100,ROW()-1),1),"")</f>
        <v/>
      </c>
    </row>
    <row r="23" spans="1:20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 t="str">
        <f>IF(AND(設定!G31&gt;0,設定!F31&lt;&gt;"[5]雇用"),設定!C31,"")</f>
        <v/>
      </c>
      <c r="S23" s="12" t="str">
        <f>IF(AND(設定!F31&gt;0,設定!F31&lt;&gt;"[5]雇用"),ROW()-1,"")</f>
        <v/>
      </c>
      <c r="T23" s="12" t="str">
        <f>IFERROR(INDEX(設定!$C$10:$C$109,SMALL(リスト!$S$2:$S$100,ROW()-1),1),"")</f>
        <v/>
      </c>
    </row>
    <row r="24" spans="1:20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 t="str">
        <f>IF(AND(設定!G32&gt;0,設定!F32&lt;&gt;"[5]雇用"),設定!C32,"")</f>
        <v/>
      </c>
      <c r="S24" s="12" t="str">
        <f>IF(AND(設定!F32&gt;0,設定!F32&lt;&gt;"[5]雇用"),ROW()-1,"")</f>
        <v/>
      </c>
      <c r="T24" s="12" t="str">
        <f>IFERROR(INDEX(設定!$C$10:$C$109,SMALL(リスト!$S$2:$S$100,ROW()-1),1),"")</f>
        <v/>
      </c>
    </row>
    <row r="25" spans="1:20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 t="str">
        <f>IF(AND(設定!G33&gt;0,設定!F33&lt;&gt;"[5]雇用"),設定!C33,"")</f>
        <v/>
      </c>
      <c r="S25" s="12" t="str">
        <f>IF(AND(設定!F33&gt;0,設定!F33&lt;&gt;"[5]雇用"),ROW()-1,"")</f>
        <v/>
      </c>
      <c r="T25" s="12" t="str">
        <f>IFERROR(INDEX(設定!$C$10:$C$109,SMALL(リスト!$S$2:$S$100,ROW()-1),1),"")</f>
        <v/>
      </c>
    </row>
    <row r="26" spans="1:20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 t="str">
        <f>IF(AND(設定!G34&gt;0,設定!F34&lt;&gt;"[5]雇用"),設定!C34,"")</f>
        <v/>
      </c>
      <c r="S26" s="12" t="str">
        <f>IF(AND(設定!F34&gt;0,設定!F34&lt;&gt;"[5]雇用"),ROW()-1,"")</f>
        <v/>
      </c>
      <c r="T26" s="12" t="str">
        <f>IFERROR(INDEX(設定!$C$10:$C$109,SMALL(リスト!$S$2:$S$100,ROW()-1),1),"")</f>
        <v/>
      </c>
    </row>
    <row r="27" spans="1:20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 t="str">
        <f>IF(AND(設定!G35&gt;0,設定!F35&lt;&gt;"[5]雇用"),設定!C35,"")</f>
        <v/>
      </c>
      <c r="S27" s="12" t="str">
        <f>IF(AND(設定!F35&gt;0,設定!F35&lt;&gt;"[5]雇用"),ROW()-1,"")</f>
        <v/>
      </c>
      <c r="T27" s="12" t="str">
        <f>IFERROR(INDEX(設定!$C$10:$C$109,SMALL(リスト!$S$2:$S$100,ROW()-1),1),"")</f>
        <v/>
      </c>
    </row>
    <row r="28" spans="1:20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 t="str">
        <f>IF(AND(設定!G36&gt;0,設定!F36&lt;&gt;"[5]雇用"),設定!C36,"")</f>
        <v/>
      </c>
      <c r="S28" s="12" t="str">
        <f>IF(AND(設定!F36&gt;0,設定!F36&lt;&gt;"[5]雇用"),ROW()-1,"")</f>
        <v/>
      </c>
      <c r="T28" s="12" t="str">
        <f>IFERROR(INDEX(設定!$C$10:$C$109,SMALL(リスト!$S$2:$S$100,ROW()-1),1),"")</f>
        <v/>
      </c>
    </row>
    <row r="29" spans="1:20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 t="str">
        <f>IF(AND(設定!G37&gt;0,設定!F37&lt;&gt;"[5]雇用"),設定!C37,"")</f>
        <v/>
      </c>
      <c r="S29" s="12" t="str">
        <f>IF(AND(設定!F37&gt;0,設定!F37&lt;&gt;"[5]雇用"),ROW()-1,"")</f>
        <v/>
      </c>
      <c r="T29" s="12" t="str">
        <f>IFERROR(INDEX(設定!$C$10:$C$109,SMALL(リスト!$S$2:$S$100,ROW()-1),1),"")</f>
        <v/>
      </c>
    </row>
    <row r="30" spans="1:20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 t="str">
        <f>IF(AND(設定!G38&gt;0,設定!F38&lt;&gt;"[5]雇用"),設定!C38,"")</f>
        <v/>
      </c>
      <c r="S30" s="12" t="str">
        <f>IF(AND(設定!F38&gt;0,設定!F38&lt;&gt;"[5]雇用"),ROW()-1,"")</f>
        <v/>
      </c>
      <c r="T30" s="12" t="str">
        <f>IFERROR(INDEX(設定!$C$10:$C$109,SMALL(リスト!$S$2:$S$100,ROW()-1),1),"")</f>
        <v/>
      </c>
    </row>
    <row r="31" spans="1:20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 t="str">
        <f>IF(AND(設定!G39&gt;0,設定!F39&lt;&gt;"[5]雇用"),設定!C39,"")</f>
        <v/>
      </c>
      <c r="S31" s="12" t="str">
        <f>IF(AND(設定!F39&gt;0,設定!F39&lt;&gt;"[5]雇用"),ROW()-1,"")</f>
        <v/>
      </c>
      <c r="T31" s="12" t="str">
        <f>IFERROR(INDEX(設定!$C$10:$C$109,SMALL(リスト!$S$2:$S$100,ROW()-1),1),"")</f>
        <v/>
      </c>
    </row>
    <row r="32" spans="1:20" x14ac:dyDescent="0.2">
      <c r="R32" s="12" t="str">
        <f>IF(AND(設定!G40&gt;0,設定!F40&lt;&gt;"[5]雇用"),設定!C40,"")</f>
        <v/>
      </c>
      <c r="S32" s="12" t="str">
        <f>IF(AND(設定!F40&gt;0,設定!F40&lt;&gt;"[5]雇用"),ROW()-1,"")</f>
        <v/>
      </c>
      <c r="T32" s="12" t="str">
        <f>IFERROR(INDEX(設定!$C$10:$C$109,SMALL(リスト!$S$2:$S$100,ROW()-1),1),"")</f>
        <v/>
      </c>
    </row>
    <row r="33" spans="18:20" x14ac:dyDescent="0.2">
      <c r="R33" s="12" t="str">
        <f>IF(AND(設定!G41&gt;0,設定!F41&lt;&gt;"[5]雇用"),設定!C41,"")</f>
        <v/>
      </c>
      <c r="S33" s="12" t="str">
        <f>IF(AND(設定!F41&gt;0,設定!F41&lt;&gt;"[5]雇用"),ROW()-1,"")</f>
        <v/>
      </c>
      <c r="T33" s="12" t="str">
        <f>IFERROR(INDEX(設定!$C$10:$C$109,SMALL(リスト!$S$2:$S$100,ROW()-1),1),"")</f>
        <v/>
      </c>
    </row>
    <row r="34" spans="18:20" x14ac:dyDescent="0.2">
      <c r="R34" s="12" t="str">
        <f>IF(AND(設定!G42&gt;0,設定!F42&lt;&gt;"[5]雇用"),設定!C42,"")</f>
        <v/>
      </c>
      <c r="S34" s="12" t="str">
        <f>IF(AND(設定!F42&gt;0,設定!F42&lt;&gt;"[5]雇用"),ROW()-1,"")</f>
        <v/>
      </c>
      <c r="T34" s="12" t="str">
        <f>IFERROR(INDEX(設定!$C$10:$C$109,SMALL(リスト!$S$2:$S$100,ROW()-1),1),"")</f>
        <v/>
      </c>
    </row>
    <row r="35" spans="18:20" x14ac:dyDescent="0.2">
      <c r="R35" s="12" t="str">
        <f>IF(AND(設定!G43&gt;0,設定!F43&lt;&gt;"[5]雇用"),設定!C43,"")</f>
        <v/>
      </c>
      <c r="S35" s="12" t="str">
        <f>IF(AND(設定!F43&gt;0,設定!F43&lt;&gt;"[5]雇用"),ROW()-1,"")</f>
        <v/>
      </c>
      <c r="T35" s="12" t="str">
        <f>IFERROR(INDEX(設定!$C$10:$C$109,SMALL(リスト!$S$2:$S$100,ROW()-1),1),"")</f>
        <v/>
      </c>
    </row>
    <row r="36" spans="18:20" x14ac:dyDescent="0.2">
      <c r="R36" s="12" t="str">
        <f>IF(AND(設定!G44&gt;0,設定!F44&lt;&gt;"[5]雇用"),設定!C44,"")</f>
        <v/>
      </c>
      <c r="S36" s="12" t="str">
        <f>IF(AND(設定!F44&gt;0,設定!F44&lt;&gt;"[5]雇用"),ROW()-1,"")</f>
        <v/>
      </c>
      <c r="T36" s="12" t="str">
        <f>IFERROR(INDEX(設定!$C$10:$C$109,SMALL(リスト!$S$2:$S$100,ROW()-1),1),"")</f>
        <v/>
      </c>
    </row>
    <row r="37" spans="18:20" x14ac:dyDescent="0.2">
      <c r="R37" s="12" t="str">
        <f>IF(AND(設定!G45&gt;0,設定!F45&lt;&gt;"[5]雇用"),設定!C45,"")</f>
        <v/>
      </c>
      <c r="S37" s="12" t="str">
        <f>IF(AND(設定!F45&gt;0,設定!F45&lt;&gt;"[5]雇用"),ROW()-1,"")</f>
        <v/>
      </c>
      <c r="T37" s="12" t="str">
        <f>IFERROR(INDEX(設定!$C$10:$C$109,SMALL(リスト!$S$2:$S$100,ROW()-1),1),"")</f>
        <v/>
      </c>
    </row>
    <row r="38" spans="18:20" x14ac:dyDescent="0.2">
      <c r="R38" s="12" t="str">
        <f>IF(AND(設定!G46&gt;0,設定!F46&lt;&gt;"[5]雇用"),設定!C46,"")</f>
        <v/>
      </c>
      <c r="S38" s="12" t="str">
        <f>IF(AND(設定!F46&gt;0,設定!F46&lt;&gt;"[5]雇用"),ROW()-1,"")</f>
        <v/>
      </c>
      <c r="T38" s="12" t="str">
        <f>IFERROR(INDEX(設定!$C$10:$C$109,SMALL(リスト!$S$2:$S$100,ROW()-1),1),"")</f>
        <v/>
      </c>
    </row>
    <row r="39" spans="18:20" x14ac:dyDescent="0.2">
      <c r="R39" s="12" t="str">
        <f>IF(AND(設定!G47&gt;0,設定!F47&lt;&gt;"[5]雇用"),設定!C47,"")</f>
        <v/>
      </c>
      <c r="S39" s="12" t="str">
        <f>IF(AND(設定!F47&gt;0,設定!F47&lt;&gt;"[5]雇用"),ROW()-1,"")</f>
        <v/>
      </c>
      <c r="T39" s="12" t="str">
        <f>IFERROR(INDEX(設定!$C$10:$C$109,SMALL(リスト!$S$2:$S$100,ROW()-1),1),"")</f>
        <v/>
      </c>
    </row>
    <row r="40" spans="18:20" x14ac:dyDescent="0.2">
      <c r="R40" s="12" t="str">
        <f>IF(AND(設定!G48&gt;0,設定!F48&lt;&gt;"[5]雇用"),設定!C48,"")</f>
        <v/>
      </c>
      <c r="S40" s="12" t="str">
        <f>IF(AND(設定!F48&gt;0,設定!F48&lt;&gt;"[5]雇用"),ROW()-1,"")</f>
        <v/>
      </c>
      <c r="T40" s="12" t="str">
        <f>IFERROR(INDEX(設定!$C$10:$C$109,SMALL(リスト!$S$2:$S$100,ROW()-1),1),"")</f>
        <v/>
      </c>
    </row>
    <row r="41" spans="18:20" x14ac:dyDescent="0.2">
      <c r="R41" s="12" t="str">
        <f>IF(AND(設定!G49&gt;0,設定!F49&lt;&gt;"[5]雇用"),設定!C49,"")</f>
        <v/>
      </c>
      <c r="S41" s="12" t="str">
        <f>IF(AND(設定!F49&gt;0,設定!F49&lt;&gt;"[5]雇用"),ROW()-1,"")</f>
        <v/>
      </c>
      <c r="T41" s="12" t="str">
        <f>IFERROR(INDEX(設定!$C$10:$C$109,SMALL(リスト!$S$2:$S$100,ROW()-1),1),"")</f>
        <v/>
      </c>
    </row>
    <row r="42" spans="18:20" x14ac:dyDescent="0.2">
      <c r="R42" s="12" t="str">
        <f>IF(AND(設定!G50&gt;0,設定!F50&lt;&gt;"[5]雇用"),設定!C50,"")</f>
        <v/>
      </c>
      <c r="S42" s="12" t="str">
        <f>IF(AND(設定!F50&gt;0,設定!F50&lt;&gt;"[5]雇用"),ROW()-1,"")</f>
        <v/>
      </c>
      <c r="T42" s="12" t="str">
        <f>IFERROR(INDEX(設定!$C$10:$C$109,SMALL(リスト!$S$2:$S$100,ROW()-1),1),"")</f>
        <v/>
      </c>
    </row>
    <row r="43" spans="18:20" x14ac:dyDescent="0.2">
      <c r="R43" s="12" t="str">
        <f>IF(AND(設定!G51&gt;0,設定!F51&lt;&gt;"[5]雇用"),設定!C51,"")</f>
        <v/>
      </c>
      <c r="S43" s="12" t="str">
        <f>IF(AND(設定!F51&gt;0,設定!F51&lt;&gt;"[5]雇用"),ROW()-1,"")</f>
        <v/>
      </c>
      <c r="T43" s="12" t="str">
        <f>IFERROR(INDEX(設定!$C$10:$C$109,SMALL(リスト!$S$2:$S$100,ROW()-1),1),"")</f>
        <v/>
      </c>
    </row>
    <row r="44" spans="18:20" x14ac:dyDescent="0.2">
      <c r="R44" s="12" t="str">
        <f>IF(AND(設定!G52&gt;0,設定!F52&lt;&gt;"[5]雇用"),設定!C52,"")</f>
        <v/>
      </c>
      <c r="S44" s="12" t="str">
        <f>IF(AND(設定!F52&gt;0,設定!F52&lt;&gt;"[5]雇用"),ROW()-1,"")</f>
        <v/>
      </c>
      <c r="T44" s="12" t="str">
        <f>IFERROR(INDEX(設定!$C$10:$C$109,SMALL(リスト!$S$2:$S$100,ROW()-1),1),"")</f>
        <v/>
      </c>
    </row>
    <row r="45" spans="18:20" x14ac:dyDescent="0.2">
      <c r="R45" s="12" t="str">
        <f>IF(AND(設定!G53&gt;0,設定!F53&lt;&gt;"[5]雇用"),設定!C53,"")</f>
        <v/>
      </c>
      <c r="S45" s="12" t="str">
        <f>IF(AND(設定!F53&gt;0,設定!F53&lt;&gt;"[5]雇用"),ROW()-1,"")</f>
        <v/>
      </c>
      <c r="T45" s="12" t="str">
        <f>IFERROR(INDEX(設定!$C$10:$C$109,SMALL(リスト!$S$2:$S$100,ROW()-1),1),"")</f>
        <v/>
      </c>
    </row>
    <row r="46" spans="18:20" x14ac:dyDescent="0.2">
      <c r="R46" s="12" t="str">
        <f>IF(AND(設定!G54&gt;0,設定!F54&lt;&gt;"[5]雇用"),設定!C54,"")</f>
        <v/>
      </c>
      <c r="S46" s="12" t="str">
        <f>IF(AND(設定!F54&gt;0,設定!F54&lt;&gt;"[5]雇用"),ROW()-1,"")</f>
        <v/>
      </c>
      <c r="T46" s="12" t="str">
        <f>IFERROR(INDEX(設定!$C$10:$C$109,SMALL(リスト!$S$2:$S$100,ROW()-1),1),"")</f>
        <v/>
      </c>
    </row>
    <row r="47" spans="18:20" x14ac:dyDescent="0.2">
      <c r="R47" s="12" t="str">
        <f>IF(AND(設定!G55&gt;0,設定!F55&lt;&gt;"[5]雇用"),設定!C55,"")</f>
        <v/>
      </c>
      <c r="S47" s="12" t="str">
        <f>IF(AND(設定!F55&gt;0,設定!F55&lt;&gt;"[5]雇用"),ROW()-1,"")</f>
        <v/>
      </c>
      <c r="T47" s="12" t="str">
        <f>IFERROR(INDEX(設定!$C$10:$C$109,SMALL(リスト!$S$2:$S$100,ROW()-1),1),"")</f>
        <v/>
      </c>
    </row>
    <row r="48" spans="18:20" x14ac:dyDescent="0.2">
      <c r="R48" s="12" t="str">
        <f>IF(AND(設定!G56&gt;0,設定!F56&lt;&gt;"[5]雇用"),設定!C56,"")</f>
        <v/>
      </c>
      <c r="S48" s="12" t="str">
        <f>IF(AND(設定!F56&gt;0,設定!F56&lt;&gt;"[5]雇用"),ROW()-1,"")</f>
        <v/>
      </c>
      <c r="T48" s="12" t="str">
        <f>IFERROR(INDEX(設定!$C$10:$C$109,SMALL(リスト!$S$2:$S$100,ROW()-1),1),"")</f>
        <v/>
      </c>
    </row>
    <row r="49" spans="18:20" x14ac:dyDescent="0.2">
      <c r="R49" s="12" t="str">
        <f>IF(AND(設定!G57&gt;0,設定!F57&lt;&gt;"[5]雇用"),設定!C57,"")</f>
        <v/>
      </c>
      <c r="S49" s="12" t="str">
        <f>IF(AND(設定!F57&gt;0,設定!F57&lt;&gt;"[5]雇用"),ROW()-1,"")</f>
        <v/>
      </c>
      <c r="T49" s="12" t="str">
        <f>IFERROR(INDEX(設定!$C$10:$C$109,SMALL(リスト!$S$2:$S$100,ROW()-1),1),"")</f>
        <v/>
      </c>
    </row>
    <row r="50" spans="18:20" x14ac:dyDescent="0.2">
      <c r="R50" s="12" t="str">
        <f>IF(AND(設定!G58&gt;0,設定!F58&lt;&gt;"[5]雇用"),設定!C58,"")</f>
        <v/>
      </c>
      <c r="S50" s="12" t="str">
        <f>IF(AND(設定!F58&gt;0,設定!F58&lt;&gt;"[5]雇用"),ROW()-1,"")</f>
        <v/>
      </c>
      <c r="T50" s="12" t="str">
        <f>IFERROR(INDEX(設定!$C$10:$C$109,SMALL(リスト!$S$2:$S$100,ROW()-1),1),"")</f>
        <v/>
      </c>
    </row>
    <row r="51" spans="18:20" x14ac:dyDescent="0.2">
      <c r="R51" s="12" t="str">
        <f>IF(AND(設定!G59&gt;0,設定!F59&lt;&gt;"[5]雇用"),設定!C59,"")</f>
        <v/>
      </c>
      <c r="S51" s="12" t="str">
        <f>IF(AND(設定!F59&gt;0,設定!F59&lt;&gt;"[5]雇用"),ROW()-1,"")</f>
        <v/>
      </c>
      <c r="T51" s="12" t="str">
        <f>IFERROR(INDEX(設定!$C$10:$C$109,SMALL(リスト!$S$2:$S$100,ROW()-1),1),"")</f>
        <v/>
      </c>
    </row>
    <row r="52" spans="18:20" x14ac:dyDescent="0.2">
      <c r="R52" s="12" t="str">
        <f>IF(AND(設定!G60&gt;0,設定!F60&lt;&gt;"[5]雇用"),設定!C60,"")</f>
        <v/>
      </c>
      <c r="S52" s="12" t="str">
        <f>IF(AND(設定!F60&gt;0,設定!F60&lt;&gt;"[5]雇用"),ROW()-1,"")</f>
        <v/>
      </c>
      <c r="T52" s="12" t="str">
        <f>IFERROR(INDEX(設定!$C$10:$C$109,SMALL(リスト!$S$2:$S$100,ROW()-1),1),"")</f>
        <v/>
      </c>
    </row>
    <row r="53" spans="18:20" x14ac:dyDescent="0.2">
      <c r="R53" s="12" t="str">
        <f>IF(AND(設定!G61&gt;0,設定!F61&lt;&gt;"[5]雇用"),設定!C61,"")</f>
        <v/>
      </c>
      <c r="S53" s="12" t="str">
        <f>IF(AND(設定!F61&gt;0,設定!F61&lt;&gt;"[5]雇用"),ROW()-1,"")</f>
        <v/>
      </c>
      <c r="T53" s="12" t="str">
        <f>IFERROR(INDEX(設定!$C$10:$C$109,SMALL(リスト!$S$2:$S$100,ROW()-1),1),"")</f>
        <v/>
      </c>
    </row>
    <row r="54" spans="18:20" x14ac:dyDescent="0.2">
      <c r="R54" s="12" t="str">
        <f>IF(AND(設定!G62&gt;0,設定!F62&lt;&gt;"[5]雇用"),設定!C62,"")</f>
        <v/>
      </c>
      <c r="S54" s="12" t="str">
        <f>IF(AND(設定!F62&gt;0,設定!F62&lt;&gt;"[5]雇用"),ROW()-1,"")</f>
        <v/>
      </c>
      <c r="T54" s="12" t="str">
        <f>IFERROR(INDEX(設定!$C$10:$C$109,SMALL(リスト!$S$2:$S$100,ROW()-1),1),"")</f>
        <v/>
      </c>
    </row>
    <row r="55" spans="18:20" x14ac:dyDescent="0.2">
      <c r="R55" s="12" t="str">
        <f>IF(AND(設定!G63&gt;0,設定!F63&lt;&gt;"[5]雇用"),設定!C63,"")</f>
        <v/>
      </c>
      <c r="S55" s="12" t="str">
        <f>IF(AND(設定!F63&gt;0,設定!F63&lt;&gt;"[5]雇用"),ROW()-1,"")</f>
        <v/>
      </c>
      <c r="T55" s="12" t="str">
        <f>IFERROR(INDEX(設定!$C$10:$C$109,SMALL(リスト!$S$2:$S$100,ROW()-1),1),"")</f>
        <v/>
      </c>
    </row>
    <row r="56" spans="18:20" x14ac:dyDescent="0.2">
      <c r="R56" s="12" t="str">
        <f>IF(AND(設定!G64&gt;0,設定!F64&lt;&gt;"[5]雇用"),設定!C64,"")</f>
        <v/>
      </c>
      <c r="S56" s="12" t="str">
        <f>IF(AND(設定!F64&gt;0,設定!F64&lt;&gt;"[5]雇用"),ROW()-1,"")</f>
        <v/>
      </c>
      <c r="T56" s="12" t="str">
        <f>IFERROR(INDEX(設定!$C$10:$C$109,SMALL(リスト!$S$2:$S$100,ROW()-1),1),"")</f>
        <v/>
      </c>
    </row>
    <row r="57" spans="18:20" x14ac:dyDescent="0.2">
      <c r="R57" s="12" t="str">
        <f>IF(AND(設定!G65&gt;0,設定!F65&lt;&gt;"[5]雇用"),設定!C65,"")</f>
        <v/>
      </c>
      <c r="S57" s="12" t="str">
        <f>IF(AND(設定!F65&gt;0,設定!F65&lt;&gt;"[5]雇用"),ROW()-1,"")</f>
        <v/>
      </c>
      <c r="T57" s="12" t="str">
        <f>IFERROR(INDEX(設定!$C$10:$C$109,SMALL(リスト!$S$2:$S$100,ROW()-1),1),"")</f>
        <v/>
      </c>
    </row>
    <row r="58" spans="18:20" x14ac:dyDescent="0.2">
      <c r="R58" s="12" t="str">
        <f>IF(AND(設定!G66&gt;0,設定!F66&lt;&gt;"[5]雇用"),設定!C66,"")</f>
        <v/>
      </c>
      <c r="S58" s="12" t="str">
        <f>IF(AND(設定!F66&gt;0,設定!F66&lt;&gt;"[5]雇用"),ROW()-1,"")</f>
        <v/>
      </c>
      <c r="T58" s="12" t="str">
        <f>IFERROR(INDEX(設定!$C$10:$C$109,SMALL(リスト!$S$2:$S$100,ROW()-1),1),"")</f>
        <v/>
      </c>
    </row>
    <row r="59" spans="18:20" x14ac:dyDescent="0.2">
      <c r="R59" s="12" t="str">
        <f>IF(AND(設定!G67&gt;0,設定!F67&lt;&gt;"[5]雇用"),設定!C67,"")</f>
        <v/>
      </c>
      <c r="S59" s="12" t="str">
        <f>IF(AND(設定!F67&gt;0,設定!F67&lt;&gt;"[5]雇用"),ROW()-1,"")</f>
        <v/>
      </c>
      <c r="T59" s="12" t="str">
        <f>IFERROR(INDEX(設定!$C$10:$C$109,SMALL(リスト!$S$2:$S$100,ROW()-1),1),"")</f>
        <v/>
      </c>
    </row>
    <row r="60" spans="18:20" x14ac:dyDescent="0.2">
      <c r="R60" s="12" t="str">
        <f>IF(AND(設定!G68&gt;0,設定!F68&lt;&gt;"[5]雇用"),設定!C68,"")</f>
        <v/>
      </c>
      <c r="S60" s="12" t="str">
        <f>IF(AND(設定!F68&gt;0,設定!F68&lt;&gt;"[5]雇用"),ROW()-1,"")</f>
        <v/>
      </c>
      <c r="T60" s="12" t="str">
        <f>IFERROR(INDEX(設定!$C$10:$C$109,SMALL(リスト!$S$2:$S$100,ROW()-1),1),"")</f>
        <v/>
      </c>
    </row>
    <row r="61" spans="18:20" x14ac:dyDescent="0.2">
      <c r="R61" s="12" t="str">
        <f>IF(AND(設定!G69&gt;0,設定!F69&lt;&gt;"[5]雇用"),設定!C69,"")</f>
        <v/>
      </c>
      <c r="S61" s="12" t="str">
        <f>IF(AND(設定!F69&gt;0,設定!F69&lt;&gt;"[5]雇用"),ROW()-1,"")</f>
        <v/>
      </c>
      <c r="T61" s="12" t="str">
        <f>IFERROR(INDEX(設定!$C$10:$C$109,SMALL(リスト!$S$2:$S$100,ROW()-1),1),"")</f>
        <v/>
      </c>
    </row>
    <row r="62" spans="18:20" x14ac:dyDescent="0.2">
      <c r="R62" s="12" t="str">
        <f>IF(AND(設定!G70&gt;0,設定!F70&lt;&gt;"[5]雇用"),設定!C70,"")</f>
        <v/>
      </c>
      <c r="S62" s="12" t="str">
        <f>IF(AND(設定!F70&gt;0,設定!F70&lt;&gt;"[5]雇用"),ROW()-1,"")</f>
        <v/>
      </c>
      <c r="T62" s="12" t="str">
        <f>IFERROR(INDEX(設定!$C$10:$C$109,SMALL(リスト!$S$2:$S$100,ROW()-1),1),"")</f>
        <v/>
      </c>
    </row>
    <row r="63" spans="18:20" x14ac:dyDescent="0.2">
      <c r="R63" s="12" t="str">
        <f>IF(AND(設定!G71&gt;0,設定!F71&lt;&gt;"[5]雇用"),設定!C71,"")</f>
        <v/>
      </c>
      <c r="S63" s="12" t="str">
        <f>IF(AND(設定!F71&gt;0,設定!F71&lt;&gt;"[5]雇用"),ROW()-1,"")</f>
        <v/>
      </c>
      <c r="T63" s="12" t="str">
        <f>IFERROR(INDEX(設定!$C$10:$C$109,SMALL(リスト!$S$2:$S$100,ROW()-1),1),"")</f>
        <v/>
      </c>
    </row>
    <row r="64" spans="18:20" x14ac:dyDescent="0.2">
      <c r="R64" s="12" t="str">
        <f>IF(AND(設定!G72&gt;0,設定!F72&lt;&gt;"[5]雇用"),設定!C72,"")</f>
        <v/>
      </c>
      <c r="S64" s="12" t="str">
        <f>IF(AND(設定!F72&gt;0,設定!F72&lt;&gt;"[5]雇用"),ROW()-1,"")</f>
        <v/>
      </c>
      <c r="T64" s="12" t="str">
        <f>IFERROR(INDEX(設定!$C$10:$C$109,SMALL(リスト!$S$2:$S$100,ROW()-1),1),"")</f>
        <v/>
      </c>
    </row>
    <row r="65" spans="18:20" x14ac:dyDescent="0.2">
      <c r="R65" s="12" t="str">
        <f>IF(AND(設定!G73&gt;0,設定!F73&lt;&gt;"[5]雇用"),設定!C73,"")</f>
        <v/>
      </c>
      <c r="S65" s="12" t="str">
        <f>IF(AND(設定!F73&gt;0,設定!F73&lt;&gt;"[5]雇用"),ROW()-1,"")</f>
        <v/>
      </c>
      <c r="T65" s="12" t="str">
        <f>IFERROR(INDEX(設定!$C$10:$C$109,SMALL(リスト!$S$2:$S$100,ROW()-1),1),"")</f>
        <v/>
      </c>
    </row>
    <row r="66" spans="18:20" x14ac:dyDescent="0.2">
      <c r="R66" s="12" t="str">
        <f>IF(AND(設定!G74&gt;0,設定!F74&lt;&gt;"[5]雇用"),設定!C74,"")</f>
        <v/>
      </c>
      <c r="S66" s="12" t="str">
        <f>IF(AND(設定!F74&gt;0,設定!F74&lt;&gt;"[5]雇用"),ROW()-1,"")</f>
        <v/>
      </c>
      <c r="T66" s="12" t="str">
        <f>IFERROR(INDEX(設定!$C$10:$C$109,SMALL(リスト!$S$2:$S$100,ROW()-1),1),"")</f>
        <v/>
      </c>
    </row>
    <row r="67" spans="18:20" x14ac:dyDescent="0.2">
      <c r="R67" s="12" t="str">
        <f>IF(AND(設定!G75&gt;0,設定!F75&lt;&gt;"[5]雇用"),設定!C75,"")</f>
        <v/>
      </c>
      <c r="S67" s="12" t="str">
        <f>IF(AND(設定!F75&gt;0,設定!F75&lt;&gt;"[5]雇用"),ROW()-1,"")</f>
        <v/>
      </c>
      <c r="T67" s="12" t="str">
        <f>IFERROR(INDEX(設定!$C$10:$C$109,SMALL(リスト!$S$2:$S$100,ROW()-1),1),"")</f>
        <v/>
      </c>
    </row>
    <row r="68" spans="18:20" x14ac:dyDescent="0.2">
      <c r="R68" s="12" t="str">
        <f>IF(AND(設定!G76&gt;0,設定!F76&lt;&gt;"[5]雇用"),設定!C76,"")</f>
        <v/>
      </c>
      <c r="S68" s="12" t="str">
        <f>IF(AND(設定!F76&gt;0,設定!F76&lt;&gt;"[5]雇用"),ROW()-1,"")</f>
        <v/>
      </c>
      <c r="T68" s="12" t="str">
        <f>IFERROR(INDEX(設定!$C$10:$C$109,SMALL(リスト!$S$2:$S$100,ROW()-1),1),"")</f>
        <v/>
      </c>
    </row>
    <row r="69" spans="18:20" x14ac:dyDescent="0.2">
      <c r="R69" s="12" t="str">
        <f>IF(AND(設定!G77&gt;0,設定!F77&lt;&gt;"[5]雇用"),設定!C77,"")</f>
        <v/>
      </c>
      <c r="S69" s="12" t="str">
        <f>IF(AND(設定!F77&gt;0,設定!F77&lt;&gt;"[5]雇用"),ROW()-1,"")</f>
        <v/>
      </c>
      <c r="T69" s="12" t="str">
        <f>IFERROR(INDEX(設定!$C$10:$C$109,SMALL(リスト!$S$2:$S$100,ROW()-1),1),"")</f>
        <v/>
      </c>
    </row>
    <row r="70" spans="18:20" x14ac:dyDescent="0.2">
      <c r="R70" s="12" t="str">
        <f>IF(AND(設定!G78&gt;0,設定!F78&lt;&gt;"[5]雇用"),設定!C78,"")</f>
        <v/>
      </c>
      <c r="S70" s="12" t="str">
        <f>IF(AND(設定!F78&gt;0,設定!F78&lt;&gt;"[5]雇用"),ROW()-1,"")</f>
        <v/>
      </c>
      <c r="T70" s="12" t="str">
        <f>IFERROR(INDEX(設定!$C$10:$C$109,SMALL(リスト!$S$2:$S$100,ROW()-1),1),"")</f>
        <v/>
      </c>
    </row>
    <row r="71" spans="18:20" x14ac:dyDescent="0.2">
      <c r="R71" s="12" t="str">
        <f>IF(AND(設定!G79&gt;0,設定!F79&lt;&gt;"[5]雇用"),設定!C79,"")</f>
        <v/>
      </c>
      <c r="S71" s="12" t="str">
        <f>IF(AND(設定!F79&gt;0,設定!F79&lt;&gt;"[5]雇用"),ROW()-1,"")</f>
        <v/>
      </c>
      <c r="T71" s="12" t="str">
        <f>IFERROR(INDEX(設定!$C$10:$C$109,SMALL(リスト!$S$2:$S$100,ROW()-1),1),"")</f>
        <v/>
      </c>
    </row>
    <row r="72" spans="18:20" x14ac:dyDescent="0.2">
      <c r="R72" s="12" t="str">
        <f>IF(AND(設定!G80&gt;0,設定!F80&lt;&gt;"[5]雇用"),設定!C80,"")</f>
        <v/>
      </c>
      <c r="S72" s="12" t="str">
        <f>IF(AND(設定!F80&gt;0,設定!F80&lt;&gt;"[5]雇用"),ROW()-1,"")</f>
        <v/>
      </c>
      <c r="T72" s="12" t="str">
        <f>IFERROR(INDEX(設定!$C$10:$C$109,SMALL(リスト!$S$2:$S$100,ROW()-1),1),"")</f>
        <v/>
      </c>
    </row>
    <row r="73" spans="18:20" x14ac:dyDescent="0.2">
      <c r="R73" s="12" t="str">
        <f>IF(AND(設定!G81&gt;0,設定!F81&lt;&gt;"[5]雇用"),設定!C81,"")</f>
        <v/>
      </c>
      <c r="S73" s="12" t="str">
        <f>IF(AND(設定!F81&gt;0,設定!F81&lt;&gt;"[5]雇用"),ROW()-1,"")</f>
        <v/>
      </c>
      <c r="T73" s="12" t="str">
        <f>IFERROR(INDEX(設定!$C$10:$C$109,SMALL(リスト!$S$2:$S$100,ROW()-1),1),"")</f>
        <v/>
      </c>
    </row>
    <row r="74" spans="18:20" x14ac:dyDescent="0.2">
      <c r="R74" s="12" t="str">
        <f>IF(AND(設定!G82&gt;0,設定!F82&lt;&gt;"[5]雇用"),設定!C82,"")</f>
        <v/>
      </c>
      <c r="S74" s="12" t="str">
        <f>IF(AND(設定!F82&gt;0,設定!F82&lt;&gt;"[5]雇用"),ROW()-1,"")</f>
        <v/>
      </c>
      <c r="T74" s="12" t="str">
        <f>IFERROR(INDEX(設定!$C$10:$C$109,SMALL(リスト!$S$2:$S$100,ROW()-1),1),"")</f>
        <v/>
      </c>
    </row>
    <row r="75" spans="18:20" x14ac:dyDescent="0.2">
      <c r="R75" s="12" t="str">
        <f>IF(AND(設定!G83&gt;0,設定!F83&lt;&gt;"[5]雇用"),設定!C83,"")</f>
        <v/>
      </c>
      <c r="S75" s="12" t="str">
        <f>IF(AND(設定!F83&gt;0,設定!F83&lt;&gt;"[5]雇用"),ROW()-1,"")</f>
        <v/>
      </c>
      <c r="T75" s="12" t="str">
        <f>IFERROR(INDEX(設定!$C$10:$C$109,SMALL(リスト!$S$2:$S$100,ROW()-1),1),"")</f>
        <v/>
      </c>
    </row>
    <row r="76" spans="18:20" x14ac:dyDescent="0.2">
      <c r="R76" s="12" t="str">
        <f>IF(AND(設定!G84&gt;0,設定!F84&lt;&gt;"[5]雇用"),設定!C84,"")</f>
        <v/>
      </c>
      <c r="S76" s="12" t="str">
        <f>IF(AND(設定!F84&gt;0,設定!F84&lt;&gt;"[5]雇用"),ROW()-1,"")</f>
        <v/>
      </c>
      <c r="T76" s="12" t="str">
        <f>IFERROR(INDEX(設定!$C$10:$C$109,SMALL(リスト!$S$2:$S$100,ROW()-1),1),"")</f>
        <v/>
      </c>
    </row>
    <row r="77" spans="18:20" x14ac:dyDescent="0.2">
      <c r="R77" s="12" t="str">
        <f>IF(AND(設定!G85&gt;0,設定!F85&lt;&gt;"[5]雇用"),設定!C85,"")</f>
        <v/>
      </c>
      <c r="S77" s="12" t="str">
        <f>IF(AND(設定!F85&gt;0,設定!F85&lt;&gt;"[5]雇用"),ROW()-1,"")</f>
        <v/>
      </c>
      <c r="T77" s="12" t="str">
        <f>IFERROR(INDEX(設定!$C$10:$C$109,SMALL(リスト!$S$2:$S$100,ROW()-1),1),"")</f>
        <v/>
      </c>
    </row>
    <row r="78" spans="18:20" x14ac:dyDescent="0.2">
      <c r="R78" s="12" t="str">
        <f>IF(AND(設定!G86&gt;0,設定!F86&lt;&gt;"[5]雇用"),設定!C86,"")</f>
        <v/>
      </c>
      <c r="S78" s="12" t="str">
        <f>IF(AND(設定!F86&gt;0,設定!F86&lt;&gt;"[5]雇用"),ROW()-1,"")</f>
        <v/>
      </c>
      <c r="T78" s="12" t="str">
        <f>IFERROR(INDEX(設定!$C$10:$C$109,SMALL(リスト!$S$2:$S$100,ROW()-1),1),"")</f>
        <v/>
      </c>
    </row>
    <row r="79" spans="18:20" x14ac:dyDescent="0.2">
      <c r="R79" s="12" t="str">
        <f>IF(AND(設定!G87&gt;0,設定!F87&lt;&gt;"[5]雇用"),設定!C87,"")</f>
        <v/>
      </c>
      <c r="S79" s="12" t="str">
        <f>IF(AND(設定!F87&gt;0,設定!F87&lt;&gt;"[5]雇用"),ROW()-1,"")</f>
        <v/>
      </c>
      <c r="T79" s="12" t="str">
        <f>IFERROR(INDEX(設定!$C$10:$C$109,SMALL(リスト!$S$2:$S$100,ROW()-1),1),"")</f>
        <v/>
      </c>
    </row>
    <row r="80" spans="18:20" x14ac:dyDescent="0.2">
      <c r="R80" s="12" t="str">
        <f>IF(AND(設定!G88&gt;0,設定!F88&lt;&gt;"[5]雇用"),設定!C88,"")</f>
        <v/>
      </c>
      <c r="S80" s="12" t="str">
        <f>IF(AND(設定!F88&gt;0,設定!F88&lt;&gt;"[5]雇用"),ROW()-1,"")</f>
        <v/>
      </c>
      <c r="T80" s="12" t="str">
        <f>IFERROR(INDEX(設定!$C$10:$C$109,SMALL(リスト!$S$2:$S$100,ROW()-1),1),"")</f>
        <v/>
      </c>
    </row>
    <row r="81" spans="18:20" x14ac:dyDescent="0.2">
      <c r="R81" s="12" t="str">
        <f>IF(AND(設定!G89&gt;0,設定!F89&lt;&gt;"[5]雇用"),設定!C89,"")</f>
        <v/>
      </c>
      <c r="S81" s="12" t="str">
        <f>IF(AND(設定!F89&gt;0,設定!F89&lt;&gt;"[5]雇用"),ROW()-1,"")</f>
        <v/>
      </c>
      <c r="T81" s="12" t="str">
        <f>IFERROR(INDEX(設定!$C$10:$C$109,SMALL(リスト!$S$2:$S$100,ROW()-1),1),"")</f>
        <v/>
      </c>
    </row>
    <row r="82" spans="18:20" x14ac:dyDescent="0.2">
      <c r="R82" s="12" t="str">
        <f>IF(AND(設定!G90&gt;0,設定!F90&lt;&gt;"[5]雇用"),設定!C90,"")</f>
        <v/>
      </c>
      <c r="S82" s="12" t="str">
        <f>IF(AND(設定!F90&gt;0,設定!F90&lt;&gt;"[5]雇用"),ROW()-1,"")</f>
        <v/>
      </c>
      <c r="T82" s="12" t="str">
        <f>IFERROR(INDEX(設定!$C$10:$C$109,SMALL(リスト!$S$2:$S$100,ROW()-1),1),"")</f>
        <v/>
      </c>
    </row>
    <row r="83" spans="18:20" x14ac:dyDescent="0.2">
      <c r="R83" s="12" t="str">
        <f>IF(AND(設定!G91&gt;0,設定!F91&lt;&gt;"[5]雇用"),設定!C91,"")</f>
        <v/>
      </c>
      <c r="S83" s="12" t="str">
        <f>IF(AND(設定!F91&gt;0,設定!F91&lt;&gt;"[5]雇用"),ROW()-1,"")</f>
        <v/>
      </c>
      <c r="T83" s="12" t="str">
        <f>IFERROR(INDEX(設定!$C$10:$C$109,SMALL(リスト!$S$2:$S$100,ROW()-1),1),"")</f>
        <v/>
      </c>
    </row>
    <row r="84" spans="18:20" x14ac:dyDescent="0.2">
      <c r="R84" s="12" t="str">
        <f>IF(AND(設定!G92&gt;0,設定!F92&lt;&gt;"[5]雇用"),設定!C92,"")</f>
        <v/>
      </c>
      <c r="S84" s="12" t="str">
        <f>IF(AND(設定!F92&gt;0,設定!F92&lt;&gt;"[5]雇用"),ROW()-1,"")</f>
        <v/>
      </c>
      <c r="T84" s="12" t="str">
        <f>IFERROR(INDEX(設定!$C$10:$C$109,SMALL(リスト!$S$2:$S$100,ROW()-1),1),"")</f>
        <v/>
      </c>
    </row>
    <row r="85" spans="18:20" x14ac:dyDescent="0.2">
      <c r="R85" s="12" t="str">
        <f>IF(AND(設定!G93&gt;0,設定!F93&lt;&gt;"[5]雇用"),設定!C93,"")</f>
        <v/>
      </c>
      <c r="S85" s="12" t="str">
        <f>IF(AND(設定!F93&gt;0,設定!F93&lt;&gt;"[5]雇用"),ROW()-1,"")</f>
        <v/>
      </c>
      <c r="T85" s="12" t="str">
        <f>IFERROR(INDEX(設定!$C$10:$C$109,SMALL(リスト!$S$2:$S$100,ROW()-1),1),"")</f>
        <v/>
      </c>
    </row>
    <row r="86" spans="18:20" x14ac:dyDescent="0.2">
      <c r="R86" s="12" t="str">
        <f>IF(AND(設定!G94&gt;0,設定!F94&lt;&gt;"[5]雇用"),設定!C94,"")</f>
        <v/>
      </c>
      <c r="S86" s="12" t="str">
        <f>IF(AND(設定!F94&gt;0,設定!F94&lt;&gt;"[5]雇用"),ROW()-1,"")</f>
        <v/>
      </c>
      <c r="T86" s="12" t="str">
        <f>IFERROR(INDEX(設定!$C$10:$C$109,SMALL(リスト!$S$2:$S$100,ROW()-1),1),"")</f>
        <v/>
      </c>
    </row>
    <row r="87" spans="18:20" x14ac:dyDescent="0.2">
      <c r="R87" s="12" t="str">
        <f>IF(AND(設定!G95&gt;0,設定!F95&lt;&gt;"[5]雇用"),設定!C95,"")</f>
        <v/>
      </c>
      <c r="S87" s="12" t="str">
        <f>IF(AND(設定!F95&gt;0,設定!F95&lt;&gt;"[5]雇用"),ROW()-1,"")</f>
        <v/>
      </c>
      <c r="T87" s="12" t="str">
        <f>IFERROR(INDEX(設定!$C$10:$C$109,SMALL(リスト!$S$2:$S$100,ROW()-1),1),"")</f>
        <v/>
      </c>
    </row>
    <row r="88" spans="18:20" x14ac:dyDescent="0.2">
      <c r="R88" s="12" t="str">
        <f>IF(AND(設定!G96&gt;0,設定!F96&lt;&gt;"[5]雇用"),設定!C96,"")</f>
        <v/>
      </c>
      <c r="S88" s="12" t="str">
        <f>IF(AND(設定!F96&gt;0,設定!F96&lt;&gt;"[5]雇用"),ROW()-1,"")</f>
        <v/>
      </c>
      <c r="T88" s="12" t="str">
        <f>IFERROR(INDEX(設定!$C$10:$C$109,SMALL(リスト!$S$2:$S$100,ROW()-1),1),"")</f>
        <v/>
      </c>
    </row>
    <row r="89" spans="18:20" x14ac:dyDescent="0.2">
      <c r="R89" s="12" t="str">
        <f>IF(AND(設定!G97&gt;0,設定!F97&lt;&gt;"[5]雇用"),設定!C97,"")</f>
        <v/>
      </c>
      <c r="S89" s="12" t="str">
        <f>IF(AND(設定!F97&gt;0,設定!F97&lt;&gt;"[5]雇用"),ROW()-1,"")</f>
        <v/>
      </c>
      <c r="T89" s="12" t="str">
        <f>IFERROR(INDEX(設定!$C$10:$C$109,SMALL(リスト!$S$2:$S$100,ROW()-1),1),"")</f>
        <v/>
      </c>
    </row>
    <row r="90" spans="18:20" x14ac:dyDescent="0.2">
      <c r="R90" s="12" t="str">
        <f>IF(AND(設定!G98&gt;0,設定!F98&lt;&gt;"[5]雇用"),設定!C98,"")</f>
        <v/>
      </c>
      <c r="S90" s="12" t="str">
        <f>IF(AND(設定!F98&gt;0,設定!F98&lt;&gt;"[5]雇用"),ROW()-1,"")</f>
        <v/>
      </c>
      <c r="T90" s="12" t="str">
        <f>IFERROR(INDEX(設定!$C$10:$C$109,SMALL(リスト!$S$2:$S$100,ROW()-1),1),"")</f>
        <v/>
      </c>
    </row>
    <row r="91" spans="18:20" x14ac:dyDescent="0.2">
      <c r="R91" s="12" t="str">
        <f>IF(AND(設定!G99&gt;0,設定!F99&lt;&gt;"[5]雇用"),設定!C99,"")</f>
        <v/>
      </c>
      <c r="S91" s="12" t="str">
        <f>IF(AND(設定!F99&gt;0,設定!F99&lt;&gt;"[5]雇用"),ROW()-1,"")</f>
        <v/>
      </c>
      <c r="T91" s="12" t="str">
        <f>IFERROR(INDEX(設定!$C$10:$C$109,SMALL(リスト!$S$2:$S$100,ROW()-1),1),"")</f>
        <v/>
      </c>
    </row>
    <row r="92" spans="18:20" x14ac:dyDescent="0.2">
      <c r="R92" s="12" t="str">
        <f>IF(AND(設定!G100&gt;0,設定!F100&lt;&gt;"[5]雇用"),設定!C100,"")</f>
        <v/>
      </c>
      <c r="S92" s="12" t="str">
        <f>IF(AND(設定!F100&gt;0,設定!F100&lt;&gt;"[5]雇用"),ROW()-1,"")</f>
        <v/>
      </c>
      <c r="T92" s="12" t="str">
        <f>IFERROR(INDEX(設定!$C$10:$C$109,SMALL(リスト!$S$2:$S$100,ROW()-1),1),"")</f>
        <v/>
      </c>
    </row>
    <row r="93" spans="18:20" x14ac:dyDescent="0.2">
      <c r="R93" s="12" t="str">
        <f>IF(AND(設定!G101&gt;0,設定!F101&lt;&gt;"[5]雇用"),設定!C101,"")</f>
        <v/>
      </c>
      <c r="S93" s="12" t="str">
        <f>IF(AND(設定!F101&gt;0,設定!F101&lt;&gt;"[5]雇用"),ROW()-1,"")</f>
        <v/>
      </c>
      <c r="T93" s="12" t="str">
        <f>IFERROR(INDEX(設定!$C$10:$C$109,SMALL(リスト!$S$2:$S$100,ROW()-1),1),"")</f>
        <v/>
      </c>
    </row>
    <row r="94" spans="18:20" x14ac:dyDescent="0.2">
      <c r="R94" s="12" t="str">
        <f>IF(AND(設定!G102&gt;0,設定!F102&lt;&gt;"[5]雇用"),設定!C102,"")</f>
        <v/>
      </c>
      <c r="S94" s="12" t="str">
        <f>IF(AND(設定!F102&gt;0,設定!F102&lt;&gt;"[5]雇用"),ROW()-1,"")</f>
        <v/>
      </c>
      <c r="T94" s="12" t="str">
        <f>IFERROR(INDEX(設定!$C$10:$C$109,SMALL(リスト!$S$2:$S$100,ROW()-1),1),"")</f>
        <v/>
      </c>
    </row>
    <row r="95" spans="18:20" x14ac:dyDescent="0.2">
      <c r="R95" s="12" t="str">
        <f>IF(AND(設定!G103&gt;0,設定!F103&lt;&gt;"[5]雇用"),設定!C103,"")</f>
        <v/>
      </c>
      <c r="S95" s="12" t="str">
        <f>IF(AND(設定!F103&gt;0,設定!F103&lt;&gt;"[5]雇用"),ROW()-1,"")</f>
        <v/>
      </c>
      <c r="T95" s="12" t="str">
        <f>IFERROR(INDEX(設定!$C$10:$C$109,SMALL(リスト!$S$2:$S$100,ROW()-1),1),"")</f>
        <v/>
      </c>
    </row>
    <row r="96" spans="18:20" x14ac:dyDescent="0.2">
      <c r="R96" s="12" t="str">
        <f>IF(AND(設定!G104&gt;0,設定!F104&lt;&gt;"[5]雇用"),設定!C104,"")</f>
        <v/>
      </c>
      <c r="S96" s="12" t="str">
        <f>IF(AND(設定!F104&gt;0,設定!F104&lt;&gt;"[5]雇用"),ROW()-1,"")</f>
        <v/>
      </c>
      <c r="T96" s="12" t="str">
        <f>IFERROR(INDEX(設定!$C$10:$C$109,SMALL(リスト!$S$2:$S$100,ROW()-1),1),"")</f>
        <v/>
      </c>
    </row>
    <row r="97" spans="18:20" x14ac:dyDescent="0.2">
      <c r="R97" s="12" t="str">
        <f>IF(AND(設定!G105&gt;0,設定!F105&lt;&gt;"[5]雇用"),設定!C105,"")</f>
        <v/>
      </c>
      <c r="S97" s="12" t="str">
        <f>IF(AND(設定!F105&gt;0,設定!F105&lt;&gt;"[5]雇用"),ROW()-1,"")</f>
        <v/>
      </c>
      <c r="T97" s="12" t="str">
        <f>IFERROR(INDEX(設定!$C$10:$C$109,SMALL(リスト!$S$2:$S$100,ROW()-1),1),"")</f>
        <v/>
      </c>
    </row>
    <row r="98" spans="18:20" x14ac:dyDescent="0.2">
      <c r="R98" s="12" t="str">
        <f>IF(AND(設定!G106&gt;0,設定!F106&lt;&gt;"[5]雇用"),設定!C106,"")</f>
        <v/>
      </c>
      <c r="S98" s="12" t="str">
        <f>IF(AND(設定!F106&gt;0,設定!F106&lt;&gt;"[5]雇用"),ROW()-1,"")</f>
        <v/>
      </c>
      <c r="T98" s="12" t="str">
        <f>IFERROR(INDEX(設定!$C$10:$C$109,SMALL(リスト!$S$2:$S$100,ROW()-1),1),"")</f>
        <v/>
      </c>
    </row>
    <row r="99" spans="18:20" x14ac:dyDescent="0.2">
      <c r="R99" s="12" t="str">
        <f>IF(AND(設定!G107&gt;0,設定!F107&lt;&gt;"[5]雇用"),設定!C107,"")</f>
        <v/>
      </c>
      <c r="S99" s="12" t="str">
        <f>IF(AND(設定!F107&gt;0,設定!F107&lt;&gt;"[5]雇用"),ROW()-1,"")</f>
        <v/>
      </c>
      <c r="T99" s="12" t="str">
        <f>IFERROR(INDEX(設定!$C$10:$C$109,SMALL(リスト!$S$2:$S$100,ROW()-1),1),"")</f>
        <v/>
      </c>
    </row>
    <row r="100" spans="18:20" x14ac:dyDescent="0.2">
      <c r="R100" s="12" t="str">
        <f>IF(AND(設定!G108&gt;0,設定!F108&lt;&gt;"[5]雇用"),設定!C108,"")</f>
        <v/>
      </c>
      <c r="S100" s="12" t="str">
        <f>IF(AND(設定!F108&gt;0,設定!F108&lt;&gt;"[5]雇用"),ROW()-1,"")</f>
        <v/>
      </c>
      <c r="T100" s="12" t="str">
        <f>IFERROR(INDEX(設定!$C$10:$C$109,SMALL(リスト!$S$2:$S$100,ROW()-1),1),"")</f>
        <v/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17</vt:i4>
      </vt:variant>
    </vt:vector>
  </HeadingPairs>
  <TitlesOfParts>
    <vt:vector size="22" baseType="lpstr">
      <vt:lpstr>設定</vt:lpstr>
      <vt:lpstr>月別入力</vt:lpstr>
      <vt:lpstr>【12】作業別労働時間①_個別</vt:lpstr>
      <vt:lpstr>【12】作業別労働時間①_組織</vt:lpstr>
      <vt:lpstr>リスト</vt:lpstr>
      <vt:lpstr>【12】作業別労働時間①_個別!Print_Area</vt:lpstr>
      <vt:lpstr>【12】作業別労働時間①_組織!Print_Area</vt:lpstr>
      <vt:lpstr>設定!Print_Titles</vt:lpstr>
      <vt:lpstr>さとうきび</vt:lpstr>
      <vt:lpstr>そば</vt:lpstr>
      <vt:lpstr>てんさい</vt:lpstr>
      <vt:lpstr>なたね</vt:lpstr>
      <vt:lpstr>はだか麦</vt:lpstr>
      <vt:lpstr>原料用かんしょ</vt:lpstr>
      <vt:lpstr>原料用ばれいしょ</vt:lpstr>
      <vt:lpstr>個別経営体</vt:lpstr>
      <vt:lpstr>小麦</vt:lpstr>
      <vt:lpstr>組織法人経営体</vt:lpstr>
      <vt:lpstr>大豆</vt:lpstr>
      <vt:lpstr>二条大麦</vt:lpstr>
      <vt:lpstr>米</vt:lpstr>
      <vt:lpstr>六条大麦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2022-03-16T11:04:31Z</dcterms:modified>
</cp:coreProperties>
</file>