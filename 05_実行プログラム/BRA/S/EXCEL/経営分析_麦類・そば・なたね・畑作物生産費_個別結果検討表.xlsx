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20" yWindow="-120" windowWidth="29040" windowHeight="15840"/>
  </bookViews>
  <sheets>
    <sheet name="No.1" sheetId="26" r:id="rId1"/>
    <sheet name="No.2" sheetId="27" r:id="rId2"/>
    <sheet name="No.3" sheetId="28" r:id="rId3"/>
    <sheet name="No.4" sheetId="29" r:id="rId4"/>
    <sheet name="No.5" sheetId="30" r:id="rId5"/>
    <sheet name="No.5 (2)" sheetId="31" r:id="rId6"/>
  </sheets>
  <definedNames>
    <definedName name="_xlnm.Print_Area" localSheetId="0">No.1!$A$1:$R$45</definedName>
    <definedName name="_xlnm.Print_Area" localSheetId="1">No.2!$A$1:$Y$38</definedName>
    <definedName name="_xlnm.Print_Area" localSheetId="2">No.3!$A$1:$X$39</definedName>
    <definedName name="_xlnm.Print_Area" localSheetId="3">No.4!$A$1:$O$48</definedName>
    <definedName name="_xlnm.Print_Area" localSheetId="4">No.5!$A$1:$S$42</definedName>
    <definedName name="_xlnm.Print_Area" localSheetId="5">'No.5 (2)'!$A$1:$T$40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9" i="31" l="1"/>
  <c r="M2" i="29" l="1"/>
  <c r="Q2" i="30"/>
  <c r="Q2" i="31"/>
  <c r="V2" i="28"/>
  <c r="U2" i="27"/>
  <c r="N39" i="31" l="1"/>
  <c r="M39" i="31"/>
  <c r="O33" i="31"/>
  <c r="N33" i="31"/>
  <c r="M33" i="31"/>
  <c r="O32" i="31"/>
  <c r="N32" i="31"/>
  <c r="M32" i="31"/>
  <c r="O31" i="31"/>
  <c r="N31" i="31"/>
  <c r="M31" i="31"/>
  <c r="O30" i="31"/>
  <c r="N30" i="31"/>
  <c r="M30" i="31"/>
  <c r="O29" i="31"/>
  <c r="N29" i="31"/>
  <c r="M29" i="31"/>
  <c r="O28" i="31"/>
  <c r="N28" i="31"/>
  <c r="M28" i="31"/>
  <c r="O27" i="31"/>
  <c r="N27" i="31"/>
  <c r="M27" i="31"/>
  <c r="O26" i="31"/>
  <c r="N26" i="31"/>
  <c r="M26" i="31"/>
  <c r="O25" i="31"/>
  <c r="N25" i="31"/>
  <c r="M25" i="31"/>
  <c r="O20" i="31"/>
  <c r="N20" i="31"/>
  <c r="M20" i="31"/>
  <c r="O19" i="31"/>
  <c r="N19" i="31"/>
  <c r="M19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38" i="30"/>
  <c r="N38" i="30"/>
  <c r="M38" i="30"/>
  <c r="O37" i="30"/>
  <c r="N37" i="30"/>
  <c r="M37" i="30"/>
  <c r="O36" i="30"/>
  <c r="N36" i="30"/>
  <c r="M36" i="30"/>
  <c r="O35" i="30"/>
  <c r="N35" i="30"/>
  <c r="M35" i="30"/>
  <c r="O34" i="30"/>
  <c r="N34" i="30"/>
  <c r="M34" i="30"/>
  <c r="O33" i="30"/>
  <c r="N33" i="30"/>
  <c r="M33" i="30"/>
  <c r="O32" i="30"/>
  <c r="N32" i="30"/>
  <c r="M32" i="30"/>
  <c r="O31" i="30"/>
  <c r="N31" i="30"/>
  <c r="M31" i="30"/>
  <c r="O30" i="30"/>
  <c r="N30" i="30"/>
  <c r="M30" i="30"/>
  <c r="N29" i="30"/>
  <c r="N28" i="30"/>
  <c r="M27" i="30"/>
  <c r="O26" i="30"/>
  <c r="N26" i="30"/>
  <c r="M26" i="30"/>
  <c r="O25" i="30"/>
  <c r="N25" i="30"/>
  <c r="M25" i="30"/>
  <c r="O24" i="30"/>
  <c r="N24" i="30"/>
  <c r="M24" i="30"/>
  <c r="O23" i="30"/>
  <c r="N23" i="30"/>
  <c r="M23" i="30"/>
  <c r="N22" i="30"/>
  <c r="O21" i="30"/>
  <c r="N21" i="30"/>
  <c r="M21" i="30"/>
  <c r="O20" i="30"/>
  <c r="N20" i="30"/>
  <c r="M20" i="30"/>
  <c r="O19" i="30"/>
  <c r="N19" i="30"/>
  <c r="M19" i="30"/>
  <c r="O18" i="30"/>
  <c r="N18" i="30"/>
  <c r="M18" i="30"/>
  <c r="O17" i="30"/>
  <c r="N17" i="30"/>
  <c r="M17" i="30"/>
  <c r="O16" i="30"/>
  <c r="N16" i="30"/>
  <c r="M16" i="30"/>
  <c r="O15" i="30"/>
  <c r="N15" i="30"/>
  <c r="M15" i="30"/>
  <c r="O14" i="30"/>
  <c r="N14" i="30"/>
  <c r="M14" i="30"/>
  <c r="O13" i="30"/>
  <c r="N13" i="30"/>
  <c r="M13" i="30"/>
  <c r="O12" i="30"/>
  <c r="N12" i="30"/>
  <c r="M12" i="30"/>
  <c r="O11" i="30"/>
  <c r="N11" i="30"/>
  <c r="M11" i="30"/>
  <c r="O10" i="30"/>
  <c r="N10" i="30"/>
  <c r="M10" i="30"/>
  <c r="O9" i="30"/>
  <c r="N9" i="30"/>
  <c r="M9" i="30"/>
  <c r="O8" i="30"/>
  <c r="N8" i="30"/>
  <c r="M8" i="30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1" i="29"/>
  <c r="T37" i="28"/>
  <c r="U37" i="28" s="1"/>
  <c r="T36" i="28"/>
  <c r="U36" i="28" s="1"/>
  <c r="T35" i="28"/>
  <c r="U35" i="28" s="1"/>
  <c r="T34" i="28"/>
  <c r="U34" i="28" s="1"/>
  <c r="T33" i="28"/>
  <c r="U33" i="28" s="1"/>
  <c r="K38" i="28"/>
  <c r="K37" i="28"/>
  <c r="K36" i="28"/>
  <c r="K35" i="28"/>
  <c r="K34" i="28"/>
  <c r="K33" i="28"/>
  <c r="X28" i="28"/>
  <c r="T28" i="28"/>
  <c r="S28" i="28"/>
  <c r="N28" i="28"/>
  <c r="K28" i="28"/>
  <c r="S22" i="28"/>
  <c r="T22" i="28" s="1"/>
  <c r="N22" i="28"/>
  <c r="K22" i="28"/>
  <c r="S15" i="28"/>
  <c r="S14" i="28"/>
  <c r="S13" i="28"/>
  <c r="S12" i="28"/>
  <c r="S11" i="28"/>
  <c r="S10" i="28"/>
  <c r="S9" i="28"/>
  <c r="S8" i="28"/>
  <c r="N15" i="28"/>
  <c r="N14" i="28"/>
  <c r="N13" i="28"/>
  <c r="N12" i="28"/>
  <c r="N11" i="28"/>
  <c r="N10" i="28"/>
  <c r="N9" i="28"/>
  <c r="N8" i="28"/>
  <c r="K15" i="28"/>
  <c r="K14" i="28"/>
  <c r="K13" i="28"/>
  <c r="K12" i="28"/>
  <c r="K11" i="28"/>
  <c r="K10" i="28"/>
  <c r="K9" i="28"/>
  <c r="K8" i="28"/>
  <c r="U31" i="27"/>
  <c r="U30" i="27"/>
  <c r="U21" i="27"/>
  <c r="U20" i="27"/>
  <c r="U19" i="27"/>
  <c r="U18" i="27"/>
  <c r="U17" i="27"/>
  <c r="U15" i="27"/>
  <c r="U14" i="27"/>
  <c r="U13" i="27"/>
  <c r="U12" i="27"/>
  <c r="U11" i="27"/>
  <c r="U10" i="27"/>
  <c r="U9" i="27"/>
  <c r="U8" i="27"/>
  <c r="U7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K29" i="26"/>
  <c r="M28" i="26"/>
  <c r="L28" i="26"/>
  <c r="K28" i="26"/>
  <c r="M27" i="26"/>
  <c r="L27" i="26"/>
  <c r="K27" i="26"/>
  <c r="M26" i="26"/>
  <c r="L26" i="26"/>
  <c r="K26" i="26"/>
  <c r="M25" i="26"/>
  <c r="L25" i="26"/>
  <c r="K25" i="26"/>
  <c r="M24" i="26"/>
  <c r="L24" i="26"/>
  <c r="K24" i="26"/>
  <c r="M23" i="26"/>
  <c r="L23" i="26"/>
  <c r="K23" i="26"/>
  <c r="M22" i="26"/>
  <c r="L22" i="26"/>
  <c r="K22" i="26"/>
  <c r="M21" i="26"/>
  <c r="L21" i="26"/>
  <c r="K21" i="26"/>
  <c r="M20" i="26"/>
  <c r="L20" i="26"/>
  <c r="K20" i="26"/>
  <c r="M19" i="26"/>
  <c r="L19" i="26"/>
  <c r="K19" i="26"/>
  <c r="M18" i="26"/>
  <c r="L18" i="26"/>
  <c r="K18" i="26"/>
  <c r="M17" i="26"/>
  <c r="L17" i="26"/>
  <c r="K17" i="26"/>
  <c r="M16" i="26"/>
  <c r="L16" i="26"/>
  <c r="K16" i="26"/>
  <c r="M15" i="26"/>
  <c r="L15" i="26"/>
  <c r="K15" i="26"/>
  <c r="M14" i="26"/>
  <c r="L14" i="26"/>
  <c r="K14" i="26"/>
  <c r="M13" i="26"/>
  <c r="L13" i="26"/>
  <c r="K13" i="26"/>
  <c r="M12" i="26"/>
  <c r="L12" i="26"/>
  <c r="K12" i="26"/>
  <c r="M11" i="26"/>
  <c r="L11" i="26"/>
  <c r="K11" i="26"/>
  <c r="M10" i="26"/>
  <c r="L10" i="26"/>
  <c r="K10" i="26"/>
  <c r="M9" i="26"/>
  <c r="L9" i="26"/>
  <c r="K9" i="26"/>
  <c r="M8" i="26"/>
  <c r="L8" i="26"/>
  <c r="K8" i="26"/>
  <c r="M7" i="26"/>
  <c r="L7" i="26"/>
  <c r="K7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A1" i="31" l="1"/>
  <c r="A1" i="30"/>
  <c r="A1" i="29"/>
  <c r="A1" i="28"/>
  <c r="A1" i="27"/>
  <c r="H5" i="26"/>
  <c r="E5" i="27" s="1"/>
  <c r="G5" i="31" l="1"/>
  <c r="J5" i="31" s="1"/>
  <c r="J22" i="31" s="1"/>
  <c r="J36" i="31" s="1"/>
  <c r="G5" i="30"/>
  <c r="J5" i="30" s="1"/>
  <c r="F6" i="29"/>
  <c r="G6" i="29" s="1"/>
  <c r="I6" i="28"/>
  <c r="J6" i="28" s="1"/>
  <c r="G22" i="31" l="1"/>
  <c r="G36" i="31"/>
  <c r="J20" i="28"/>
  <c r="M6" i="28"/>
  <c r="S28" i="27"/>
  <c r="F5" i="27" l="1"/>
  <c r="T28" i="27" s="1"/>
  <c r="S5" i="27"/>
  <c r="T5" i="27" l="1"/>
  <c r="J5" i="26"/>
  <c r="P31" i="28" l="1"/>
  <c r="Q26" i="28" l="1"/>
  <c r="O26" i="28"/>
  <c r="Q20" i="28"/>
  <c r="O20" i="28"/>
  <c r="U26" i="28"/>
  <c r="R31" i="28"/>
  <c r="Q6" i="28"/>
  <c r="O6" i="28"/>
  <c r="J31" i="28"/>
  <c r="I31" i="28"/>
  <c r="W26" i="28" l="1"/>
  <c r="M26" i="28"/>
  <c r="L26" i="28"/>
  <c r="J26" i="28"/>
  <c r="I26" i="28"/>
  <c r="M20" i="28"/>
  <c r="L20" i="28"/>
  <c r="I20" i="28"/>
  <c r="L6" i="28"/>
  <c r="J6" i="29" l="1"/>
  <c r="I6" i="29"/>
</calcChain>
</file>

<file path=xl/sharedStrings.xml><?xml version="1.0" encoding="utf-8"?>
<sst xmlns="http://schemas.openxmlformats.org/spreadsheetml/2006/main" count="443" uniqueCount="225">
  <si>
    <t>【生産費】</t>
    <rPh sb="1" eb="4">
      <t>セイサンヒ</t>
    </rPh>
    <phoneticPr fontId="4"/>
  </si>
  <si>
    <t>増減率</t>
    <rPh sb="0" eb="3">
      <t>ゾウゲンリツ</t>
    </rPh>
    <phoneticPr fontId="4"/>
  </si>
  <si>
    <t>（円）</t>
    <rPh sb="1" eb="2">
      <t>エン</t>
    </rPh>
    <phoneticPr fontId="4"/>
  </si>
  <si>
    <t>（％）</t>
    <phoneticPr fontId="4"/>
  </si>
  <si>
    <t>副産物価額</t>
    <rPh sb="0" eb="3">
      <t>フクサンブツ</t>
    </rPh>
    <rPh sb="3" eb="5">
      <t>カガク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</si>
  <si>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</si>
  <si>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</si>
  <si>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</si>
  <si>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</si>
  <si>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</si>
  <si>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</si>
  <si>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</si>
  <si>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</si>
  <si>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育苗</t>
    <rPh sb="0" eb="2">
      <t>イクビョウ</t>
    </rPh>
    <phoneticPr fontId="4"/>
  </si>
  <si>
    <t>粗収益</t>
    <rPh sb="0" eb="3">
      <t>ソシュウエキ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</si>
  <si>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</si>
  <si>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</si>
  <si>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所得</t>
    <rPh sb="0" eb="2">
      <t>ショトク</t>
    </rPh>
    <phoneticPr fontId="4"/>
  </si>
  <si>
    <t>は種</t>
    <rPh sb="1" eb="2">
      <t>シュ</t>
    </rPh>
    <phoneticPr fontId="4"/>
  </si>
  <si>
    <t>１日当たり</t>
    <rPh sb="1" eb="2">
      <t>ニチ</t>
    </rPh>
    <rPh sb="2" eb="3">
      <t>ア</t>
    </rPh>
    <phoneticPr fontId="4"/>
  </si>
  <si>
    <t>定植</t>
    <rPh sb="0" eb="2">
      <t>テイショク</t>
    </rPh>
    <phoneticPr fontId="4"/>
  </si>
  <si>
    <t>株分け</t>
    <rPh sb="0" eb="2">
      <t>カブワ</t>
    </rPh>
    <phoneticPr fontId="4"/>
  </si>
  <si>
    <t>追肥</t>
    <rPh sb="0" eb="2">
      <t>ツイヒ</t>
    </rPh>
    <phoneticPr fontId="4"/>
  </si>
  <si>
    <t>中耕除草</t>
    <rPh sb="0" eb="4">
      <t>チュウコウジョソウ</t>
    </rPh>
    <phoneticPr fontId="4"/>
  </si>
  <si>
    <t>麦踏み</t>
    <rPh sb="0" eb="2">
      <t>ムギフ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</si>
  <si>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</si>
  <si>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</si>
  <si>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自作地</t>
    <rPh sb="0" eb="3">
      <t>ジサクチ</t>
    </rPh>
    <phoneticPr fontId="4"/>
  </si>
  <si>
    <t>はく葉</t>
    <rPh sb="2" eb="3">
      <t>ヨウ</t>
    </rPh>
    <phoneticPr fontId="4"/>
  </si>
  <si>
    <t>借入地</t>
    <rPh sb="0" eb="3">
      <t>カリイレチ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</si>
  <si>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</si>
  <si>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</si>
  <si>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</si>
  <si>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</si>
  <si>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</si>
  <si>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</si>
  <si>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</si>
  <si>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その他</t>
    <rPh sb="2" eb="3">
      <t>タ</t>
    </rPh>
    <phoneticPr fontId="4"/>
  </si>
  <si>
    <t>増　　　減　　　率</t>
    <rPh sb="0" eb="9">
      <t>ゾウゲンリツ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</si>
  <si>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</si>
  <si>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(円)</t>
    <rPh sb="1" eb="2">
      <t>エン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</si>
  <si>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</si>
  <si>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</si>
  <si>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</si>
  <si>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</si>
  <si>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</si>
  <si>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たい肥盤</t>
    <rPh sb="2" eb="3">
      <t>ヒ</t>
    </rPh>
    <rPh sb="3" eb="4">
      <t>バン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</si>
  <si>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</si>
  <si>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</si>
  <si>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</si>
  <si>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</si>
  <si>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50馬力以上</t>
    <rPh sb="4" eb="6">
      <t>イジョウ</t>
    </rPh>
    <phoneticPr fontId="4"/>
  </si>
  <si>
    <t>総合は種機</t>
    <rPh sb="0" eb="2">
      <t>ソウゴウ</t>
    </rPh>
    <rPh sb="3" eb="4">
      <t>シュ</t>
    </rPh>
    <rPh sb="4" eb="5">
      <t>キ</t>
    </rPh>
    <phoneticPr fontId="4"/>
  </si>
  <si>
    <t>移植機</t>
    <rPh sb="0" eb="3">
      <t>イショクキ</t>
    </rPh>
    <phoneticPr fontId="4"/>
  </si>
  <si>
    <t>中耕除草機</t>
    <rPh sb="0" eb="4">
      <t>チュウコウジョソウ</t>
    </rPh>
    <rPh sb="4" eb="5">
      <t>キ</t>
    </rPh>
    <phoneticPr fontId="4"/>
  </si>
  <si>
    <t>肥料散布機</t>
    <rPh sb="0" eb="2">
      <t>ヒリョウ</t>
    </rPh>
    <rPh sb="2" eb="4">
      <t>サンプ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</si>
  <si>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</si>
  <si>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</si>
  <si>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４条以上</t>
    <rPh sb="1" eb="2">
      <t>ジョウ</t>
    </rPh>
    <rPh sb="2" eb="4">
      <t>イジョウ</t>
    </rPh>
    <phoneticPr fontId="4"/>
  </si>
  <si>
    <t>普通型コンバイン</t>
    <rPh sb="0" eb="2">
      <t>フツウ</t>
    </rPh>
    <rPh sb="2" eb="3">
      <t>ガタ</t>
    </rPh>
    <phoneticPr fontId="4"/>
  </si>
  <si>
    <t>調査作物収穫機</t>
    <rPh sb="0" eb="2">
      <t>チョウサ</t>
    </rPh>
    <rPh sb="2" eb="4">
      <t>サクモツ</t>
    </rPh>
    <rPh sb="4" eb="7">
      <t>シュウカクキ</t>
    </rPh>
    <phoneticPr fontId="4"/>
  </si>
  <si>
    <t>脱穀機</t>
    <rPh sb="0" eb="3">
      <t>ダッコクキ</t>
    </rPh>
    <phoneticPr fontId="4"/>
  </si>
  <si>
    <t>きび脱葉機</t>
    <rPh sb="2" eb="4">
      <t>ダツヨウ</t>
    </rPh>
    <rPh sb="4" eb="5">
      <t>キ</t>
    </rPh>
    <phoneticPr fontId="4"/>
  </si>
  <si>
    <t>乾燥機</t>
    <rPh sb="0" eb="3">
      <t>カンソウキ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</si>
  <si>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</si>
  <si>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</si>
  <si>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粗収益</t>
    <rPh sb="0" eb="1">
      <t>ソ</t>
    </rPh>
    <rPh sb="1" eb="3">
      <t>シュウエキ</t>
    </rPh>
    <phoneticPr fontId="4"/>
  </si>
  <si>
    <t>（参考）奨励金</t>
  </si>
  <si>
    <t>歩行用トラクター</t>
    <rPh sb="0" eb="3">
      <t>ホコウヨウ</t>
    </rPh>
    <phoneticPr fontId="4"/>
  </si>
  <si>
    <t>たい肥等散布機</t>
    <rPh sb="2" eb="3">
      <t>ヒ</t>
    </rPh>
    <rPh sb="3" eb="4">
      <t>トウ</t>
    </rPh>
    <rPh sb="4" eb="7">
      <t>サンプキ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</si>
  <si>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</si>
  <si>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</si>
  <si>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</si>
  <si>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１等</t>
    <rPh sb="1" eb="2">
      <t>トウ</t>
    </rPh>
    <phoneticPr fontId="1"/>
  </si>
  <si>
    <t>２等</t>
    <rPh sb="1" eb="2">
      <t>トウ</t>
    </rPh>
    <phoneticPr fontId="1"/>
  </si>
  <si>
    <t>規格外Ａ</t>
    <rPh sb="0" eb="3">
      <t>キカクガイ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</si>
  <si>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</si>
  <si>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</si>
  <si>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</si>
  <si>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2">
      <t>シュシ</t>
    </rPh>
    <rPh sb="2" eb="3">
      <t>ヨウ</t>
    </rPh>
    <phoneticPr fontId="1"/>
  </si>
  <si>
    <t>合計</t>
    <rPh sb="0" eb="2">
      <t>ゴウケイ</t>
    </rPh>
    <phoneticPr fontId="1"/>
  </si>
  <si>
    <t>副産物</t>
    <rPh sb="0" eb="3">
      <t>フクサンブツ</t>
    </rPh>
    <phoneticPr fontId="1"/>
  </si>
  <si>
    <t>規格外Ｂ</t>
    <rPh sb="0" eb="3">
      <t>キカクガイ</t>
    </rPh>
    <phoneticPr fontId="1"/>
  </si>
  <si>
    <t>規格外Ｃ</t>
    <rPh sb="0" eb="3">
      <t>キカクガイ</t>
    </rPh>
    <phoneticPr fontId="1"/>
  </si>
  <si>
    <t>くず麦</t>
    <rPh sb="2" eb="3">
      <t>ムギ</t>
    </rPh>
    <phoneticPr fontId="1"/>
  </si>
  <si>
    <t>麦わら</t>
    <rPh sb="0" eb="1">
      <t>ムギ</t>
    </rPh>
    <phoneticPr fontId="1"/>
  </si>
  <si>
    <t>無評価</t>
    <rPh sb="0" eb="1">
      <t>ム</t>
    </rPh>
    <rPh sb="1" eb="3">
      <t>ヒョウカ</t>
    </rPh>
    <phoneticPr fontId="1"/>
  </si>
  <si>
    <t>種子用</t>
    <rPh sb="0" eb="3">
      <t>シュシヨウ</t>
    </rPh>
    <phoneticPr fontId="1"/>
  </si>
  <si>
    <t>麦類</t>
    <rPh sb="0" eb="2">
      <t>ムギルイ</t>
    </rPh>
    <phoneticPr fontId="1"/>
  </si>
  <si>
    <t>販売用</t>
    <rPh sb="0" eb="3">
      <t>ハンバイヨウ</t>
    </rPh>
    <phoneticPr fontId="4"/>
  </si>
  <si>
    <t>食用</t>
    <rPh sb="0" eb="2">
      <t>ショクヨウ</t>
    </rPh>
    <phoneticPr fontId="4"/>
  </si>
  <si>
    <t>小計</t>
    <rPh sb="0" eb="2">
      <t>ショウケイ</t>
    </rPh>
    <phoneticPr fontId="4"/>
  </si>
  <si>
    <t>合計</t>
    <rPh sb="0" eb="2">
      <t>ゴウケイ</t>
    </rPh>
    <phoneticPr fontId="4"/>
  </si>
  <si>
    <t>副産物</t>
    <rPh sb="0" eb="3">
      <t>フクサンブツ</t>
    </rPh>
    <phoneticPr fontId="4"/>
  </si>
  <si>
    <t>畑作物・なたね</t>
    <rPh sb="0" eb="2">
      <t>ハタサク</t>
    </rPh>
    <rPh sb="2" eb="3">
      <t>モツ</t>
    </rPh>
    <phoneticPr fontId="1"/>
  </si>
  <si>
    <t>【取引糖度（てんさい、さとうきび）】</t>
    <rPh sb="1" eb="3">
      <t>トリヒキ</t>
    </rPh>
    <rPh sb="3" eb="5">
      <t>トウド</t>
    </rPh>
    <phoneticPr fontId="4"/>
  </si>
  <si>
    <t>計</t>
    <rPh sb="0" eb="1">
      <t>ケイ</t>
    </rPh>
    <phoneticPr fontId="4"/>
  </si>
  <si>
    <t>出荷量</t>
    <rPh sb="0" eb="3">
      <t>シュッカリョウ</t>
    </rPh>
    <phoneticPr fontId="4"/>
  </si>
  <si>
    <t>糖度換算出荷量</t>
    <rPh sb="0" eb="2">
      <t>トウド</t>
    </rPh>
    <rPh sb="2" eb="4">
      <t>カンザン</t>
    </rPh>
    <rPh sb="4" eb="7">
      <t>シュッカリョウ</t>
    </rPh>
    <phoneticPr fontId="4"/>
  </si>
  <si>
    <t>取引糖度</t>
    <rPh sb="0" eb="2">
      <t>トリヒキ</t>
    </rPh>
    <rPh sb="2" eb="4">
      <t>トウド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</si>
  <si>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</si>
  <si>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</si>
  <si>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</si>
  <si>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作付地以外</t>
    <rPh sb="0" eb="3">
      <t>サクツケチ</t>
    </rPh>
    <rPh sb="3" eb="5">
      <t>イガイ</t>
    </rPh>
    <phoneticPr fontId="1"/>
  </si>
  <si>
    <t>使用面積</t>
    <rPh sb="0" eb="2">
      <t>シヨウ</t>
    </rPh>
    <rPh sb="2" eb="4">
      <t>メンセキ</t>
    </rPh>
    <phoneticPr fontId="10"/>
  </si>
  <si>
    <t>収穫面積</t>
    <rPh sb="0" eb="2">
      <t>シュウカク</t>
    </rPh>
    <rPh sb="2" eb="4">
      <t>メンセキ</t>
    </rPh>
    <phoneticPr fontId="4"/>
  </si>
  <si>
    <t>株出し</t>
    <rPh sb="0" eb="1">
      <t>カブ</t>
    </rPh>
    <rPh sb="1" eb="2">
      <t>ダ</t>
    </rPh>
    <phoneticPr fontId="4"/>
  </si>
  <si>
    <t>春植え</t>
    <rPh sb="0" eb="1">
      <t>ハル</t>
    </rPh>
    <rPh sb="1" eb="2">
      <t>ウ</t>
    </rPh>
    <phoneticPr fontId="4"/>
  </si>
  <si>
    <t>夏植え</t>
    <rPh sb="0" eb="1">
      <t>ナツ</t>
    </rPh>
    <rPh sb="1" eb="2">
      <t>ウ</t>
    </rPh>
    <phoneticPr fontId="4"/>
  </si>
  <si>
    <t>移植</t>
    <rPh sb="0" eb="2">
      <t>イショク</t>
    </rPh>
    <phoneticPr fontId="4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</si>
  <si>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</si>
  <si>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</si>
  <si>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</si>
  <si>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</si>
  <si>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</si>
  <si>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</si>
  <si>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</si>
  <si>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</si>
  <si>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</si>
  <si>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</si>
  <si>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</si>
  <si>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</si>
  <si>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</si>
  <si>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</si>
  <si>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</si>
  <si>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</si>
  <si>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</si>
  <si>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</si>
  <si>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</si>
  <si>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</si>
  <si>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</si>
  <si>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</si>
  <si>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</si>
  <si>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</si>
  <si>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</si>
  <si>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</si>
  <si>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</si>
  <si>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</si>
  <si>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</si>
  <si>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</si>
  <si>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</si>
  <si>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</si>
  <si>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</si>
  <si>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</si>
  <si>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</si>
  <si>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1"/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</si>
  <si>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</si>
  <si>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</si>
  <si>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</si>
  <si>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</si>
  <si>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</si>
  <si>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</si>
  <si>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</si>
  <si>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耕うん・整地</t>
    <rPh sb="0" eb="1">
      <t>タガヤシ</t>
    </rPh>
    <rPh sb="4" eb="6">
      <t>セイチ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</si>
  <si>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</si>
  <si>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</si>
  <si>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kg</t>
    <phoneticPr fontId="1"/>
  </si>
  <si>
    <t>ａ</t>
    <phoneticPr fontId="1"/>
  </si>
  <si>
    <t>（％）</t>
    <phoneticPr fontId="4"/>
  </si>
  <si>
    <t>乗　用
トラク
タ　ー</t>
    <phoneticPr fontId="4"/>
  </si>
  <si>
    <t>自脱型コ
ンバイン</t>
    <phoneticPr fontId="4"/>
  </si>
  <si>
    <t>トレーラー</t>
    <phoneticPr fontId="4"/>
  </si>
  <si>
    <t>【生産物の処分内訳（10a当たり）】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</si>
  <si>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（kg）</t>
    <phoneticPr fontId="4"/>
  </si>
  <si>
    <t>（％）</t>
    <phoneticPr fontId="4"/>
  </si>
  <si>
    <t>てんさい</t>
    <phoneticPr fontId="1"/>
  </si>
  <si>
    <t>（％）</t>
  </si>
  <si>
    <t>さとうきび</t>
    <phoneticPr fontId="4"/>
  </si>
  <si>
    <t>（％）</t>
    <phoneticPr fontId="1"/>
  </si>
  <si>
    <t>貨物自動車</t>
    <rPh sb="0" eb="2">
      <t>カモツ</t>
    </rPh>
    <rPh sb="2" eb="5">
      <t>ジドウシャ</t>
    </rPh>
    <phoneticPr fontId="4"/>
  </si>
  <si>
    <t>そば</t>
    <phoneticPr fontId="1"/>
  </si>
  <si>
    <t>規格外</t>
    <rPh sb="0" eb="3">
      <t>キカクガイ</t>
    </rPh>
    <phoneticPr fontId="1"/>
  </si>
  <si>
    <t>直まき</t>
    <rPh sb="0" eb="1">
      <t>ジカ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</si>
  <si>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</si>
  <si>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</si>
  <si>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増減差</t>
    <rPh sb="0" eb="2">
      <t>ゾウゲン</t>
    </rPh>
    <rPh sb="2" eb="3">
      <t>サ</t>
    </rPh>
    <phoneticPr fontId="4"/>
  </si>
  <si>
    <t>（ａ）</t>
    <phoneticPr fontId="1"/>
  </si>
  <si>
    <t>（ａ）</t>
    <phoneticPr fontId="1"/>
  </si>
  <si>
    <t>（ａ）</t>
    <phoneticPr fontId="1"/>
  </si>
  <si>
    <t>（円）</t>
    <rPh sb="1" eb="2">
      <t>エン</t>
    </rPh>
    <phoneticPr fontId="1"/>
  </si>
  <si>
    <t>（円）</t>
    <phoneticPr fontId="1"/>
  </si>
  <si>
    <t>【物件税及び公課諸負担（10ａ当たり）】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5" eb="16">
      <t>ア</t>
    </rPh>
    <phoneticPr fontId="4"/>
  </si>
  <si>
    <t>（％）</t>
    <phoneticPr fontId="4"/>
  </si>
  <si>
    <t>物件税</t>
    <rPh sb="0" eb="2">
      <t>ブッケン</t>
    </rPh>
    <rPh sb="2" eb="3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</si>
  <si>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1"/>
  </si>
  <si>
    <t>　個別結果検討表　№１</t>
    <phoneticPr fontId="1"/>
  </si>
  <si>
    <t>　個別結果検討表　№２</t>
    <phoneticPr fontId="4"/>
  </si>
  <si>
    <t>　個別結果検討表　№３</t>
    <phoneticPr fontId="1"/>
  </si>
  <si>
    <t>　個別結果検討表　№４</t>
    <phoneticPr fontId="4"/>
  </si>
  <si>
    <t>　個別結果検討表　№５</t>
    <phoneticPr fontId="1"/>
  </si>
  <si>
    <t>　個別結果検討表　№５</t>
    <phoneticPr fontId="1"/>
  </si>
  <si>
    <t>構成員</t>
    <rPh sb="0" eb="3">
      <t>コウセイイン</t>
    </rPh>
    <phoneticPr fontId="1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</si>
  <si>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1"/>
  </si>
  <si>
    <t>構成員労働時間</t>
    <rPh sb="0" eb="3">
      <t>コウセイイン</t>
    </rPh>
    <rPh sb="3" eb="5">
      <t>ロウドウ</t>
    </rPh>
    <rPh sb="5" eb="7">
      <t>ジカン</t>
    </rPh>
    <phoneticPr fontId="4"/>
  </si>
  <si>
    <t>構成員労働報酬</t>
    <rPh sb="0" eb="3">
      <t>コウセイイン</t>
    </rPh>
    <rPh sb="3" eb="5">
      <t>ロウドウ</t>
    </rPh>
    <rPh sb="5" eb="7">
      <t>ホウシュウ</t>
    </rPh>
    <phoneticPr fontId="4"/>
  </si>
  <si>
    <t>【調査対象栽培型を含む調査作物の収穫面積等（１経営体当たり）】</t>
    <rPh sb="1" eb="3">
      <t>チョウサ</t>
    </rPh>
    <rPh sb="3" eb="5">
      <t>タイショウ</t>
    </rPh>
    <rPh sb="5" eb="7">
      <t>サイバイ</t>
    </rPh>
    <rPh sb="7" eb="8">
      <t>ガタ</t>
    </rPh>
    <rPh sb="9" eb="10">
      <t>フク</t>
    </rPh>
    <rPh sb="11" eb="13">
      <t>チョウサ</t>
    </rPh>
    <rPh sb="13" eb="15">
      <t>サクモツ</t>
    </rPh>
    <rPh sb="16" eb="18">
      <t>シュウカク</t>
    </rPh>
    <rPh sb="18" eb="21">
      <t>メンセキトウ</t>
    </rPh>
    <rPh sb="23" eb="26">
      <t>ケイエイタイ</t>
    </rPh>
    <phoneticPr fontId="4"/>
  </si>
  <si>
    <t>【麦類・そば・なたねの委託状況（１経営体当たり）】</t>
    <rPh sb="17" eb="20">
      <t>ケイエイタイ</t>
    </rPh>
    <phoneticPr fontId="1"/>
  </si>
  <si>
    <t>（％）</t>
    <phoneticPr fontId="4"/>
  </si>
  <si>
    <t>全作業</t>
    <rPh sb="0" eb="1">
      <t>ゼン</t>
    </rPh>
    <rPh sb="1" eb="3">
      <t>サギョウ</t>
    </rPh>
    <phoneticPr fontId="4"/>
  </si>
  <si>
    <t>ａ</t>
    <phoneticPr fontId="1"/>
  </si>
  <si>
    <t>kg</t>
    <phoneticPr fontId="1"/>
  </si>
  <si>
    <t>【麦類・そば・なたねの受託状況（１経営体当たり）】</t>
    <rPh sb="11" eb="12">
      <t>ウ</t>
    </rPh>
    <rPh sb="17" eb="20">
      <t>ケイエイタイ</t>
    </rPh>
    <phoneticPr fontId="1"/>
  </si>
  <si>
    <t>【費用の内訳（１経営体当たり・10ａ当たり）】</t>
    <rPh sb="1" eb="3">
      <t>ヒヨウ</t>
    </rPh>
    <rPh sb="4" eb="6">
      <t>ウチワケ</t>
    </rPh>
    <rPh sb="8" eb="11">
      <t>ケイエイタイ</t>
    </rPh>
    <rPh sb="11" eb="12">
      <t>ア</t>
    </rPh>
    <rPh sb="18" eb="19">
      <t>ア</t>
    </rPh>
    <phoneticPr fontId="4"/>
  </si>
  <si>
    <t>所 有 台 数 （ １ 経 営 体 当 た り ）</t>
    <rPh sb="0" eb="3">
      <t>ショユウ</t>
    </rPh>
    <rPh sb="4" eb="5">
      <t>ダイ</t>
    </rPh>
    <rPh sb="6" eb="7">
      <t>カズ</t>
    </rPh>
    <rPh sb="12" eb="13">
      <t>キョウ</t>
    </rPh>
    <rPh sb="14" eb="15">
      <t>エイ</t>
    </rPh>
    <rPh sb="16" eb="17">
      <t>カラダ</t>
    </rPh>
    <rPh sb="18" eb="19">
      <t>ア</t>
    </rPh>
    <phoneticPr fontId="4"/>
  </si>
  <si>
    <t>（台）</t>
    <rPh sb="1" eb="2">
      <t>ダイ</t>
    </rPh>
    <phoneticPr fontId="4"/>
  </si>
  <si>
    <t>組織用</t>
    <rPh sb="0" eb="2">
      <t>ソシキ</t>
    </rPh>
    <rPh sb="2" eb="3">
      <t>ヨウ</t>
    </rPh>
    <phoneticPr fontId="1"/>
  </si>
  <si>
    <t>組織用</t>
    <rPh sb="0" eb="2">
      <t>ソシキ</t>
    </rPh>
    <rPh sb="2" eb="3">
      <t>ヨウ</t>
    </rPh>
    <phoneticPr fontId="4"/>
  </si>
  <si>
    <t>（ａ）</t>
    <phoneticPr fontId="1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</si>
  <si>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</si>
  <si>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</si>
  <si>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</si>
  <si>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</si>
  <si>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動力噴霧機</t>
    <rPh sb="0" eb="2">
      <t>ドウリョク</t>
    </rPh>
    <rPh sb="2" eb="4">
      <t>フンム</t>
    </rPh>
    <rPh sb="4" eb="5">
      <t>キ</t>
    </rPh>
    <phoneticPr fontId="4"/>
  </si>
  <si>
    <t>ビール麦の販売内訳</t>
    <phoneticPr fontId="1"/>
  </si>
  <si>
    <t>１　　　等</t>
    <phoneticPr fontId="1"/>
  </si>
  <si>
    <t>２　　　等</t>
    <phoneticPr fontId="1"/>
  </si>
  <si>
    <t>等外上</t>
    <phoneticPr fontId="1"/>
  </si>
  <si>
    <t>組織用</t>
    <rPh sb="0" eb="3">
      <t>ソシキヨウ</t>
    </rPh>
    <phoneticPr fontId="1"/>
  </si>
  <si>
    <t>種苗用</t>
    <rPh sb="0" eb="2">
      <t>シュビョウ</t>
    </rPh>
    <rPh sb="2" eb="3">
      <t>ヨウ</t>
    </rPh>
    <phoneticPr fontId="4"/>
  </si>
  <si>
    <t>住宅</t>
    <rPh sb="0" eb="2">
      <t>ジュウタク</t>
    </rPh>
    <phoneticPr fontId="4"/>
  </si>
  <si>
    <t>計</t>
    <rPh sb="0" eb="1">
      <t>ケイ</t>
    </rPh>
    <phoneticPr fontId="1"/>
  </si>
  <si>
    <t>構成割合</t>
    <rPh sb="0" eb="2">
      <t>コウセイ</t>
    </rPh>
    <rPh sb="2" eb="4">
      <t>ワリアイ</t>
    </rPh>
    <phoneticPr fontId="1"/>
  </si>
  <si>
    <t>てんさい・さとうきび</t>
    <phoneticPr fontId="1"/>
  </si>
  <si>
    <t>年産 組織法人経営体に関する経営分析調査(麦類・そば・なたね・畑作物生産費(組織法人経営))</t>
  </si>
  <si>
    <t>増減率（取引糖度は増減差）</t>
    <rPh sb="0" eb="2">
      <t>ゾウゲン</t>
    </rPh>
    <rPh sb="2" eb="3">
      <t>リツ</t>
    </rPh>
    <rPh sb="4" eb="6">
      <t>トリヒキ</t>
    </rPh>
    <rPh sb="6" eb="8">
      <t>トウド</t>
    </rPh>
    <rPh sb="9" eb="11">
      <t>ゾウゲン</t>
    </rPh>
    <rPh sb="11" eb="12">
      <t>サ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</si>
</sst>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00"/>
    <numFmt numFmtId="177" formatCode="&quot;=[&quot;@&quot;]&quot;"/>
    <numFmt numFmtId="178" formatCode="###\ ###\ ##0"/>
    <numFmt numFmtId="179" formatCode="###\ ###\ ##0.0"/>
    <numFmt numFmtId="180" formatCode="###\ ###\ ##0;\-###\ ###\ ##0;"/>
    <numFmt numFmtId="181" formatCode="###\ ###\ ##0.00;\-###\ ###\ ##0.00;"/>
    <numFmt numFmtId="182" formatCode="###\ ###\ ##0.000;\-###\ ###\ ##0.000;"/>
    <numFmt numFmtId="183" formatCode="#0&quot;年産&quot;"/>
    <numFmt numFmtId="184" formatCode="#,##0_ "/>
    <numFmt numFmtId="185" formatCode="#,##0.0_ "/>
    <numFmt numFmtId="186" formatCode="#,##0.000_ "/>
    <numFmt numFmtId="187" formatCode="#,##0.00_ "/>
  </numFmts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0.5"/>
      <name val="ＭＳ 明朝"/>
      <family val="1"/>
      <charset val="128"/>
    </font>
    <font>
      <sz val="10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7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4" fillId="0" borderId="0">
      <alignment vertical="center"/>
    </xf>
  </cellStyleXfs>
  <cellXfs count="602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right" vertical="center"/>
    </xf>
    <xf numFmtId="0" fontId="6" fillId="0" borderId="0" xfId="1" applyFont="1" applyFill="1" applyAlignment="1">
      <alignment vertical="center"/>
    </xf>
    <xf numFmtId="0" fontId="5" fillId="0" borderId="18" xfId="1" applyFont="1" applyFill="1" applyBorder="1" applyAlignment="1">
      <alignment horizontal="distributed" vertical="center" justifyLastLine="1"/>
    </xf>
    <xf numFmtId="0" fontId="7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distributed" vertical="center"/>
    </xf>
    <xf numFmtId="0" fontId="9" fillId="0" borderId="0" xfId="1" applyFont="1" applyFill="1" applyAlignment="1">
      <alignment horizontal="center" vertical="center"/>
    </xf>
    <xf numFmtId="0" fontId="2" fillId="0" borderId="0" xfId="1" applyFont="1" applyFill="1"/>
    <xf numFmtId="0" fontId="5" fillId="0" borderId="20" xfId="2" applyFont="1" applyFill="1" applyBorder="1" applyAlignment="1">
      <alignment horizontal="distributed" vertical="center" justifyLastLine="1"/>
    </xf>
    <xf numFmtId="0" fontId="5" fillId="0" borderId="39" xfId="2" applyFont="1" applyFill="1" applyBorder="1" applyAlignment="1">
      <alignment horizontal="distributed" vertical="center" justifyLastLine="1"/>
    </xf>
    <xf numFmtId="0" fontId="5" fillId="0" borderId="1" xfId="2" applyFont="1" applyFill="1" applyBorder="1" applyAlignment="1">
      <alignment horizontal="distributed" vertical="center" justifyLastLine="1"/>
    </xf>
    <xf numFmtId="0" fontId="5" fillId="0" borderId="2" xfId="2" applyFont="1" applyFill="1" applyBorder="1" applyAlignment="1">
      <alignment horizontal="distributed" vertical="center" justifyLastLine="1"/>
    </xf>
    <xf numFmtId="0" fontId="7" fillId="0" borderId="3" xfId="2" applyFont="1" applyFill="1" applyBorder="1" applyAlignment="1">
      <alignment horizontal="center" vertical="center"/>
    </xf>
    <xf numFmtId="0" fontId="7" fillId="0" borderId="40" xfId="2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180" fontId="5" fillId="0" borderId="0" xfId="1" applyNumberFormat="1" applyFont="1" applyFill="1" applyBorder="1" applyAlignment="1">
      <alignment vertical="center" shrinkToFit="1"/>
    </xf>
    <xf numFmtId="180" fontId="5" fillId="0" borderId="0" xfId="1" applyNumberFormat="1" applyFont="1" applyFill="1" applyBorder="1" applyAlignment="1">
      <alignment horizontal="right" shrinkToFit="1"/>
    </xf>
    <xf numFmtId="179" fontId="5" fillId="0" borderId="0" xfId="1" applyNumberFormat="1" applyFont="1" applyFill="1" applyBorder="1" applyAlignment="1">
      <alignment horizontal="right" shrinkToFit="1"/>
    </xf>
    <xf numFmtId="0" fontId="6" fillId="0" borderId="0" xfId="2" applyFont="1" applyFill="1" applyAlignment="1">
      <alignment vertical="center"/>
    </xf>
    <xf numFmtId="0" fontId="7" fillId="0" borderId="6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distributed" vertical="center"/>
    </xf>
    <xf numFmtId="0" fontId="5" fillId="0" borderId="46" xfId="1" applyFont="1" applyFill="1" applyBorder="1" applyAlignment="1">
      <alignment horizontal="distributed" vertical="center"/>
    </xf>
    <xf numFmtId="0" fontId="5" fillId="0" borderId="30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/>
    </xf>
    <xf numFmtId="0" fontId="5" fillId="0" borderId="0" xfId="1" applyFont="1" applyFill="1" applyAlignment="1">
      <alignment horizontal="center" vertical="center"/>
    </xf>
    <xf numFmtId="0" fontId="7" fillId="0" borderId="35" xfId="1" applyFont="1" applyFill="1" applyBorder="1" applyAlignment="1">
      <alignment horizontal="center" vertical="center"/>
    </xf>
    <xf numFmtId="0" fontId="7" fillId="0" borderId="52" xfId="1" applyFont="1" applyFill="1" applyBorder="1" applyAlignment="1">
      <alignment horizontal="center" vertical="center"/>
    </xf>
    <xf numFmtId="0" fontId="5" fillId="0" borderId="60" xfId="1" applyFont="1" applyFill="1" applyBorder="1" applyAlignment="1">
      <alignment vertical="center"/>
    </xf>
    <xf numFmtId="0" fontId="5" fillId="0" borderId="60" xfId="1" applyFont="1" applyFill="1" applyBorder="1" applyAlignment="1">
      <alignment horizontal="distributed" vertical="center"/>
    </xf>
    <xf numFmtId="0" fontId="5" fillId="0" borderId="1" xfId="1" applyFont="1" applyFill="1" applyBorder="1" applyAlignment="1">
      <alignment vertical="center"/>
    </xf>
    <xf numFmtId="0" fontId="5" fillId="0" borderId="25" xfId="1" applyFont="1" applyFill="1" applyBorder="1" applyAlignment="1">
      <alignment vertical="center"/>
    </xf>
    <xf numFmtId="0" fontId="5" fillId="0" borderId="25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/>
    </xf>
    <xf numFmtId="0" fontId="5" fillId="0" borderId="69" xfId="1" applyFont="1" applyFill="1" applyBorder="1" applyAlignment="1">
      <alignment vertical="center"/>
    </xf>
    <xf numFmtId="0" fontId="7" fillId="0" borderId="69" xfId="1" applyFont="1" applyFill="1" applyBorder="1" applyAlignment="1">
      <alignment horizontal="center" vertical="center" wrapText="1"/>
    </xf>
    <xf numFmtId="0" fontId="7" fillId="0" borderId="69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5" fillId="0" borderId="0" xfId="2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8" fillId="0" borderId="0" xfId="1" applyFont="1" applyFill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right" vertical="center"/>
    </xf>
    <xf numFmtId="0" fontId="5" fillId="0" borderId="19" xfId="1" applyFont="1" applyFill="1" applyBorder="1" applyAlignment="1">
      <alignment horizontal="distributed" vertical="center"/>
    </xf>
    <xf numFmtId="0" fontId="5" fillId="0" borderId="10" xfId="2" applyFont="1" applyFill="1" applyBorder="1" applyAlignment="1">
      <alignment vertical="center" shrinkToFit="1"/>
    </xf>
    <xf numFmtId="0" fontId="5" fillId="0" borderId="25" xfId="2" applyFont="1" applyFill="1" applyBorder="1" applyAlignment="1">
      <alignment horizontal="distributed" vertical="center"/>
    </xf>
    <xf numFmtId="0" fontId="5" fillId="0" borderId="27" xfId="2" applyFont="1" applyFill="1" applyBorder="1" applyAlignment="1">
      <alignment horizontal="distributed" vertical="center"/>
    </xf>
    <xf numFmtId="0" fontId="5" fillId="0" borderId="28" xfId="2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vertical="center"/>
    </xf>
    <xf numFmtId="0" fontId="5" fillId="0" borderId="13" xfId="2" applyFont="1" applyFill="1" applyBorder="1" applyAlignment="1">
      <alignment vertical="center"/>
    </xf>
    <xf numFmtId="0" fontId="5" fillId="0" borderId="10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5" fillId="0" borderId="17" xfId="2" applyFont="1" applyFill="1" applyBorder="1" applyAlignment="1">
      <alignment vertical="center"/>
    </xf>
    <xf numFmtId="178" fontId="5" fillId="2" borderId="113" xfId="4" applyNumberFormat="1" applyFont="1" applyFill="1" applyBorder="1" applyAlignment="1">
      <alignment horizontal="center" vertical="center" shrinkToFit="1"/>
    </xf>
    <xf numFmtId="178" fontId="5" fillId="2" borderId="114" xfId="4" applyNumberFormat="1" applyFont="1" applyFill="1" applyBorder="1" applyAlignment="1">
      <alignment horizontal="center" vertical="center" shrinkToFit="1"/>
    </xf>
    <xf numFmtId="0" fontId="5" fillId="0" borderId="47" xfId="5" applyFont="1" applyBorder="1" applyAlignment="1">
      <alignment horizontal="distributed" vertical="center"/>
    </xf>
    <xf numFmtId="0" fontId="5" fillId="1" borderId="48" xfId="5" applyFont="1" applyFill="1" applyBorder="1" applyAlignment="1">
      <alignment horizontal="distributed" vertical="center"/>
    </xf>
    <xf numFmtId="0" fontId="5" fillId="1" borderId="47" xfId="5" applyFont="1" applyFill="1" applyBorder="1" applyAlignment="1">
      <alignment horizontal="distributed" vertical="center"/>
    </xf>
    <xf numFmtId="0" fontId="8" fillId="0" borderId="0" xfId="1" applyFont="1" applyFill="1" applyBorder="1" applyAlignment="1">
      <alignment vertical="center"/>
    </xf>
    <xf numFmtId="0" fontId="7" fillId="0" borderId="0" xfId="2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horizontal="right"/>
    </xf>
    <xf numFmtId="0" fontId="6" fillId="0" borderId="0" xfId="2" applyFont="1" applyFill="1" applyBorder="1" applyAlignment="1">
      <alignment vertical="center"/>
    </xf>
    <xf numFmtId="179" fontId="5" fillId="0" borderId="0" xfId="2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5" fillId="0" borderId="48" xfId="5" applyFont="1" applyBorder="1" applyAlignment="1">
      <alignment horizontal="distributed" vertical="center"/>
    </xf>
    <xf numFmtId="178" fontId="5" fillId="0" borderId="37" xfId="2" applyNumberFormat="1" applyFont="1" applyFill="1" applyBorder="1" applyAlignment="1">
      <alignment horizontal="center" shrinkToFit="1"/>
    </xf>
    <xf numFmtId="0" fontId="5" fillId="0" borderId="6" xfId="2" applyFont="1" applyFill="1" applyBorder="1" applyAlignment="1">
      <alignment vertical="center"/>
    </xf>
    <xf numFmtId="0" fontId="2" fillId="0" borderId="84" xfId="1" applyFont="1" applyFill="1" applyBorder="1" applyAlignment="1">
      <alignment shrinkToFit="1"/>
    </xf>
    <xf numFmtId="0" fontId="2" fillId="0" borderId="26" xfId="1" applyFont="1" applyFill="1" applyBorder="1" applyAlignment="1">
      <alignment shrinkToFit="1"/>
    </xf>
    <xf numFmtId="0" fontId="2" fillId="0" borderId="44" xfId="1" applyFont="1" applyFill="1" applyBorder="1" applyAlignment="1">
      <alignment shrinkToFit="1"/>
    </xf>
    <xf numFmtId="0" fontId="2" fillId="0" borderId="37" xfId="1" applyFont="1" applyFill="1" applyBorder="1" applyAlignment="1">
      <alignment shrinkToFit="1"/>
    </xf>
    <xf numFmtId="0" fontId="5" fillId="0" borderId="42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5" xfId="1" applyFont="1" applyFill="1" applyBorder="1" applyAlignment="1">
      <alignment horizontal="distributed" vertical="center"/>
    </xf>
    <xf numFmtId="0" fontId="15" fillId="2" borderId="118" xfId="4" applyFont="1" applyFill="1" applyBorder="1" applyAlignment="1">
      <alignment horizontal="center" vertical="center" wrapText="1"/>
    </xf>
    <xf numFmtId="0" fontId="15" fillId="2" borderId="126" xfId="4" applyFont="1" applyFill="1" applyBorder="1" applyAlignment="1">
      <alignment horizontal="center" vertical="center" wrapText="1"/>
    </xf>
    <xf numFmtId="0" fontId="15" fillId="2" borderId="126" xfId="4" applyFont="1" applyFill="1" applyBorder="1" applyAlignment="1">
      <alignment horizontal="center" vertical="center"/>
    </xf>
    <xf numFmtId="0" fontId="15" fillId="2" borderId="130" xfId="4" applyFont="1" applyFill="1" applyBorder="1" applyAlignment="1">
      <alignment horizontal="center" vertical="center" wrapText="1"/>
    </xf>
    <xf numFmtId="0" fontId="15" fillId="2" borderId="133" xfId="4" applyFont="1" applyFill="1" applyBorder="1" applyAlignment="1">
      <alignment horizontal="center" vertical="center" wrapText="1"/>
    </xf>
    <xf numFmtId="0" fontId="15" fillId="2" borderId="138" xfId="4" applyFont="1" applyFill="1" applyBorder="1" applyAlignment="1">
      <alignment horizontal="center" vertical="center" wrapText="1"/>
    </xf>
    <xf numFmtId="182" fontId="5" fillId="0" borderId="17" xfId="1" applyNumberFormat="1" applyFont="1" applyFill="1" applyBorder="1" applyAlignment="1">
      <alignment horizontal="right" shrinkToFit="1"/>
    </xf>
    <xf numFmtId="179" fontId="5" fillId="0" borderId="17" xfId="1" applyNumberFormat="1" applyFont="1" applyFill="1" applyBorder="1" applyAlignment="1">
      <alignment horizontal="right" shrinkToFit="1"/>
    </xf>
    <xf numFmtId="0" fontId="5" fillId="0" borderId="39" xfId="2" applyFont="1" applyFill="1" applyBorder="1" applyAlignment="1">
      <alignment horizontal="center" vertical="center" shrinkToFit="1"/>
    </xf>
    <xf numFmtId="0" fontId="0" fillId="0" borderId="0" xfId="0" applyFill="1" applyBorder="1">
      <alignment vertical="center"/>
    </xf>
    <xf numFmtId="180" fontId="5" fillId="0" borderId="17" xfId="2" applyNumberFormat="1" applyFont="1" applyFill="1" applyBorder="1" applyAlignment="1">
      <alignment horizontal="right"/>
    </xf>
    <xf numFmtId="0" fontId="5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horizontal="distributed" vertical="center"/>
    </xf>
    <xf numFmtId="177" fontId="5" fillId="0" borderId="0" xfId="2" applyNumberFormat="1" applyFont="1" applyFill="1" applyBorder="1" applyAlignment="1">
      <alignment horizontal="right"/>
    </xf>
    <xf numFmtId="177" fontId="5" fillId="0" borderId="0" xfId="2" applyNumberFormat="1" applyFont="1" applyFill="1" applyBorder="1" applyAlignment="1">
      <alignment horizontal="right" shrinkToFit="1"/>
    </xf>
    <xf numFmtId="0" fontId="5" fillId="0" borderId="42" xfId="1" applyFont="1" applyFill="1" applyBorder="1" applyAlignment="1">
      <alignment horizontal="distributed" vertical="center" shrinkToFit="1"/>
    </xf>
    <xf numFmtId="0" fontId="5" fillId="0" borderId="0" xfId="2" applyFont="1" applyFill="1" applyBorder="1" applyAlignment="1">
      <alignment vertical="center" justifyLastLine="1"/>
    </xf>
    <xf numFmtId="0" fontId="5" fillId="0" borderId="17" xfId="1" applyFont="1" applyFill="1" applyBorder="1" applyAlignment="1">
      <alignment vertical="distributed" textRotation="255" justifyLastLine="1"/>
    </xf>
    <xf numFmtId="181" fontId="5" fillId="0" borderId="17" xfId="2" applyNumberFormat="1" applyFont="1" applyFill="1" applyBorder="1" applyAlignment="1">
      <alignment horizontal="right"/>
    </xf>
    <xf numFmtId="179" fontId="5" fillId="0" borderId="17" xfId="2" applyNumberFormat="1" applyFont="1" applyFill="1" applyBorder="1" applyAlignment="1">
      <alignment horizontal="right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2" borderId="145" xfId="4" applyFont="1" applyFill="1" applyBorder="1" applyAlignment="1">
      <alignment horizontal="distributed" vertical="center" justifyLastLine="1" shrinkToFit="1"/>
    </xf>
    <xf numFmtId="0" fontId="5" fillId="2" borderId="105" xfId="4" applyFont="1" applyFill="1" applyBorder="1" applyAlignment="1">
      <alignment horizontal="distributed" vertical="center" justifyLastLine="1" shrinkToFit="1"/>
    </xf>
    <xf numFmtId="0" fontId="5" fillId="2" borderId="107" xfId="4" applyFont="1" applyFill="1" applyBorder="1" applyAlignment="1">
      <alignment horizontal="distributed" vertical="center" justifyLastLine="1" shrinkToFit="1"/>
    </xf>
    <xf numFmtId="0" fontId="5" fillId="0" borderId="38" xfId="0" applyFont="1" applyFill="1" applyBorder="1" applyAlignment="1">
      <alignment horizontal="center" vertical="center"/>
    </xf>
    <xf numFmtId="0" fontId="5" fillId="0" borderId="32" xfId="2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28" xfId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distributed" vertical="center" justifyLastLine="1"/>
    </xf>
    <xf numFmtId="180" fontId="5" fillId="0" borderId="0" xfId="2" applyNumberFormat="1" applyFont="1" applyFill="1" applyBorder="1" applyAlignment="1">
      <alignment vertical="center"/>
    </xf>
    <xf numFmtId="0" fontId="5" fillId="0" borderId="17" xfId="1" applyFont="1" applyFill="1" applyBorder="1" applyAlignment="1">
      <alignment vertical="center"/>
    </xf>
    <xf numFmtId="183" fontId="5" fillId="0" borderId="1" xfId="1" applyNumberFormat="1" applyFont="1" applyFill="1" applyBorder="1" applyAlignment="1">
      <alignment horizontal="distributed" vertical="center" justifyLastLine="1"/>
    </xf>
    <xf numFmtId="183" fontId="5" fillId="0" borderId="51" xfId="1" applyNumberFormat="1" applyFont="1" applyFill="1" applyBorder="1" applyAlignment="1">
      <alignment horizontal="distributed" vertical="center" justifyLastLine="1"/>
    </xf>
    <xf numFmtId="183" fontId="5" fillId="0" borderId="25" xfId="1" applyNumberFormat="1" applyFont="1" applyFill="1" applyBorder="1" applyAlignment="1">
      <alignment horizontal="distributed" vertical="center" justifyLastLine="1"/>
    </xf>
    <xf numFmtId="184" fontId="5" fillId="0" borderId="53" xfId="1" applyNumberFormat="1" applyFont="1" applyFill="1" applyBorder="1" applyAlignment="1">
      <alignment horizontal="center" vertical="center" shrinkToFit="1"/>
    </xf>
    <xf numFmtId="184" fontId="5" fillId="0" borderId="54" xfId="1" applyNumberFormat="1" applyFont="1" applyFill="1" applyBorder="1" applyAlignment="1">
      <alignment horizontal="center" vertical="center" shrinkToFit="1"/>
    </xf>
    <xf numFmtId="184" fontId="5" fillId="0" borderId="57" xfId="1" applyNumberFormat="1" applyFont="1" applyFill="1" applyBorder="1" applyAlignment="1">
      <alignment horizontal="center" vertical="center" shrinkToFit="1"/>
    </xf>
    <xf numFmtId="184" fontId="5" fillId="0" borderId="58" xfId="1" applyNumberFormat="1" applyFont="1" applyFill="1" applyBorder="1" applyAlignment="1">
      <alignment horizontal="center" vertical="center" shrinkToFit="1"/>
    </xf>
    <xf numFmtId="184" fontId="5" fillId="0" borderId="63" xfId="1" applyNumberFormat="1" applyFont="1" applyFill="1" applyBorder="1" applyAlignment="1">
      <alignment horizontal="center" vertical="center" shrinkToFit="1"/>
    </xf>
    <xf numFmtId="184" fontId="5" fillId="0" borderId="64" xfId="1" applyNumberFormat="1" applyFont="1" applyFill="1" applyBorder="1" applyAlignment="1">
      <alignment horizontal="center" vertical="center" shrinkToFit="1"/>
    </xf>
    <xf numFmtId="184" fontId="5" fillId="0" borderId="70" xfId="1" applyNumberFormat="1" applyFont="1" applyFill="1" applyBorder="1" applyAlignment="1">
      <alignment horizontal="center" vertical="center" shrinkToFit="1"/>
    </xf>
    <xf numFmtId="184" fontId="5" fillId="0" borderId="71" xfId="1" applyNumberFormat="1" applyFont="1" applyFill="1" applyBorder="1" applyAlignment="1">
      <alignment horizontal="center" vertical="center" shrinkToFit="1"/>
    </xf>
    <xf numFmtId="185" fontId="5" fillId="0" borderId="55" xfId="1" applyNumberFormat="1" applyFont="1" applyFill="1" applyBorder="1" applyAlignment="1">
      <alignment horizontal="center" vertical="center" shrinkToFit="1"/>
    </xf>
    <xf numFmtId="185" fontId="5" fillId="0" borderId="59" xfId="1" applyNumberFormat="1" applyFont="1" applyFill="1" applyBorder="1" applyAlignment="1">
      <alignment horizontal="center" vertical="center" shrinkToFit="1"/>
    </xf>
    <xf numFmtId="185" fontId="5" fillId="0" borderId="65" xfId="1" applyNumberFormat="1" applyFont="1" applyFill="1" applyBorder="1" applyAlignment="1">
      <alignment horizontal="center" vertical="center" shrinkToFit="1"/>
    </xf>
    <xf numFmtId="185" fontId="5" fillId="0" borderId="72" xfId="1" applyNumberFormat="1" applyFont="1" applyFill="1" applyBorder="1" applyAlignment="1">
      <alignment horizontal="center" vertical="center" shrinkToFit="1"/>
    </xf>
    <xf numFmtId="0" fontId="5" fillId="0" borderId="10" xfId="1" applyFont="1" applyFill="1" applyBorder="1" applyAlignment="1">
      <alignment horizontal="distributed" vertical="center"/>
    </xf>
    <xf numFmtId="183" fontId="5" fillId="0" borderId="29" xfId="1" applyNumberFormat="1" applyFont="1" applyFill="1" applyBorder="1" applyAlignment="1">
      <alignment horizontal="distributed" vertical="center" justifyLastLine="1"/>
    </xf>
    <xf numFmtId="183" fontId="5" fillId="0" borderId="20" xfId="1" applyNumberFormat="1" applyFont="1" applyFill="1" applyBorder="1" applyAlignment="1">
      <alignment horizontal="distributed" vertical="center" justifyLastLine="1"/>
    </xf>
    <xf numFmtId="0" fontId="5" fillId="0" borderId="0" xfId="2" applyFont="1" applyFill="1" applyBorder="1" applyAlignment="1">
      <alignment vertical="center"/>
    </xf>
    <xf numFmtId="0" fontId="5" fillId="0" borderId="18" xfId="2" applyFont="1" applyFill="1" applyBorder="1" applyAlignment="1">
      <alignment horizontal="distributed" vertical="center" justifyLastLine="1"/>
    </xf>
    <xf numFmtId="0" fontId="7" fillId="0" borderId="5" xfId="2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vertical="center"/>
    </xf>
    <xf numFmtId="186" fontId="16" fillId="0" borderId="127" xfId="4" applyNumberFormat="1" applyFont="1" applyFill="1" applyBorder="1" applyAlignment="1">
      <alignment horizontal="right" vertical="center" shrinkToFit="1"/>
    </xf>
    <xf numFmtId="186" fontId="16" fillId="0" borderId="7" xfId="4" applyNumberFormat="1" applyFont="1" applyFill="1" applyBorder="1" applyAlignment="1">
      <alignment horizontal="right" vertical="center" shrinkToFit="1"/>
    </xf>
    <xf numFmtId="185" fontId="16" fillId="0" borderId="139" xfId="4" applyNumberFormat="1" applyFont="1" applyFill="1" applyBorder="1" applyAlignment="1">
      <alignment horizontal="right" vertical="center" shrinkToFit="1"/>
    </xf>
    <xf numFmtId="185" fontId="16" fillId="0" borderId="141" xfId="4" applyNumberFormat="1" applyFont="1" applyFill="1" applyBorder="1" applyAlignment="1">
      <alignment horizontal="right" vertical="center" shrinkToFit="1"/>
    </xf>
    <xf numFmtId="186" fontId="16" fillId="0" borderId="16" xfId="1" applyNumberFormat="1" applyFont="1" applyFill="1" applyBorder="1" applyAlignment="1">
      <alignment horizontal="right" vertical="center" shrinkToFit="1"/>
    </xf>
    <xf numFmtId="186" fontId="16" fillId="0" borderId="21" xfId="1" applyNumberFormat="1" applyFont="1" applyFill="1" applyBorder="1" applyAlignment="1">
      <alignment horizontal="right" vertical="center" shrinkToFit="1"/>
    </xf>
    <xf numFmtId="185" fontId="16" fillId="0" borderId="32" xfId="1" applyNumberFormat="1" applyFont="1" applyFill="1" applyBorder="1" applyAlignment="1">
      <alignment horizontal="right" vertical="center" shrinkToFit="1"/>
    </xf>
    <xf numFmtId="184" fontId="16" fillId="0" borderId="78" xfId="1" applyNumberFormat="1" applyFont="1" applyFill="1" applyBorder="1" applyAlignment="1">
      <alignment horizontal="right" vertical="center" shrinkToFit="1"/>
    </xf>
    <xf numFmtId="184" fontId="16" fillId="0" borderId="21" xfId="1" applyNumberFormat="1" applyFont="1" applyFill="1" applyBorder="1" applyAlignment="1">
      <alignment horizontal="right" vertical="center" shrinkToFit="1"/>
    </xf>
    <xf numFmtId="185" fontId="16" fillId="0" borderId="9" xfId="1" applyNumberFormat="1" applyFont="1" applyFill="1" applyBorder="1" applyAlignment="1">
      <alignment horizontal="right" vertical="center" shrinkToFit="1"/>
    </xf>
    <xf numFmtId="186" fontId="16" fillId="0" borderId="22" xfId="1" applyNumberFormat="1" applyFont="1" applyFill="1" applyBorder="1" applyAlignment="1">
      <alignment horizontal="right" vertical="center" shrinkToFit="1"/>
    </xf>
    <xf numFmtId="186" fontId="16" fillId="0" borderId="8" xfId="1" applyNumberFormat="1" applyFont="1" applyFill="1" applyBorder="1" applyAlignment="1">
      <alignment horizontal="right" vertical="center" shrinkToFit="1"/>
    </xf>
    <xf numFmtId="184" fontId="16" fillId="0" borderId="19" xfId="1" applyNumberFormat="1" applyFont="1" applyFill="1" applyBorder="1" applyAlignment="1">
      <alignment horizontal="right" vertical="center" shrinkToFit="1"/>
    </xf>
    <xf numFmtId="184" fontId="16" fillId="0" borderId="24" xfId="1" applyNumberFormat="1" applyFont="1" applyFill="1" applyBorder="1" applyAlignment="1">
      <alignment horizontal="right" vertical="center" shrinkToFit="1"/>
    </xf>
    <xf numFmtId="185" fontId="16" fillId="0" borderId="18" xfId="1" applyNumberFormat="1" applyFont="1" applyFill="1" applyBorder="1" applyAlignment="1">
      <alignment horizontal="right" vertical="center" shrinkToFit="1"/>
    </xf>
    <xf numFmtId="184" fontId="16" fillId="0" borderId="22" xfId="1" applyNumberFormat="1" applyFont="1" applyFill="1" applyBorder="1" applyAlignment="1">
      <alignment horizontal="right" vertical="center" shrinkToFit="1"/>
    </xf>
    <xf numFmtId="184" fontId="16" fillId="0" borderId="8" xfId="1" applyNumberFormat="1" applyFont="1" applyFill="1" applyBorder="1" applyAlignment="1">
      <alignment horizontal="right" vertical="center" shrinkToFit="1"/>
    </xf>
    <xf numFmtId="184" fontId="16" fillId="0" borderId="61" xfId="1" applyNumberFormat="1" applyFont="1" applyFill="1" applyBorder="1" applyAlignment="1">
      <alignment horizontal="right" vertical="center" shrinkToFit="1"/>
    </xf>
    <xf numFmtId="184" fontId="16" fillId="0" borderId="68" xfId="1" applyNumberFormat="1" applyFont="1" applyFill="1" applyBorder="1" applyAlignment="1">
      <alignment horizontal="right" vertical="center" shrinkToFit="1"/>
    </xf>
    <xf numFmtId="185" fontId="16" fillId="0" borderId="2" xfId="1" applyNumberFormat="1" applyFont="1" applyFill="1" applyBorder="1" applyAlignment="1">
      <alignment horizontal="right" vertical="center" shrinkToFit="1"/>
    </xf>
    <xf numFmtId="184" fontId="16" fillId="0" borderId="79" xfId="2" applyNumberFormat="1" applyFont="1" applyFill="1" applyBorder="1" applyAlignment="1">
      <alignment horizontal="right" vertical="center"/>
    </xf>
    <xf numFmtId="184" fontId="16" fillId="0" borderId="80" xfId="2" applyNumberFormat="1" applyFont="1" applyFill="1" applyBorder="1" applyAlignment="1">
      <alignment horizontal="right" vertical="center"/>
    </xf>
    <xf numFmtId="185" fontId="16" fillId="0" borderId="55" xfId="2" applyNumberFormat="1" applyFont="1" applyFill="1" applyBorder="1" applyAlignment="1">
      <alignment horizontal="right" vertical="center"/>
    </xf>
    <xf numFmtId="184" fontId="16" fillId="0" borderId="22" xfId="2" applyNumberFormat="1" applyFont="1" applyFill="1" applyBorder="1" applyAlignment="1">
      <alignment horizontal="right" vertical="center"/>
    </xf>
    <xf numFmtId="184" fontId="16" fillId="0" borderId="8" xfId="2" applyNumberFormat="1" applyFont="1" applyFill="1" applyBorder="1" applyAlignment="1">
      <alignment horizontal="right" vertical="center"/>
    </xf>
    <xf numFmtId="185" fontId="16" fillId="0" borderId="14" xfId="2" applyNumberFormat="1" applyFont="1" applyFill="1" applyBorder="1" applyAlignment="1">
      <alignment horizontal="right" vertical="center"/>
    </xf>
    <xf numFmtId="184" fontId="16" fillId="0" borderId="26" xfId="2" applyNumberFormat="1" applyFont="1" applyFill="1" applyBorder="1" applyAlignment="1">
      <alignment horizontal="right" vertical="center"/>
    </xf>
    <xf numFmtId="184" fontId="16" fillId="0" borderId="23" xfId="2" applyNumberFormat="1" applyFont="1" applyFill="1" applyBorder="1" applyAlignment="1">
      <alignment horizontal="right" vertical="center"/>
    </xf>
    <xf numFmtId="184" fontId="16" fillId="0" borderId="12" xfId="2" applyNumberFormat="1" applyFont="1" applyFill="1" applyBorder="1" applyAlignment="1">
      <alignment horizontal="right" vertical="center"/>
    </xf>
    <xf numFmtId="185" fontId="16" fillId="0" borderId="15" xfId="2" applyNumberFormat="1" applyFont="1" applyFill="1" applyBorder="1" applyAlignment="1">
      <alignment horizontal="right" vertical="center"/>
    </xf>
    <xf numFmtId="186" fontId="16" fillId="0" borderId="23" xfId="1" applyNumberFormat="1" applyFont="1" applyFill="1" applyBorder="1" applyAlignment="1">
      <alignment horizontal="right" vertical="center" shrinkToFit="1"/>
    </xf>
    <xf numFmtId="186" fontId="16" fillId="0" borderId="12" xfId="1" applyNumberFormat="1" applyFont="1" applyFill="1" applyBorder="1" applyAlignment="1">
      <alignment horizontal="right" vertical="center" shrinkToFit="1"/>
    </xf>
    <xf numFmtId="185" fontId="16" fillId="0" borderId="13" xfId="1" applyNumberFormat="1" applyFont="1" applyFill="1" applyBorder="1" applyAlignment="1">
      <alignment horizontal="right" vertical="center" shrinkToFit="1"/>
    </xf>
    <xf numFmtId="186" fontId="16" fillId="0" borderId="19" xfId="1" applyNumberFormat="1" applyFont="1" applyFill="1" applyBorder="1" applyAlignment="1">
      <alignment horizontal="right" vertical="center" shrinkToFit="1"/>
    </xf>
    <xf numFmtId="186" fontId="16" fillId="0" borderId="24" xfId="1" applyNumberFormat="1" applyFont="1" applyFill="1" applyBorder="1" applyAlignment="1">
      <alignment horizontal="right" vertical="center" shrinkToFit="1"/>
    </xf>
    <xf numFmtId="185" fontId="16" fillId="0" borderId="50" xfId="1" applyNumberFormat="1" applyFont="1" applyFill="1" applyBorder="1" applyAlignment="1">
      <alignment horizontal="right" vertical="center" shrinkToFit="1"/>
    </xf>
    <xf numFmtId="184" fontId="16" fillId="0" borderId="23" xfId="1" applyNumberFormat="1" applyFont="1" applyFill="1" applyBorder="1" applyAlignment="1">
      <alignment horizontal="right" vertical="center" shrinkToFit="1"/>
    </xf>
    <xf numFmtId="184" fontId="16" fillId="0" borderId="12" xfId="1" applyNumberFormat="1" applyFont="1" applyFill="1" applyBorder="1" applyAlignment="1">
      <alignment horizontal="right" vertical="center" shrinkToFit="1"/>
    </xf>
    <xf numFmtId="185" fontId="16" fillId="0" borderId="31" xfId="2" applyNumberFormat="1" applyFont="1" applyFill="1" applyBorder="1" applyAlignment="1">
      <alignment horizontal="right" vertical="center"/>
    </xf>
    <xf numFmtId="185" fontId="16" fillId="0" borderId="21" xfId="2" applyNumberFormat="1" applyFont="1" applyFill="1" applyBorder="1" applyAlignment="1">
      <alignment horizontal="right" vertical="center"/>
    </xf>
    <xf numFmtId="185" fontId="16" fillId="0" borderId="32" xfId="2" applyNumberFormat="1" applyFont="1" applyFill="1" applyBorder="1" applyAlignment="1">
      <alignment horizontal="right" vertical="center" shrinkToFit="1"/>
    </xf>
    <xf numFmtId="185" fontId="16" fillId="0" borderId="56" xfId="2" applyNumberFormat="1" applyFont="1" applyFill="1" applyBorder="1" applyAlignment="1">
      <alignment horizontal="right" vertical="center" shrinkToFit="1"/>
    </xf>
    <xf numFmtId="185" fontId="16" fillId="0" borderId="7" xfId="2" applyNumberFormat="1" applyFont="1" applyFill="1" applyBorder="1" applyAlignment="1">
      <alignment horizontal="right" vertical="center"/>
    </xf>
    <xf numFmtId="185" fontId="16" fillId="0" borderId="8" xfId="2" applyNumberFormat="1" applyFont="1" applyFill="1" applyBorder="1" applyAlignment="1">
      <alignment horizontal="right" vertical="center"/>
    </xf>
    <xf numFmtId="185" fontId="16" fillId="0" borderId="9" xfId="2" applyNumberFormat="1" applyFont="1" applyFill="1" applyBorder="1" applyAlignment="1">
      <alignment horizontal="right" vertical="center" shrinkToFit="1"/>
    </xf>
    <xf numFmtId="185" fontId="16" fillId="0" borderId="14" xfId="2" applyNumberFormat="1" applyFont="1" applyFill="1" applyBorder="1" applyAlignment="1">
      <alignment horizontal="right" vertical="center" shrinkToFit="1"/>
    </xf>
    <xf numFmtId="184" fontId="16" fillId="0" borderId="7" xfId="2" applyNumberFormat="1" applyFont="1" applyFill="1" applyBorder="1" applyAlignment="1">
      <alignment horizontal="right" vertical="center"/>
    </xf>
    <xf numFmtId="184" fontId="16" fillId="0" borderId="11" xfId="2" applyNumberFormat="1" applyFont="1" applyFill="1" applyBorder="1" applyAlignment="1">
      <alignment horizontal="right" vertical="center"/>
    </xf>
    <xf numFmtId="185" fontId="16" fillId="0" borderId="13" xfId="2" applyNumberFormat="1" applyFont="1" applyFill="1" applyBorder="1" applyAlignment="1">
      <alignment horizontal="right" vertical="center" shrinkToFit="1"/>
    </xf>
    <xf numFmtId="185" fontId="16" fillId="0" borderId="15" xfId="2" applyNumberFormat="1" applyFont="1" applyFill="1" applyBorder="1" applyAlignment="1">
      <alignment horizontal="right" vertical="center" shrinkToFit="1"/>
    </xf>
    <xf numFmtId="185" fontId="16" fillId="0" borderId="34" xfId="2" applyNumberFormat="1" applyFont="1" applyFill="1" applyBorder="1" applyAlignment="1">
      <alignment horizontal="right" vertical="center"/>
    </xf>
    <xf numFmtId="185" fontId="16" fillId="0" borderId="81" xfId="2" applyNumberFormat="1" applyFont="1" applyFill="1" applyBorder="1" applyAlignment="1">
      <alignment horizontal="right" vertical="center"/>
    </xf>
    <xf numFmtId="185" fontId="16" fillId="0" borderId="38" xfId="2" applyNumberFormat="1" applyFont="1" applyFill="1" applyBorder="1" applyAlignment="1">
      <alignment horizontal="right" vertical="center" shrinkToFit="1"/>
    </xf>
    <xf numFmtId="185" fontId="16" fillId="0" borderId="143" xfId="2" applyNumberFormat="1" applyFont="1" applyFill="1" applyBorder="1" applyAlignment="1">
      <alignment horizontal="right" vertical="center" shrinkToFit="1"/>
    </xf>
    <xf numFmtId="184" fontId="16" fillId="0" borderId="7" xfId="1" applyNumberFormat="1" applyFont="1" applyFill="1" applyBorder="1" applyAlignment="1">
      <alignment horizontal="right" vertical="center" shrinkToFit="1"/>
    </xf>
    <xf numFmtId="185" fontId="16" fillId="0" borderId="56" xfId="1" applyNumberFormat="1" applyFont="1" applyFill="1" applyBorder="1" applyAlignment="1">
      <alignment horizontal="right" vertical="center" shrinkToFit="1"/>
    </xf>
    <xf numFmtId="185" fontId="16" fillId="0" borderId="14" xfId="1" applyNumberFormat="1" applyFont="1" applyFill="1" applyBorder="1" applyAlignment="1">
      <alignment horizontal="right" vertical="center" shrinkToFit="1"/>
    </xf>
    <xf numFmtId="185" fontId="16" fillId="0" borderId="7" xfId="1" applyNumberFormat="1" applyFont="1" applyFill="1" applyBorder="1" applyAlignment="1">
      <alignment horizontal="right" vertical="center" shrinkToFit="1"/>
    </xf>
    <xf numFmtId="185" fontId="16" fillId="0" borderId="42" xfId="1" applyNumberFormat="1" applyFont="1" applyFill="1" applyBorder="1" applyAlignment="1">
      <alignment horizontal="right" vertical="center" shrinkToFit="1"/>
    </xf>
    <xf numFmtId="185" fontId="16" fillId="0" borderId="67" xfId="1" applyNumberFormat="1" applyFont="1" applyFill="1" applyBorder="1" applyAlignment="1">
      <alignment horizontal="right" vertical="center" shrinkToFit="1"/>
    </xf>
    <xf numFmtId="185" fontId="16" fillId="0" borderId="66" xfId="1" applyNumberFormat="1" applyFont="1" applyFill="1" applyBorder="1" applyAlignment="1">
      <alignment horizontal="right" vertical="center" shrinkToFit="1"/>
    </xf>
    <xf numFmtId="184" fontId="16" fillId="0" borderId="11" xfId="1" applyNumberFormat="1" applyFont="1" applyFill="1" applyBorder="1" applyAlignment="1">
      <alignment horizontal="right" vertical="center" shrinkToFit="1"/>
    </xf>
    <xf numFmtId="184" fontId="16" fillId="0" borderId="4" xfId="1" applyNumberFormat="1" applyFont="1" applyFill="1" applyBorder="1" applyAlignment="1">
      <alignment horizontal="right" vertical="center" shrinkToFit="1"/>
    </xf>
    <xf numFmtId="185" fontId="16" fillId="0" borderId="35" xfId="1" applyNumberFormat="1" applyFont="1" applyFill="1" applyBorder="1" applyAlignment="1">
      <alignment horizontal="right" vertical="center" shrinkToFit="1"/>
    </xf>
    <xf numFmtId="184" fontId="16" fillId="0" borderId="41" xfId="2" applyNumberFormat="1" applyFont="1" applyFill="1" applyBorder="1" applyAlignment="1">
      <alignment horizontal="right" vertical="center"/>
    </xf>
    <xf numFmtId="187" fontId="16" fillId="0" borderId="26" xfId="2" applyNumberFormat="1" applyFont="1" applyFill="1" applyBorder="1" applyAlignment="1">
      <alignment horizontal="right" vertical="center"/>
    </xf>
    <xf numFmtId="185" fontId="16" fillId="0" borderId="22" xfId="2" applyNumberFormat="1" applyFont="1" applyFill="1" applyBorder="1" applyAlignment="1">
      <alignment horizontal="right" vertical="center"/>
    </xf>
    <xf numFmtId="185" fontId="16" fillId="0" borderId="42" xfId="2" applyNumberFormat="1" applyFont="1" applyFill="1" applyBorder="1" applyAlignment="1">
      <alignment horizontal="right" vertical="center"/>
    </xf>
    <xf numFmtId="187" fontId="16" fillId="0" borderId="9" xfId="2" applyNumberFormat="1" applyFont="1" applyFill="1" applyBorder="1" applyAlignment="1">
      <alignment horizontal="right" vertical="center"/>
    </xf>
    <xf numFmtId="184" fontId="16" fillId="0" borderId="57" xfId="2" applyNumberFormat="1" applyFont="1" applyFill="1" applyBorder="1" applyAlignment="1">
      <alignment horizontal="right" vertical="center"/>
    </xf>
    <xf numFmtId="187" fontId="16" fillId="0" borderId="82" xfId="2" applyNumberFormat="1" applyFont="1" applyFill="1" applyBorder="1" applyAlignment="1">
      <alignment horizontal="right" vertical="center"/>
    </xf>
    <xf numFmtId="187" fontId="16" fillId="0" borderId="74" xfId="2" applyNumberFormat="1" applyFont="1" applyFill="1" applyBorder="1" applyAlignment="1">
      <alignment horizontal="right" vertical="center"/>
    </xf>
    <xf numFmtId="185" fontId="16" fillId="0" borderId="100" xfId="2" applyNumberFormat="1" applyFont="1" applyFill="1" applyBorder="1" applyAlignment="1">
      <alignment horizontal="right" vertical="center"/>
    </xf>
    <xf numFmtId="185" fontId="16" fillId="0" borderId="82" xfId="2" applyNumberFormat="1" applyFont="1" applyFill="1" applyBorder="1" applyAlignment="1">
      <alignment horizontal="right" vertical="center"/>
    </xf>
    <xf numFmtId="184" fontId="16" fillId="0" borderId="96" xfId="2" applyNumberFormat="1" applyFont="1" applyFill="1" applyBorder="1" applyAlignment="1">
      <alignment horizontal="right" vertical="center"/>
    </xf>
    <xf numFmtId="185" fontId="16" fillId="0" borderId="58" xfId="2" applyNumberFormat="1" applyFont="1" applyFill="1" applyBorder="1" applyAlignment="1">
      <alignment horizontal="right" vertical="center"/>
    </xf>
    <xf numFmtId="184" fontId="16" fillId="0" borderId="76" xfId="2" applyNumberFormat="1" applyFont="1" applyFill="1" applyBorder="1" applyAlignment="1">
      <alignment horizontal="right" vertical="center"/>
    </xf>
    <xf numFmtId="184" fontId="16" fillId="0" borderId="43" xfId="2" applyNumberFormat="1" applyFont="1" applyFill="1" applyBorder="1" applyAlignment="1">
      <alignment horizontal="right" vertical="center"/>
    </xf>
    <xf numFmtId="187" fontId="16" fillId="0" borderId="83" xfId="2" applyNumberFormat="1" applyFont="1" applyFill="1" applyBorder="1" applyAlignment="1">
      <alignment horizontal="right" vertical="center"/>
    </xf>
    <xf numFmtId="184" fontId="16" fillId="0" borderId="63" xfId="2" applyNumberFormat="1" applyFont="1" applyFill="1" applyBorder="1" applyAlignment="1">
      <alignment horizontal="right" vertical="center"/>
    </xf>
    <xf numFmtId="187" fontId="16" fillId="0" borderId="77" xfId="2" applyNumberFormat="1" applyFont="1" applyFill="1" applyBorder="1" applyAlignment="1">
      <alignment horizontal="right" vertical="center"/>
    </xf>
    <xf numFmtId="185" fontId="16" fillId="0" borderId="101" xfId="2" applyNumberFormat="1" applyFont="1" applyFill="1" applyBorder="1" applyAlignment="1">
      <alignment horizontal="right" vertical="center"/>
    </xf>
    <xf numFmtId="185" fontId="16" fillId="0" borderId="45" xfId="2" applyNumberFormat="1" applyFont="1" applyFill="1" applyBorder="1" applyAlignment="1">
      <alignment horizontal="right" vertical="center"/>
    </xf>
    <xf numFmtId="185" fontId="16" fillId="0" borderId="83" xfId="2" applyNumberFormat="1" applyFont="1" applyFill="1" applyBorder="1" applyAlignment="1">
      <alignment horizontal="right" vertical="center"/>
    </xf>
    <xf numFmtId="184" fontId="16" fillId="0" borderId="7" xfId="2" applyNumberFormat="1" applyFont="1" applyFill="1" applyBorder="1" applyAlignment="1">
      <alignment horizontal="right" vertical="center" shrinkToFit="1"/>
    </xf>
    <xf numFmtId="184" fontId="16" fillId="0" borderId="41" xfId="2" applyNumberFormat="1" applyFont="1" applyFill="1" applyBorder="1" applyAlignment="1">
      <alignment horizontal="right" vertical="center" shrinkToFit="1"/>
    </xf>
    <xf numFmtId="187" fontId="16" fillId="0" borderId="41" xfId="2" applyNumberFormat="1" applyFont="1" applyFill="1" applyBorder="1" applyAlignment="1">
      <alignment horizontal="right" vertical="center" shrinkToFit="1"/>
    </xf>
    <xf numFmtId="184" fontId="16" fillId="0" borderId="31" xfId="2" applyNumberFormat="1" applyFont="1" applyFill="1" applyBorder="1" applyAlignment="1">
      <alignment horizontal="right" vertical="center"/>
    </xf>
    <xf numFmtId="184" fontId="16" fillId="0" borderId="11" xfId="2" applyNumberFormat="1" applyFont="1" applyFill="1" applyBorder="1" applyAlignment="1">
      <alignment horizontal="right" vertical="center" shrinkToFit="1"/>
    </xf>
    <xf numFmtId="184" fontId="16" fillId="0" borderId="43" xfId="2" applyNumberFormat="1" applyFont="1" applyFill="1" applyBorder="1" applyAlignment="1">
      <alignment horizontal="right" vertical="center" shrinkToFit="1"/>
    </xf>
    <xf numFmtId="187" fontId="16" fillId="0" borderId="43" xfId="2" applyNumberFormat="1" applyFont="1" applyFill="1" applyBorder="1" applyAlignment="1">
      <alignment horizontal="right" vertical="center" shrinkToFit="1"/>
    </xf>
    <xf numFmtId="187" fontId="16" fillId="0" borderId="13" xfId="2" applyNumberFormat="1" applyFont="1" applyFill="1" applyBorder="1" applyAlignment="1">
      <alignment horizontal="right" vertical="center"/>
    </xf>
    <xf numFmtId="185" fontId="16" fillId="0" borderId="23" xfId="2" applyNumberFormat="1" applyFont="1" applyFill="1" applyBorder="1" applyAlignment="1">
      <alignment horizontal="right" vertical="center"/>
    </xf>
    <xf numFmtId="185" fontId="16" fillId="0" borderId="12" xfId="2" applyNumberFormat="1" applyFont="1" applyFill="1" applyBorder="1" applyAlignment="1">
      <alignment horizontal="right" vertical="center"/>
    </xf>
    <xf numFmtId="0" fontId="14" fillId="0" borderId="0" xfId="0" applyFont="1" applyFill="1">
      <alignment vertical="center"/>
    </xf>
    <xf numFmtId="184" fontId="16" fillId="0" borderId="33" xfId="2" applyNumberFormat="1" applyFont="1" applyFill="1" applyBorder="1" applyAlignment="1">
      <alignment horizontal="right" vertical="center"/>
    </xf>
    <xf numFmtId="184" fontId="16" fillId="0" borderId="46" xfId="2" applyNumberFormat="1" applyFont="1" applyFill="1" applyBorder="1" applyAlignment="1">
      <alignment horizontal="right" vertical="center"/>
    </xf>
    <xf numFmtId="187" fontId="16" fillId="0" borderId="47" xfId="2" applyNumberFormat="1" applyFont="1" applyFill="1" applyBorder="1" applyAlignment="1">
      <alignment horizontal="right" vertical="center"/>
    </xf>
    <xf numFmtId="185" fontId="16" fillId="0" borderId="19" xfId="2" applyNumberFormat="1" applyFont="1" applyFill="1" applyBorder="1" applyAlignment="1">
      <alignment horizontal="right" vertical="center"/>
    </xf>
    <xf numFmtId="185" fontId="16" fillId="0" borderId="48" xfId="2" applyNumberFormat="1" applyFont="1" applyFill="1" applyBorder="1" applyAlignment="1">
      <alignment horizontal="right" vertical="center"/>
    </xf>
    <xf numFmtId="185" fontId="16" fillId="0" borderId="24" xfId="2" applyNumberFormat="1" applyFont="1" applyFill="1" applyBorder="1" applyAlignment="1">
      <alignment horizontal="right" vertical="center"/>
    </xf>
    <xf numFmtId="187" fontId="16" fillId="0" borderId="44" xfId="2" applyNumberFormat="1" applyFont="1" applyFill="1" applyBorder="1" applyAlignment="1">
      <alignment horizontal="right" vertical="center"/>
    </xf>
    <xf numFmtId="184" fontId="16" fillId="0" borderId="171" xfId="2" applyNumberFormat="1" applyFont="1" applyFill="1" applyBorder="1" applyAlignment="1">
      <alignment horizontal="right" vertical="center"/>
    </xf>
    <xf numFmtId="3" fontId="16" fillId="0" borderId="34" xfId="2" applyNumberFormat="1" applyFont="1" applyFill="1" applyBorder="1" applyAlignment="1">
      <alignment horizontal="right" vertical="center"/>
    </xf>
    <xf numFmtId="184" fontId="16" fillId="0" borderId="92" xfId="2" applyNumberFormat="1" applyFont="1" applyFill="1" applyBorder="1" applyAlignment="1">
      <alignment horizontal="right" vertical="center"/>
    </xf>
    <xf numFmtId="185" fontId="16" fillId="0" borderId="37" xfId="2" applyNumberFormat="1" applyFont="1" applyFill="1" applyBorder="1" applyAlignment="1">
      <alignment horizontal="right" vertical="center"/>
    </xf>
    <xf numFmtId="185" fontId="16" fillId="0" borderId="36" xfId="2" applyNumberFormat="1" applyFont="1" applyFill="1" applyBorder="1" applyAlignment="1">
      <alignment horizontal="right" vertical="center"/>
    </xf>
    <xf numFmtId="185" fontId="16" fillId="0" borderId="166" xfId="2" applyNumberFormat="1" applyFont="1" applyFill="1" applyBorder="1" applyAlignment="1">
      <alignment horizontal="right" vertical="center"/>
    </xf>
    <xf numFmtId="184" fontId="16" fillId="0" borderId="119" xfId="4" applyNumberFormat="1" applyFont="1" applyFill="1" applyBorder="1" applyAlignment="1">
      <alignment horizontal="right" vertical="center" shrinkToFit="1"/>
    </xf>
    <xf numFmtId="185" fontId="16" fillId="0" borderId="120" xfId="4" applyNumberFormat="1" applyFont="1" applyFill="1" applyBorder="1" applyAlignment="1">
      <alignment horizontal="right" vertical="center" shrinkToFit="1"/>
    </xf>
    <xf numFmtId="184" fontId="16" fillId="0" borderId="121" xfId="4" applyNumberFormat="1" applyFont="1" applyFill="1" applyBorder="1" applyAlignment="1">
      <alignment horizontal="right" vertical="center" shrinkToFit="1"/>
    </xf>
    <xf numFmtId="185" fontId="16" fillId="0" borderId="122" xfId="4" applyNumberFormat="1" applyFont="1" applyFill="1" applyBorder="1" applyAlignment="1">
      <alignment horizontal="right" vertical="center" shrinkToFit="1"/>
    </xf>
    <xf numFmtId="184" fontId="16" fillId="0" borderId="123" xfId="4" applyNumberFormat="1" applyFont="1" applyFill="1" applyBorder="1" applyAlignment="1">
      <alignment horizontal="right" vertical="center" shrinkToFit="1"/>
    </xf>
    <xf numFmtId="184" fontId="16" fillId="0" borderId="127" xfId="4" applyNumberFormat="1" applyFont="1" applyFill="1" applyBorder="1" applyAlignment="1">
      <alignment horizontal="right" vertical="center" shrinkToFit="1"/>
    </xf>
    <xf numFmtId="185" fontId="16" fillId="0" borderId="8" xfId="4" applyNumberFormat="1" applyFont="1" applyFill="1" applyBorder="1" applyAlignment="1">
      <alignment horizontal="right" vertical="center" shrinkToFit="1"/>
    </xf>
    <xf numFmtId="184" fontId="16" fillId="0" borderId="7" xfId="4" applyNumberFormat="1" applyFont="1" applyFill="1" applyBorder="1" applyAlignment="1">
      <alignment horizontal="right" vertical="center" shrinkToFit="1"/>
    </xf>
    <xf numFmtId="185" fontId="16" fillId="0" borderId="26" xfId="4" applyNumberFormat="1" applyFont="1" applyFill="1" applyBorder="1" applyAlignment="1">
      <alignment horizontal="right" vertical="center" shrinkToFit="1"/>
    </xf>
    <xf numFmtId="184" fontId="16" fillId="0" borderId="14" xfId="4" applyNumberFormat="1" applyFont="1" applyFill="1" applyBorder="1" applyAlignment="1">
      <alignment horizontal="right" vertical="center" shrinkToFit="1"/>
    </xf>
    <xf numFmtId="184" fontId="16" fillId="0" borderId="82" xfId="4" applyNumberFormat="1" applyFont="1" applyFill="1" applyBorder="1" applyAlignment="1">
      <alignment horizontal="right" vertical="center" shrinkToFit="1"/>
    </xf>
    <xf numFmtId="184" fontId="16" fillId="0" borderId="82" xfId="4" applyNumberFormat="1" applyFont="1" applyFill="1" applyBorder="1" applyAlignment="1">
      <alignment horizontal="right" vertical="center"/>
    </xf>
    <xf numFmtId="184" fontId="16" fillId="0" borderId="83" xfId="4" applyNumberFormat="1" applyFont="1" applyFill="1" applyBorder="1" applyAlignment="1">
      <alignment horizontal="right" vertical="center" shrinkToFit="1"/>
    </xf>
    <xf numFmtId="184" fontId="16" fillId="0" borderId="11" xfId="4" applyNumberFormat="1" applyFont="1" applyFill="1" applyBorder="1" applyAlignment="1">
      <alignment horizontal="right" vertical="center" shrinkToFit="1"/>
    </xf>
    <xf numFmtId="185" fontId="16" fillId="0" borderId="44" xfId="4" applyNumberFormat="1" applyFont="1" applyFill="1" applyBorder="1" applyAlignment="1">
      <alignment horizontal="right" vertical="center" shrinkToFit="1"/>
    </xf>
    <xf numFmtId="184" fontId="16" fillId="0" borderId="15" xfId="4" applyNumberFormat="1" applyFont="1" applyFill="1" applyBorder="1" applyAlignment="1">
      <alignment horizontal="right" vertical="center" shrinkToFit="1"/>
    </xf>
    <xf numFmtId="184" fontId="16" fillId="0" borderId="132" xfId="4" applyNumberFormat="1" applyFont="1" applyFill="1" applyBorder="1" applyAlignment="1">
      <alignment horizontal="right" vertical="center" shrinkToFit="1"/>
    </xf>
    <xf numFmtId="184" fontId="16" fillId="0" borderId="80" xfId="4" applyNumberFormat="1" applyFont="1" applyFill="1" applyBorder="1" applyAlignment="1">
      <alignment horizontal="right" vertical="center" shrinkToFit="1"/>
    </xf>
    <xf numFmtId="184" fontId="16" fillId="0" borderId="31" xfId="4" applyNumberFormat="1" applyFont="1" applyFill="1" applyBorder="1" applyAlignment="1">
      <alignment horizontal="right" vertical="center" shrinkToFit="1"/>
    </xf>
    <xf numFmtId="185" fontId="16" fillId="0" borderId="84" xfId="4" applyNumberFormat="1" applyFont="1" applyFill="1" applyBorder="1" applyAlignment="1">
      <alignment horizontal="right" vertical="center" shrinkToFit="1"/>
    </xf>
    <xf numFmtId="184" fontId="16" fillId="0" borderId="56" xfId="4" applyNumberFormat="1" applyFont="1" applyFill="1" applyBorder="1" applyAlignment="1">
      <alignment horizontal="right" vertical="center" shrinkToFit="1"/>
    </xf>
    <xf numFmtId="184" fontId="16" fillId="0" borderId="131" xfId="4" applyNumberFormat="1" applyFont="1" applyFill="1" applyBorder="1" applyAlignment="1">
      <alignment horizontal="right" vertical="center" shrinkToFit="1"/>
    </xf>
    <xf numFmtId="184" fontId="16" fillId="0" borderId="58" xfId="4" applyNumberFormat="1" applyFont="1" applyFill="1" applyBorder="1" applyAlignment="1">
      <alignment horizontal="right" vertical="center"/>
    </xf>
    <xf numFmtId="186" fontId="16" fillId="0" borderId="14" xfId="4" applyNumberFormat="1" applyFont="1" applyFill="1" applyBorder="1" applyAlignment="1">
      <alignment horizontal="right" vertical="center" shrinkToFit="1"/>
    </xf>
    <xf numFmtId="184" fontId="16" fillId="0" borderId="58" xfId="4" applyNumberFormat="1" applyFont="1" applyFill="1" applyBorder="1" applyAlignment="1">
      <alignment horizontal="right" vertical="center" shrinkToFit="1"/>
    </xf>
    <xf numFmtId="184" fontId="16" fillId="0" borderId="170" xfId="4" applyNumberFormat="1" applyFont="1" applyFill="1" applyBorder="1" applyAlignment="1">
      <alignment horizontal="right" vertical="center" shrinkToFit="1"/>
    </xf>
    <xf numFmtId="184" fontId="16" fillId="0" borderId="140" xfId="4" applyNumberFormat="1" applyFont="1" applyFill="1" applyBorder="1" applyAlignment="1">
      <alignment horizontal="right" vertical="center" shrinkToFit="1"/>
    </xf>
    <xf numFmtId="185" fontId="16" fillId="0" borderId="137" xfId="4" applyNumberFormat="1" applyFont="1" applyFill="1" applyBorder="1" applyAlignment="1">
      <alignment horizontal="right" vertical="center" shrinkToFit="1"/>
    </xf>
    <xf numFmtId="185" fontId="16" fillId="0" borderId="142" xfId="4" applyNumberFormat="1" applyFont="1" applyFill="1" applyBorder="1" applyAlignment="1">
      <alignment horizontal="right" vertical="center" shrinkToFit="1"/>
    </xf>
    <xf numFmtId="179" fontId="5" fillId="0" borderId="23" xfId="4" applyNumberFormat="1" applyFont="1" applyFill="1" applyBorder="1" applyAlignment="1">
      <alignment vertical="center" shrinkToFit="1"/>
    </xf>
    <xf numFmtId="179" fontId="5" fillId="0" borderId="44" xfId="4" applyNumberFormat="1" applyFont="1" applyFill="1" applyBorder="1" applyAlignment="1">
      <alignment vertical="center" shrinkToFit="1"/>
    </xf>
    <xf numFmtId="179" fontId="5" fillId="0" borderId="168" xfId="4" applyNumberFormat="1" applyFont="1" applyFill="1" applyBorder="1" applyAlignment="1">
      <alignment vertical="center" shrinkToFit="1"/>
    </xf>
    <xf numFmtId="0" fontId="5" fillId="0" borderId="117" xfId="5" applyFont="1" applyBorder="1" applyAlignment="1">
      <alignment horizontal="center" vertical="center" wrapText="1"/>
    </xf>
    <xf numFmtId="0" fontId="5" fillId="0" borderId="129" xfId="5" applyFont="1" applyBorder="1" applyAlignment="1">
      <alignment horizontal="center" vertical="center" wrapText="1"/>
    </xf>
    <xf numFmtId="0" fontId="5" fillId="0" borderId="41" xfId="5" applyFont="1" applyBorder="1" applyAlignment="1">
      <alignment horizontal="distributed" vertical="center" shrinkToFit="1"/>
    </xf>
    <xf numFmtId="0" fontId="5" fillId="0" borderId="42" xfId="5" applyFont="1" applyBorder="1" applyAlignment="1">
      <alignment horizontal="distributed" vertical="center" shrinkToFit="1"/>
    </xf>
    <xf numFmtId="179" fontId="5" fillId="0" borderId="22" xfId="4" applyNumberFormat="1" applyFont="1" applyFill="1" applyBorder="1" applyAlignment="1">
      <alignment horizontal="left" vertical="center" shrinkToFit="1"/>
    </xf>
    <xf numFmtId="179" fontId="5" fillId="0" borderId="26" xfId="4" applyNumberFormat="1" applyFont="1" applyFill="1" applyBorder="1" applyAlignment="1">
      <alignment horizontal="left" vertical="center" shrinkToFit="1"/>
    </xf>
    <xf numFmtId="179" fontId="5" fillId="0" borderId="128" xfId="4" applyNumberFormat="1" applyFont="1" applyFill="1" applyBorder="1" applyAlignment="1">
      <alignment horizontal="left" vertical="center" shrinkToFit="1"/>
    </xf>
    <xf numFmtId="0" fontId="5" fillId="0" borderId="41" xfId="5" applyFont="1" applyBorder="1" applyAlignment="1">
      <alignment horizontal="distributed" vertical="center"/>
    </xf>
    <xf numFmtId="0" fontId="5" fillId="0" borderId="42" xfId="5" applyFont="1" applyBorder="1" applyAlignment="1">
      <alignment horizontal="distributed" vertical="center"/>
    </xf>
    <xf numFmtId="0" fontId="5" fillId="0" borderId="26" xfId="5" applyFont="1" applyBorder="1" applyAlignment="1">
      <alignment horizontal="distributed" vertical="center"/>
    </xf>
    <xf numFmtId="0" fontId="5" fillId="0" borderId="75" xfId="5" applyFont="1" applyBorder="1" applyAlignment="1">
      <alignment horizontal="distributed" vertical="center"/>
    </xf>
    <xf numFmtId="0" fontId="5" fillId="0" borderId="66" xfId="5" applyFont="1" applyBorder="1" applyAlignment="1">
      <alignment horizontal="distributed" vertical="center"/>
    </xf>
    <xf numFmtId="0" fontId="5" fillId="0" borderId="69" xfId="5" applyFont="1" applyBorder="1" applyAlignment="1">
      <alignment horizontal="distributed" vertical="center"/>
    </xf>
    <xf numFmtId="0" fontId="5" fillId="0" borderId="46" xfId="5" applyFont="1" applyBorder="1" applyAlignment="1">
      <alignment horizontal="distributed" vertical="center"/>
    </xf>
    <xf numFmtId="0" fontId="5" fillId="0" borderId="48" xfId="5" applyFont="1" applyBorder="1" applyAlignment="1">
      <alignment horizontal="distributed" vertical="center"/>
    </xf>
    <xf numFmtId="179" fontId="5" fillId="0" borderId="124" xfId="4" applyNumberFormat="1" applyFont="1" applyFill="1" applyBorder="1" applyAlignment="1">
      <alignment horizontal="left" vertical="center" shrinkToFit="1"/>
    </xf>
    <xf numFmtId="179" fontId="5" fillId="0" borderId="122" xfId="4" applyNumberFormat="1" applyFont="1" applyFill="1" applyBorder="1" applyAlignment="1">
      <alignment horizontal="left" vertical="center" shrinkToFit="1"/>
    </xf>
    <xf numFmtId="179" fontId="5" fillId="0" borderId="125" xfId="4" applyNumberFormat="1" applyFont="1" applyFill="1" applyBorder="1" applyAlignment="1">
      <alignment horizontal="left" vertical="center" shrinkToFit="1"/>
    </xf>
    <xf numFmtId="179" fontId="5" fillId="0" borderId="78" xfId="4" applyNumberFormat="1" applyFont="1" applyFill="1" applyBorder="1" applyAlignment="1">
      <alignment horizontal="left" vertical="center" shrinkToFit="1"/>
    </xf>
    <xf numFmtId="179" fontId="5" fillId="0" borderId="84" xfId="4" applyNumberFormat="1" applyFont="1" applyFill="1" applyBorder="1" applyAlignment="1">
      <alignment horizontal="left" vertical="center" shrinkToFit="1"/>
    </xf>
    <xf numFmtId="179" fontId="5" fillId="0" borderId="167" xfId="4" applyNumberFormat="1" applyFont="1" applyFill="1" applyBorder="1" applyAlignment="1">
      <alignment horizontal="left" vertical="center" shrinkToFit="1"/>
    </xf>
    <xf numFmtId="0" fontId="5" fillId="0" borderId="127" xfId="5" applyFont="1" applyBorder="1" applyAlignment="1">
      <alignment horizontal="center" vertical="center" shrinkToFit="1"/>
    </xf>
    <xf numFmtId="0" fontId="5" fillId="0" borderId="41" xfId="5" applyFont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 shrinkToFit="1"/>
    </xf>
    <xf numFmtId="0" fontId="5" fillId="1" borderId="131" xfId="5" applyFont="1" applyFill="1" applyBorder="1" applyAlignment="1">
      <alignment horizontal="distributed" vertical="center"/>
    </xf>
    <xf numFmtId="0" fontId="5" fillId="1" borderId="43" xfId="5" applyFont="1" applyFill="1" applyBorder="1" applyAlignment="1">
      <alignment horizontal="distributed" vertical="center"/>
    </xf>
    <xf numFmtId="0" fontId="5" fillId="1" borderId="45" xfId="5" applyFont="1" applyFill="1" applyBorder="1" applyAlignment="1">
      <alignment horizontal="distributed" vertical="center"/>
    </xf>
    <xf numFmtId="179" fontId="5" fillId="0" borderId="23" xfId="4" applyNumberFormat="1" applyFont="1" applyFill="1" applyBorder="1" applyAlignment="1">
      <alignment horizontal="left" vertical="center" shrinkToFit="1"/>
    </xf>
    <xf numFmtId="179" fontId="5" fillId="0" borderId="44" xfId="4" applyNumberFormat="1" applyFont="1" applyFill="1" applyBorder="1" applyAlignment="1">
      <alignment horizontal="left" vertical="center" shrinkToFit="1"/>
    </xf>
    <xf numFmtId="179" fontId="5" fillId="0" borderId="168" xfId="4" applyNumberFormat="1" applyFont="1" applyFill="1" applyBorder="1" applyAlignment="1">
      <alignment horizontal="left" vertical="center" shrinkToFit="1"/>
    </xf>
    <xf numFmtId="0" fontId="5" fillId="1" borderId="41" xfId="5" applyFont="1" applyFill="1" applyBorder="1" applyAlignment="1">
      <alignment horizontal="distributed" vertical="center"/>
    </xf>
    <xf numFmtId="0" fontId="5" fillId="1" borderId="42" xfId="5" applyFont="1" applyFill="1" applyBorder="1" applyAlignment="1">
      <alignment horizontal="distributed" vertical="center"/>
    </xf>
    <xf numFmtId="178" fontId="5" fillId="0" borderId="115" xfId="2" applyNumberFormat="1" applyFont="1" applyFill="1" applyBorder="1" applyAlignment="1">
      <alignment horizontal="left" shrinkToFit="1"/>
    </xf>
    <xf numFmtId="178" fontId="5" fillId="0" borderId="111" xfId="2" applyNumberFormat="1" applyFont="1" applyFill="1" applyBorder="1" applyAlignment="1">
      <alignment horizontal="left" shrinkToFit="1"/>
    </xf>
    <xf numFmtId="178" fontId="5" fillId="0" borderId="116" xfId="2" applyNumberFormat="1" applyFont="1" applyFill="1" applyBorder="1" applyAlignment="1">
      <alignment horizontal="left" shrinkToFit="1"/>
    </xf>
    <xf numFmtId="0" fontId="5" fillId="0" borderId="36" xfId="2" applyFont="1" applyFill="1" applyBorder="1" applyAlignment="1">
      <alignment horizontal="distributed" vertical="center"/>
    </xf>
    <xf numFmtId="0" fontId="5" fillId="0" borderId="37" xfId="2" applyFont="1" applyFill="1" applyBorder="1" applyAlignment="1">
      <alignment horizontal="distributed" vertical="center"/>
    </xf>
    <xf numFmtId="0" fontId="5" fillId="0" borderId="38" xfId="2" applyFont="1" applyFill="1" applyBorder="1" applyAlignment="1">
      <alignment horizontal="distributed" vertical="center"/>
    </xf>
    <xf numFmtId="0" fontId="5" fillId="0" borderId="134" xfId="5" applyFont="1" applyBorder="1" applyAlignment="1">
      <alignment horizontal="center" vertical="center" wrapText="1"/>
    </xf>
    <xf numFmtId="0" fontId="5" fillId="0" borderId="135" xfId="5" applyFont="1" applyBorder="1" applyAlignment="1">
      <alignment horizontal="center" vertical="center" wrapText="1"/>
    </xf>
    <xf numFmtId="0" fontId="5" fillId="0" borderId="94" xfId="5" applyFont="1" applyBorder="1" applyAlignment="1">
      <alignment horizontal="distributed" vertical="center"/>
    </xf>
    <xf numFmtId="0" fontId="5" fillId="0" borderId="84" xfId="5" applyFont="1" applyBorder="1" applyAlignment="1">
      <alignment horizontal="distributed" vertical="center"/>
    </xf>
    <xf numFmtId="179" fontId="5" fillId="0" borderId="19" xfId="4" applyNumberFormat="1" applyFont="1" applyFill="1" applyBorder="1" applyAlignment="1">
      <alignment horizontal="left" vertical="center" shrinkToFit="1"/>
    </xf>
    <xf numFmtId="179" fontId="5" fillId="0" borderId="47" xfId="4" applyNumberFormat="1" applyFont="1" applyFill="1" applyBorder="1" applyAlignment="1">
      <alignment horizontal="left" vertical="center" shrinkToFit="1"/>
    </xf>
    <xf numFmtId="179" fontId="5" fillId="0" borderId="169" xfId="4" applyNumberFormat="1" applyFont="1" applyFill="1" applyBorder="1" applyAlignment="1">
      <alignment horizontal="left" vertical="center" shrinkToFit="1"/>
    </xf>
    <xf numFmtId="0" fontId="5" fillId="1" borderId="66" xfId="5" applyFont="1" applyFill="1" applyBorder="1" applyAlignment="1">
      <alignment horizontal="distributed" vertical="center"/>
    </xf>
    <xf numFmtId="0" fontId="5" fillId="1" borderId="62" xfId="5" applyFont="1" applyFill="1" applyBorder="1" applyAlignment="1">
      <alignment horizontal="distributed" vertical="center"/>
    </xf>
    <xf numFmtId="0" fontId="5" fillId="0" borderId="136" xfId="5" applyFont="1" applyBorder="1" applyAlignment="1">
      <alignment horizontal="distributed" vertical="center"/>
    </xf>
    <xf numFmtId="0" fontId="5" fillId="0" borderId="137" xfId="5" applyFont="1" applyBorder="1" applyAlignment="1">
      <alignment horizontal="distributed" vertical="center"/>
    </xf>
    <xf numFmtId="0" fontId="5" fillId="1" borderId="45" xfId="5" applyFont="1" applyFill="1" applyBorder="1" applyAlignment="1">
      <alignment horizontal="distributed" vertical="center" shrinkToFit="1"/>
    </xf>
    <xf numFmtId="0" fontId="5" fillId="1" borderId="44" xfId="5" applyFont="1" applyFill="1" applyBorder="1" applyAlignment="1">
      <alignment horizontal="distributed" vertical="center" shrinkToFit="1"/>
    </xf>
    <xf numFmtId="0" fontId="5" fillId="1" borderId="147" xfId="5" applyFont="1" applyFill="1" applyBorder="1" applyAlignment="1">
      <alignment horizontal="distributed" vertical="center" shrinkToFit="1"/>
    </xf>
    <xf numFmtId="0" fontId="5" fillId="0" borderId="132" xfId="5" applyFont="1" applyBorder="1" applyAlignment="1">
      <alignment horizontal="distributed" vertical="center"/>
    </xf>
    <xf numFmtId="0" fontId="5" fillId="0" borderId="73" xfId="5" applyFont="1" applyBorder="1" applyAlignment="1">
      <alignment horizontal="distributed" vertical="center"/>
    </xf>
    <xf numFmtId="0" fontId="2" fillId="0" borderId="0" xfId="1" applyFont="1" applyFill="1" applyAlignment="1">
      <alignment horizontal="center" vertical="center"/>
    </xf>
    <xf numFmtId="183" fontId="5" fillId="0" borderId="106" xfId="2" applyNumberFormat="1" applyFont="1" applyFill="1" applyBorder="1" applyAlignment="1">
      <alignment horizontal="distributed" vertical="center" justifyLastLine="1"/>
    </xf>
    <xf numFmtId="183" fontId="5" fillId="0" borderId="146" xfId="2" applyNumberFormat="1" applyFont="1" applyFill="1" applyBorder="1" applyAlignment="1">
      <alignment horizontal="distributed" vertical="center" justifyLastLine="1"/>
    </xf>
    <xf numFmtId="183" fontId="5" fillId="0" borderId="144" xfId="2" applyNumberFormat="1" applyFont="1" applyFill="1" applyBorder="1" applyAlignment="1">
      <alignment horizontal="distributed" vertical="center" justifyLastLine="1"/>
    </xf>
    <xf numFmtId="183" fontId="5" fillId="0" borderId="135" xfId="2" applyNumberFormat="1" applyFont="1" applyFill="1" applyBorder="1" applyAlignment="1">
      <alignment horizontal="distributed" vertical="center" justifyLastLine="1"/>
    </xf>
    <xf numFmtId="0" fontId="5" fillId="0" borderId="107" xfId="2" applyFont="1" applyFill="1" applyBorder="1" applyAlignment="1">
      <alignment horizontal="distributed" vertical="center" justifyLastLine="1"/>
    </xf>
    <xf numFmtId="0" fontId="5" fillId="0" borderId="114" xfId="2" applyFont="1" applyFill="1" applyBorder="1" applyAlignment="1">
      <alignment horizontal="distributed" vertical="center" justifyLastLine="1"/>
    </xf>
    <xf numFmtId="49" fontId="16" fillId="0" borderId="36" xfId="2" applyNumberFormat="1" applyFont="1" applyFill="1" applyBorder="1" applyAlignment="1">
      <alignment horizontal="center" vertical="center"/>
    </xf>
    <xf numFmtId="49" fontId="16" fillId="0" borderId="37" xfId="2" applyNumberFormat="1" applyFont="1" applyFill="1" applyBorder="1" applyAlignment="1">
      <alignment horizontal="center" vertical="center"/>
    </xf>
    <xf numFmtId="49" fontId="16" fillId="0" borderId="38" xfId="2" applyNumberFormat="1" applyFont="1" applyFill="1" applyBorder="1" applyAlignment="1">
      <alignment horizontal="center" vertical="center"/>
    </xf>
    <xf numFmtId="0" fontId="5" fillId="0" borderId="102" xfId="5" applyFont="1" applyBorder="1" applyAlignment="1">
      <alignment horizontal="center" vertical="center"/>
    </xf>
    <xf numFmtId="0" fontId="5" fillId="0" borderId="103" xfId="5" applyFont="1" applyBorder="1" applyAlignment="1">
      <alignment horizontal="center" vertical="center"/>
    </xf>
    <xf numFmtId="0" fontId="5" fillId="0" borderId="110" xfId="5" applyFont="1" applyBorder="1" applyAlignment="1">
      <alignment horizontal="center" vertical="center"/>
    </xf>
    <xf numFmtId="0" fontId="5" fillId="0" borderId="111" xfId="5" applyFont="1" applyBorder="1" applyAlignment="1">
      <alignment horizontal="center" vertical="center"/>
    </xf>
    <xf numFmtId="0" fontId="5" fillId="2" borderId="104" xfId="4" applyFont="1" applyFill="1" applyBorder="1" applyAlignment="1">
      <alignment horizontal="center" vertical="center" wrapText="1"/>
    </xf>
    <xf numFmtId="0" fontId="5" fillId="2" borderId="112" xfId="4" applyFont="1" applyFill="1" applyBorder="1" applyAlignment="1">
      <alignment horizontal="center" vertical="center" wrapText="1"/>
    </xf>
    <xf numFmtId="0" fontId="5" fillId="2" borderId="108" xfId="4" applyFont="1" applyFill="1" applyBorder="1" applyAlignment="1">
      <alignment horizontal="center" vertical="center"/>
    </xf>
    <xf numFmtId="0" fontId="5" fillId="2" borderId="103" xfId="4" applyFont="1" applyFill="1" applyBorder="1" applyAlignment="1">
      <alignment horizontal="center" vertical="center"/>
    </xf>
    <xf numFmtId="0" fontId="5" fillId="2" borderId="109" xfId="4" applyFont="1" applyFill="1" applyBorder="1" applyAlignment="1">
      <alignment horizontal="center" vertical="center"/>
    </xf>
    <xf numFmtId="0" fontId="5" fillId="2" borderId="115" xfId="4" applyFont="1" applyFill="1" applyBorder="1" applyAlignment="1">
      <alignment horizontal="center" vertical="center"/>
    </xf>
    <xf numFmtId="0" fontId="5" fillId="2" borderId="111" xfId="4" applyFont="1" applyFill="1" applyBorder="1" applyAlignment="1">
      <alignment horizontal="center" vertical="center"/>
    </xf>
    <xf numFmtId="0" fontId="5" fillId="2" borderId="116" xfId="4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distributed"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26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distributed" vertical="center"/>
    </xf>
    <xf numFmtId="0" fontId="5" fillId="0" borderId="44" xfId="1" applyFont="1" applyFill="1" applyBorder="1" applyAlignment="1">
      <alignment horizontal="distributed" vertical="center"/>
    </xf>
    <xf numFmtId="0" fontId="5" fillId="0" borderId="13" xfId="1" applyFont="1" applyFill="1" applyBorder="1" applyAlignment="1">
      <alignment horizontal="distributed" vertical="center"/>
    </xf>
    <xf numFmtId="0" fontId="5" fillId="0" borderId="78" xfId="1" applyFont="1" applyFill="1" applyBorder="1" applyAlignment="1">
      <alignment horizontal="distributed" vertical="center"/>
    </xf>
    <xf numFmtId="0" fontId="5" fillId="0" borderId="84" xfId="1" applyFont="1" applyFill="1" applyBorder="1" applyAlignment="1">
      <alignment horizontal="distributed" vertical="center"/>
    </xf>
    <xf numFmtId="0" fontId="5" fillId="0" borderId="32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distributed" vertical="center"/>
    </xf>
    <xf numFmtId="0" fontId="5" fillId="0" borderId="158" xfId="1" applyFont="1" applyFill="1" applyBorder="1" applyAlignment="1">
      <alignment horizontal="center" vertical="center"/>
    </xf>
    <xf numFmtId="0" fontId="5" fillId="0" borderId="159" xfId="1" applyFont="1" applyFill="1" applyBorder="1" applyAlignment="1">
      <alignment horizontal="center" vertical="center"/>
    </xf>
    <xf numFmtId="0" fontId="5" fillId="0" borderId="160" xfId="1" applyFont="1" applyFill="1" applyBorder="1" applyAlignment="1">
      <alignment horizontal="center" vertical="center"/>
    </xf>
    <xf numFmtId="0" fontId="5" fillId="0" borderId="161" xfId="1" applyFont="1" applyFill="1" applyBorder="1" applyAlignment="1">
      <alignment horizontal="center" vertical="center"/>
    </xf>
    <xf numFmtId="0" fontId="5" fillId="0" borderId="162" xfId="1" applyFont="1" applyFill="1" applyBorder="1" applyAlignment="1">
      <alignment horizontal="center" vertical="center"/>
    </xf>
    <xf numFmtId="0" fontId="5" fillId="0" borderId="163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" xfId="1" applyFont="1" applyFill="1" applyBorder="1" applyAlignment="1">
      <alignment horizontal="distributed" vertical="center"/>
    </xf>
    <xf numFmtId="0" fontId="5" fillId="0" borderId="85" xfId="1" applyFont="1" applyFill="1" applyBorder="1" applyAlignment="1">
      <alignment horizontal="center" vertical="center"/>
    </xf>
    <xf numFmtId="0" fontId="5" fillId="0" borderId="86" xfId="1" applyFont="1" applyFill="1" applyBorder="1" applyAlignment="1">
      <alignment horizontal="center" vertical="center"/>
    </xf>
    <xf numFmtId="0" fontId="5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5" fillId="0" borderId="89" xfId="1" applyFont="1" applyFill="1" applyBorder="1" applyAlignment="1">
      <alignment horizontal="center" vertical="center"/>
    </xf>
    <xf numFmtId="0" fontId="5" fillId="0" borderId="90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18" xfId="1" applyFont="1" applyFill="1" applyBorder="1" applyAlignment="1">
      <alignment horizontal="distributed" vertical="center"/>
    </xf>
    <xf numFmtId="183" fontId="5" fillId="0" borderId="29" xfId="1" applyNumberFormat="1" applyFont="1" applyFill="1" applyBorder="1" applyAlignment="1">
      <alignment horizontal="distributed" vertical="center" justifyLastLine="1"/>
    </xf>
    <xf numFmtId="183" fontId="5" fillId="0" borderId="4" xfId="1" applyNumberFormat="1" applyFont="1" applyFill="1" applyBorder="1" applyAlignment="1">
      <alignment horizontal="distributed" vertical="center" justifyLastLine="1"/>
    </xf>
    <xf numFmtId="183" fontId="5" fillId="0" borderId="20" xfId="1" applyNumberFormat="1" applyFont="1" applyFill="1" applyBorder="1" applyAlignment="1">
      <alignment horizontal="distributed" vertical="center" justifyLastLine="1"/>
    </xf>
    <xf numFmtId="183" fontId="5" fillId="0" borderId="3" xfId="1" applyNumberFormat="1" applyFont="1" applyFill="1" applyBorder="1" applyAlignment="1">
      <alignment horizontal="distributed" vertical="center" justifyLastLine="1"/>
    </xf>
    <xf numFmtId="0" fontId="5" fillId="0" borderId="66" xfId="1" applyFont="1" applyFill="1" applyBorder="1" applyAlignment="1">
      <alignment horizontal="distributed" vertical="center"/>
    </xf>
    <xf numFmtId="0" fontId="5" fillId="0" borderId="62" xfId="1" applyFont="1" applyFill="1" applyBorder="1" applyAlignment="1">
      <alignment horizontal="distributed" vertical="center"/>
    </xf>
    <xf numFmtId="0" fontId="5" fillId="0" borderId="49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vertical="center"/>
    </xf>
    <xf numFmtId="0" fontId="5" fillId="0" borderId="66" xfId="2" applyFont="1" applyFill="1" applyBorder="1" applyAlignment="1">
      <alignment horizontal="distributed" vertical="center"/>
    </xf>
    <xf numFmtId="0" fontId="5" fillId="0" borderId="62" xfId="2" applyFont="1" applyFill="1" applyBorder="1" applyAlignment="1">
      <alignment horizontal="distributed" vertical="center"/>
    </xf>
    <xf numFmtId="0" fontId="5" fillId="0" borderId="49" xfId="2" applyFont="1" applyFill="1" applyBorder="1" applyAlignment="1">
      <alignment horizontal="distributed" vertical="center"/>
    </xf>
    <xf numFmtId="0" fontId="5" fillId="0" borderId="45" xfId="2" applyFont="1" applyFill="1" applyBorder="1" applyAlignment="1">
      <alignment horizontal="distributed" vertical="center"/>
    </xf>
    <xf numFmtId="0" fontId="5" fillId="0" borderId="13" xfId="2" applyFont="1" applyFill="1" applyBorder="1" applyAlignment="1">
      <alignment horizontal="distributed" vertical="center"/>
    </xf>
    <xf numFmtId="0" fontId="5" fillId="0" borderId="42" xfId="2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horizontal="distributed" vertical="center"/>
    </xf>
    <xf numFmtId="0" fontId="16" fillId="0" borderId="36" xfId="2" applyNumberFormat="1" applyFont="1" applyFill="1" applyBorder="1" applyAlignment="1">
      <alignment horizontal="center" vertical="center"/>
    </xf>
    <xf numFmtId="0" fontId="16" fillId="0" borderId="37" xfId="2" applyNumberFormat="1" applyFont="1" applyFill="1" applyBorder="1" applyAlignment="1">
      <alignment horizontal="center" vertical="center"/>
    </xf>
    <xf numFmtId="0" fontId="16" fillId="0" borderId="38" xfId="2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textRotation="255" shrinkToFit="1"/>
    </xf>
    <xf numFmtId="0" fontId="5" fillId="0" borderId="3" xfId="1" applyFont="1" applyFill="1" applyBorder="1" applyAlignment="1">
      <alignment horizontal="center" vertical="center" textRotation="255" shrinkToFit="1"/>
    </xf>
    <xf numFmtId="0" fontId="5" fillId="0" borderId="45" xfId="1" applyFont="1" applyFill="1" applyBorder="1" applyAlignment="1">
      <alignment horizontal="distributed" vertical="center"/>
    </xf>
    <xf numFmtId="0" fontId="5" fillId="0" borderId="16" xfId="2" applyFont="1" applyFill="1" applyBorder="1" applyAlignment="1">
      <alignment vertical="center" shrinkToFit="1"/>
    </xf>
    <xf numFmtId="0" fontId="0" fillId="0" borderId="17" xfId="0" applyFill="1" applyBorder="1">
      <alignment vertical="center"/>
    </xf>
    <xf numFmtId="0" fontId="0" fillId="0" borderId="18" xfId="0" applyFill="1" applyBorder="1">
      <alignment vertical="center"/>
    </xf>
    <xf numFmtId="0" fontId="5" fillId="0" borderId="42" xfId="2" applyFont="1" applyFill="1" applyBorder="1" applyAlignment="1">
      <alignment horizontal="distributed" vertical="center" shrinkToFit="1"/>
    </xf>
    <xf numFmtId="0" fontId="5" fillId="0" borderId="26" xfId="2" applyFont="1" applyFill="1" applyBorder="1" applyAlignment="1">
      <alignment horizontal="distributed" vertical="center" shrinkToFit="1"/>
    </xf>
    <xf numFmtId="0" fontId="5" fillId="0" borderId="9" xfId="2" applyFont="1" applyFill="1" applyBorder="1" applyAlignment="1">
      <alignment horizontal="distributed" vertical="center" shrinkToFit="1"/>
    </xf>
    <xf numFmtId="0" fontId="5" fillId="0" borderId="36" xfId="0" applyFont="1" applyFill="1" applyBorder="1" applyAlignment="1">
      <alignment horizontal="distributed" vertical="center"/>
    </xf>
    <xf numFmtId="0" fontId="5" fillId="0" borderId="37" xfId="0" applyFont="1" applyFill="1" applyBorder="1" applyAlignment="1">
      <alignment horizontal="distributed" vertical="center"/>
    </xf>
    <xf numFmtId="0" fontId="5" fillId="0" borderId="23" xfId="2" applyFont="1" applyFill="1" applyBorder="1" applyAlignment="1">
      <alignment horizontal="distributed" vertical="center"/>
    </xf>
    <xf numFmtId="0" fontId="5" fillId="0" borderId="44" xfId="2" applyFont="1" applyFill="1" applyBorder="1" applyAlignment="1">
      <alignment horizontal="distributed" vertical="center"/>
    </xf>
    <xf numFmtId="0" fontId="11" fillId="0" borderId="149" xfId="0" applyFont="1" applyFill="1" applyBorder="1" applyAlignment="1">
      <alignment vertical="center"/>
    </xf>
    <xf numFmtId="0" fontId="11" fillId="0" borderId="150" xfId="0" applyFont="1" applyFill="1" applyBorder="1" applyAlignment="1">
      <alignment vertical="center"/>
    </xf>
    <xf numFmtId="0" fontId="11" fillId="0" borderId="151" xfId="0" applyFont="1" applyFill="1" applyBorder="1" applyAlignment="1">
      <alignment vertical="center"/>
    </xf>
    <xf numFmtId="0" fontId="11" fillId="0" borderId="152" xfId="0" applyFont="1" applyFill="1" applyBorder="1" applyAlignment="1">
      <alignment vertical="center"/>
    </xf>
    <xf numFmtId="0" fontId="11" fillId="0" borderId="153" xfId="0" applyFont="1" applyFill="1" applyBorder="1" applyAlignment="1">
      <alignment vertical="center"/>
    </xf>
    <xf numFmtId="0" fontId="11" fillId="0" borderId="154" xfId="0" applyFont="1" applyFill="1" applyBorder="1" applyAlignment="1">
      <alignment vertical="center"/>
    </xf>
    <xf numFmtId="0" fontId="12" fillId="0" borderId="155" xfId="0" applyFont="1" applyFill="1" applyBorder="1" applyAlignment="1">
      <alignment vertical="center"/>
    </xf>
    <xf numFmtId="0" fontId="12" fillId="0" borderId="156" xfId="0" applyFont="1" applyFill="1" applyBorder="1" applyAlignment="1">
      <alignment vertical="center"/>
    </xf>
    <xf numFmtId="0" fontId="12" fillId="0" borderId="157" xfId="0" applyFont="1" applyFill="1" applyBorder="1" applyAlignment="1">
      <alignment vertical="center"/>
    </xf>
    <xf numFmtId="0" fontId="5" fillId="0" borderId="85" xfId="0" applyFont="1" applyFill="1" applyBorder="1" applyAlignment="1">
      <alignment horizontal="center" vertical="center"/>
    </xf>
    <xf numFmtId="0" fontId="5" fillId="0" borderId="86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5" fillId="0" borderId="97" xfId="0" applyFont="1" applyFill="1" applyBorder="1" applyAlignment="1">
      <alignment horizontal="center" vertical="center"/>
    </xf>
    <xf numFmtId="0" fontId="5" fillId="0" borderId="98" xfId="0" applyFont="1" applyFill="1" applyBorder="1" applyAlignment="1">
      <alignment horizontal="center" vertical="center"/>
    </xf>
    <xf numFmtId="0" fontId="5" fillId="0" borderId="99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90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distributed" vertical="center" justifyLastLine="1"/>
    </xf>
    <xf numFmtId="0" fontId="5" fillId="0" borderId="92" xfId="0" applyFont="1" applyFill="1" applyBorder="1" applyAlignment="1">
      <alignment horizontal="distributed" vertical="center" justifyLastLine="1"/>
    </xf>
    <xf numFmtId="0" fontId="5" fillId="0" borderId="81" xfId="0" applyFont="1" applyFill="1" applyBorder="1" applyAlignment="1">
      <alignment horizontal="distributed" vertical="center" justifyLastLine="1"/>
    </xf>
    <xf numFmtId="0" fontId="5" fillId="0" borderId="16" xfId="2" applyFont="1" applyFill="1" applyBorder="1" applyAlignment="1">
      <alignment horizontal="center" vertical="center" wrapText="1"/>
    </xf>
    <xf numFmtId="0" fontId="5" fillId="0" borderId="93" xfId="2" applyFont="1" applyFill="1" applyBorder="1" applyAlignment="1">
      <alignment horizontal="center" vertical="center" wrapText="1"/>
    </xf>
    <xf numFmtId="0" fontId="5" fillId="0" borderId="10" xfId="2" applyFont="1" applyFill="1" applyBorder="1" applyAlignment="1">
      <alignment horizontal="center" vertical="center" wrapText="1"/>
    </xf>
    <xf numFmtId="0" fontId="5" fillId="0" borderId="51" xfId="2" applyFont="1" applyFill="1" applyBorder="1" applyAlignment="1">
      <alignment horizontal="center" vertical="center" wrapText="1"/>
    </xf>
    <xf numFmtId="0" fontId="5" fillId="0" borderId="19" xfId="2" applyFont="1" applyFill="1" applyBorder="1" applyAlignment="1">
      <alignment horizontal="center" vertical="center" wrapText="1"/>
    </xf>
    <xf numFmtId="0" fontId="5" fillId="0" borderId="60" xfId="2" applyFont="1" applyFill="1" applyBorder="1" applyAlignment="1">
      <alignment horizontal="center" vertical="center" wrapText="1"/>
    </xf>
    <xf numFmtId="0" fontId="13" fillId="0" borderId="94" xfId="3" applyFont="1" applyFill="1" applyBorder="1" applyAlignment="1">
      <alignment horizontal="distributed" vertical="center"/>
    </xf>
    <xf numFmtId="0" fontId="13" fillId="0" borderId="84" xfId="3" applyFont="1" applyFill="1" applyBorder="1" applyAlignment="1">
      <alignment horizontal="distributed" vertical="center"/>
    </xf>
    <xf numFmtId="0" fontId="13" fillId="0" borderId="42" xfId="3" applyFont="1" applyFill="1" applyBorder="1" applyAlignment="1">
      <alignment horizontal="distributed" vertical="center"/>
    </xf>
    <xf numFmtId="0" fontId="13" fillId="0" borderId="26" xfId="3" applyFont="1" applyFill="1" applyBorder="1" applyAlignment="1">
      <alignment horizontal="distributed" vertical="center"/>
    </xf>
    <xf numFmtId="0" fontId="13" fillId="0" borderId="42" xfId="3" applyFont="1" applyFill="1" applyBorder="1" applyAlignment="1">
      <alignment vertical="center" shrinkToFit="1"/>
    </xf>
    <xf numFmtId="0" fontId="13" fillId="0" borderId="26" xfId="3" applyFont="1" applyFill="1" applyBorder="1" applyAlignment="1">
      <alignment vertical="center" shrinkToFit="1"/>
    </xf>
    <xf numFmtId="0" fontId="13" fillId="0" borderId="42" xfId="3" applyFont="1" applyFill="1" applyBorder="1" applyAlignment="1">
      <alignment horizontal="center" vertical="center" shrinkToFit="1"/>
    </xf>
    <xf numFmtId="0" fontId="13" fillId="0" borderId="26" xfId="3" applyFont="1" applyFill="1" applyBorder="1" applyAlignment="1">
      <alignment horizontal="center" vertical="center" shrinkToFit="1"/>
    </xf>
    <xf numFmtId="183" fontId="5" fillId="0" borderId="29" xfId="2" applyNumberFormat="1" applyFont="1" applyFill="1" applyBorder="1" applyAlignment="1">
      <alignment horizontal="distributed" vertical="center" justifyLastLine="1"/>
    </xf>
    <xf numFmtId="183" fontId="5" fillId="0" borderId="4" xfId="2" applyNumberFormat="1" applyFont="1" applyFill="1" applyBorder="1" applyAlignment="1">
      <alignment horizontal="distributed" vertical="center" justifyLastLine="1"/>
    </xf>
    <xf numFmtId="0" fontId="5" fillId="0" borderId="61" xfId="2" applyFont="1" applyFill="1" applyBorder="1" applyAlignment="1">
      <alignment horizontal="center" vertical="center" wrapText="1"/>
    </xf>
    <xf numFmtId="0" fontId="5" fillId="0" borderId="95" xfId="2" applyFont="1" applyFill="1" applyBorder="1" applyAlignment="1">
      <alignment horizontal="center" vertical="center" wrapText="1"/>
    </xf>
    <xf numFmtId="183" fontId="5" fillId="0" borderId="29" xfId="2" applyNumberFormat="1" applyFont="1" applyFill="1" applyBorder="1" applyAlignment="1">
      <alignment horizontal="distributed" vertical="center" wrapText="1" justifyLastLine="1"/>
    </xf>
    <xf numFmtId="183" fontId="5" fillId="0" borderId="4" xfId="2" applyNumberFormat="1" applyFont="1" applyFill="1" applyBorder="1" applyAlignment="1">
      <alignment horizontal="distributed" vertical="center" wrapText="1" justifyLastLine="1"/>
    </xf>
    <xf numFmtId="0" fontId="5" fillId="0" borderId="143" xfId="2" applyFont="1" applyFill="1" applyBorder="1" applyAlignment="1">
      <alignment horizontal="distributed" vertical="center"/>
    </xf>
    <xf numFmtId="0" fontId="5" fillId="0" borderId="36" xfId="0" applyFont="1" applyFill="1" applyBorder="1" applyAlignment="1">
      <alignment horizontal="distributed" vertical="center" justifyLastLine="1"/>
    </xf>
    <xf numFmtId="0" fontId="5" fillId="0" borderId="37" xfId="0" applyFont="1" applyFill="1" applyBorder="1" applyAlignment="1">
      <alignment horizontal="distributed" vertical="center" justifyLastLine="1"/>
    </xf>
    <xf numFmtId="0" fontId="5" fillId="0" borderId="38" xfId="0" applyFont="1" applyFill="1" applyBorder="1" applyAlignment="1">
      <alignment horizontal="distributed" vertical="center" justifyLastLine="1"/>
    </xf>
    <xf numFmtId="183" fontId="5" fillId="0" borderId="20" xfId="2" applyNumberFormat="1" applyFont="1" applyFill="1" applyBorder="1" applyAlignment="1">
      <alignment horizontal="distributed" vertical="center" justifyLastLine="1"/>
    </xf>
    <xf numFmtId="183" fontId="5" fillId="0" borderId="3" xfId="2" applyNumberFormat="1" applyFont="1" applyFill="1" applyBorder="1" applyAlignment="1">
      <alignment horizontal="distributed" vertical="center" justifyLastLine="1"/>
    </xf>
    <xf numFmtId="0" fontId="5" fillId="0" borderId="36" xfId="0" applyFont="1" applyFill="1" applyBorder="1" applyAlignment="1">
      <alignment horizontal="center" vertical="center" justifyLastLine="1"/>
    </xf>
    <xf numFmtId="0" fontId="5" fillId="0" borderId="37" xfId="0" applyFont="1" applyFill="1" applyBorder="1" applyAlignment="1">
      <alignment horizontal="center" vertical="center" justifyLastLine="1"/>
    </xf>
    <xf numFmtId="0" fontId="5" fillId="0" borderId="38" xfId="0" applyFont="1" applyFill="1" applyBorder="1" applyAlignment="1">
      <alignment horizontal="center" vertical="center" justifyLastLine="1"/>
    </xf>
    <xf numFmtId="183" fontId="5" fillId="0" borderId="16" xfId="2" applyNumberFormat="1" applyFont="1" applyFill="1" applyBorder="1" applyAlignment="1">
      <alignment horizontal="distributed" vertical="center" justifyLastLine="1"/>
    </xf>
    <xf numFmtId="183" fontId="5" fillId="0" borderId="93" xfId="2" applyNumberFormat="1" applyFont="1" applyFill="1" applyBorder="1" applyAlignment="1">
      <alignment horizontal="distributed" vertical="center" justifyLastLine="1"/>
    </xf>
    <xf numFmtId="183" fontId="5" fillId="0" borderId="27" xfId="2" applyNumberFormat="1" applyFont="1" applyFill="1" applyBorder="1" applyAlignment="1">
      <alignment horizontal="distributed" vertical="center" justifyLastLine="1"/>
    </xf>
    <xf numFmtId="183" fontId="5" fillId="0" borderId="52" xfId="2" applyNumberFormat="1" applyFont="1" applyFill="1" applyBorder="1" applyAlignment="1">
      <alignment horizontal="distributed" vertical="center" justifyLastLine="1"/>
    </xf>
    <xf numFmtId="0" fontId="5" fillId="0" borderId="16" xfId="2" applyFont="1" applyFill="1" applyBorder="1" applyAlignment="1">
      <alignment horizontal="distributed" vertical="center" justifyLastLine="1"/>
    </xf>
    <xf numFmtId="0" fontId="5" fillId="0" borderId="18" xfId="2" applyFont="1" applyFill="1" applyBorder="1" applyAlignment="1">
      <alignment horizontal="distributed" vertical="center" justifyLastLine="1"/>
    </xf>
    <xf numFmtId="183" fontId="5" fillId="0" borderId="165" xfId="2" applyNumberFormat="1" applyFont="1" applyFill="1" applyBorder="1" applyAlignment="1">
      <alignment horizontal="distributed" vertical="center" justifyLastLine="1"/>
    </xf>
    <xf numFmtId="183" fontId="5" fillId="0" borderId="18" xfId="2" applyNumberFormat="1" applyFont="1" applyFill="1" applyBorder="1" applyAlignment="1">
      <alignment horizontal="distributed" vertical="center" justifyLastLine="1"/>
    </xf>
    <xf numFmtId="183" fontId="5" fillId="0" borderId="28" xfId="2" applyNumberFormat="1" applyFont="1" applyFill="1" applyBorder="1" applyAlignment="1">
      <alignment horizontal="distributed" vertical="center" justifyLastLine="1"/>
    </xf>
    <xf numFmtId="183" fontId="5" fillId="0" borderId="5" xfId="2" applyNumberFormat="1" applyFont="1" applyFill="1" applyBorder="1" applyAlignment="1">
      <alignment horizontal="distributed" vertical="center" justifyLastLine="1"/>
    </xf>
    <xf numFmtId="185" fontId="16" fillId="0" borderId="94" xfId="2" applyNumberFormat="1" applyFont="1" applyFill="1" applyBorder="1" applyAlignment="1">
      <alignment horizontal="right" vertical="center"/>
    </xf>
    <xf numFmtId="185" fontId="16" fillId="0" borderId="32" xfId="2" applyNumberFormat="1" applyFont="1" applyFill="1" applyBorder="1" applyAlignment="1">
      <alignment horizontal="right" vertical="center"/>
    </xf>
    <xf numFmtId="185" fontId="16" fillId="0" borderId="42" xfId="2" applyNumberFormat="1" applyFont="1" applyFill="1" applyBorder="1" applyAlignment="1">
      <alignment horizontal="right" vertical="center"/>
    </xf>
    <xf numFmtId="185" fontId="16" fillId="0" borderId="9" xfId="2" applyNumberFormat="1" applyFont="1" applyFill="1" applyBorder="1" applyAlignment="1">
      <alignment horizontal="right" vertical="center"/>
    </xf>
    <xf numFmtId="184" fontId="16" fillId="0" borderId="42" xfId="2" applyNumberFormat="1" applyFont="1" applyFill="1" applyBorder="1" applyAlignment="1">
      <alignment horizontal="right" vertical="center"/>
    </xf>
    <xf numFmtId="184" fontId="16" fillId="0" borderId="9" xfId="2" applyNumberFormat="1" applyFont="1" applyFill="1" applyBorder="1" applyAlignment="1">
      <alignment horizontal="right" vertical="center"/>
    </xf>
    <xf numFmtId="0" fontId="5" fillId="0" borderId="23" xfId="0" applyFont="1" applyFill="1" applyBorder="1" applyAlignment="1">
      <alignment horizontal="distributed" vertical="center"/>
    </xf>
    <xf numFmtId="0" fontId="5" fillId="0" borderId="44" xfId="0" applyFont="1" applyFill="1" applyBorder="1" applyAlignment="1">
      <alignment horizontal="distributed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 justifyLastLine="1"/>
    </xf>
    <xf numFmtId="0" fontId="5" fillId="0" borderId="18" xfId="2" applyFont="1" applyFill="1" applyBorder="1" applyAlignment="1">
      <alignment horizontal="center" vertical="center" justifyLastLine="1"/>
    </xf>
    <xf numFmtId="0" fontId="5" fillId="0" borderId="22" xfId="0" applyFont="1" applyFill="1" applyBorder="1" applyAlignment="1">
      <alignment horizontal="distributed" vertical="center"/>
    </xf>
    <xf numFmtId="0" fontId="5" fillId="0" borderId="26" xfId="0" applyFont="1" applyFill="1" applyBorder="1" applyAlignment="1">
      <alignment horizontal="distributed" vertical="center"/>
    </xf>
    <xf numFmtId="183" fontId="5" fillId="0" borderId="20" xfId="2" applyNumberFormat="1" applyFont="1" applyFill="1" applyBorder="1" applyAlignment="1">
      <alignment horizontal="distributed" vertical="center" wrapText="1" justifyLastLine="1"/>
    </xf>
    <xf numFmtId="183" fontId="5" fillId="0" borderId="3" xfId="2" applyNumberFormat="1" applyFont="1" applyFill="1" applyBorder="1" applyAlignment="1">
      <alignment horizontal="distributed" vertical="center" wrapText="1" justifyLastLine="1"/>
    </xf>
    <xf numFmtId="0" fontId="5" fillId="0" borderId="78" xfId="0" applyFont="1" applyFill="1" applyBorder="1" applyAlignment="1">
      <alignment horizontal="distributed" vertical="center"/>
    </xf>
    <xf numFmtId="0" fontId="5" fillId="0" borderId="84" xfId="0" applyFont="1" applyFill="1" applyBorder="1" applyAlignment="1">
      <alignment horizontal="distributed" vertical="center"/>
    </xf>
    <xf numFmtId="0" fontId="5" fillId="0" borderId="164" xfId="0" applyFont="1" applyFill="1" applyBorder="1" applyAlignment="1">
      <alignment horizontal="distributed" vertical="center"/>
    </xf>
    <xf numFmtId="0" fontId="5" fillId="0" borderId="148" xfId="0" applyFont="1" applyFill="1" applyBorder="1" applyAlignment="1">
      <alignment horizontal="distributed" vertical="center"/>
    </xf>
    <xf numFmtId="185" fontId="16" fillId="0" borderId="23" xfId="2" applyNumberFormat="1" applyFont="1" applyFill="1" applyBorder="1" applyAlignment="1">
      <alignment horizontal="right" vertical="center"/>
    </xf>
    <xf numFmtId="185" fontId="16" fillId="0" borderId="13" xfId="2" applyNumberFormat="1" applyFont="1" applyFill="1" applyBorder="1" applyAlignment="1">
      <alignment horizontal="right" vertical="center"/>
    </xf>
    <xf numFmtId="184" fontId="16" fillId="0" borderId="45" xfId="2" applyNumberFormat="1" applyFont="1" applyFill="1" applyBorder="1" applyAlignment="1">
      <alignment horizontal="right" vertical="center"/>
    </xf>
    <xf numFmtId="184" fontId="16" fillId="0" borderId="13" xfId="2" applyNumberFormat="1" applyFont="1" applyFill="1" applyBorder="1" applyAlignment="1">
      <alignment horizontal="right" vertical="center"/>
    </xf>
    <xf numFmtId="185" fontId="16" fillId="0" borderId="22" xfId="2" applyNumberFormat="1" applyFont="1" applyFill="1" applyBorder="1" applyAlignment="1">
      <alignment horizontal="right" vertical="center"/>
    </xf>
    <xf numFmtId="185" fontId="16" fillId="0" borderId="78" xfId="2" applyNumberFormat="1" applyFont="1" applyFill="1" applyBorder="1" applyAlignment="1">
      <alignment horizontal="right" vertical="center"/>
    </xf>
    <xf numFmtId="185" fontId="16" fillId="0" borderId="84" xfId="2" applyNumberFormat="1" applyFont="1" applyFill="1" applyBorder="1" applyAlignment="1">
      <alignment horizontal="right" vertical="center"/>
    </xf>
    <xf numFmtId="184" fontId="16" fillId="0" borderId="23" xfId="2" applyNumberFormat="1" applyFont="1" applyFill="1" applyBorder="1" applyAlignment="1">
      <alignment horizontal="right" vertical="center"/>
    </xf>
    <xf numFmtId="184" fontId="16" fillId="0" borderId="44" xfId="2" applyNumberFormat="1" applyFont="1" applyFill="1" applyBorder="1" applyAlignment="1">
      <alignment horizontal="right" vertical="center"/>
    </xf>
    <xf numFmtId="184" fontId="16" fillId="0" borderId="22" xfId="2" applyNumberFormat="1" applyFont="1" applyFill="1" applyBorder="1" applyAlignment="1">
      <alignment horizontal="right" vertical="center"/>
    </xf>
    <xf numFmtId="184" fontId="16" fillId="0" borderId="26" xfId="2" applyNumberFormat="1" applyFont="1" applyFill="1" applyBorder="1" applyAlignment="1">
      <alignment horizontal="right" vertical="center"/>
    </xf>
    <xf numFmtId="185" fontId="16" fillId="0" borderId="26" xfId="2" applyNumberFormat="1" applyFont="1" applyFill="1" applyBorder="1" applyAlignment="1">
      <alignment horizontal="right" vertical="center"/>
    </xf>
    <xf numFmtId="184" fontId="16" fillId="0" borderId="148" xfId="2" applyNumberFormat="1" applyFont="1" applyFill="1" applyBorder="1" applyAlignment="1">
      <alignment horizontal="right" vertical="center"/>
    </xf>
    <xf numFmtId="0" fontId="5" fillId="0" borderId="147" xfId="0" applyFont="1" applyFill="1" applyBorder="1" applyAlignment="1">
      <alignment horizontal="distributed" vertical="center"/>
    </xf>
    <xf numFmtId="185" fontId="16" fillId="0" borderId="36" xfId="2" applyNumberFormat="1" applyFont="1" applyFill="1" applyBorder="1" applyAlignment="1">
      <alignment horizontal="right" vertical="center"/>
    </xf>
    <xf numFmtId="185" fontId="16" fillId="0" borderId="91" xfId="2" applyNumberFormat="1" applyFont="1" applyFill="1" applyBorder="1" applyAlignment="1">
      <alignment horizontal="right" vertical="center"/>
    </xf>
    <xf numFmtId="184" fontId="16" fillId="0" borderId="147" xfId="2" applyNumberFormat="1" applyFont="1" applyFill="1" applyBorder="1" applyAlignment="1">
      <alignment horizontal="right" vertical="center"/>
    </xf>
    <xf numFmtId="185" fontId="16" fillId="0" borderId="148" xfId="2" applyNumberFormat="1" applyFont="1" applyFill="1" applyBorder="1" applyAlignment="1">
      <alignment horizontal="right" vertical="center"/>
    </xf>
    <xf numFmtId="185" fontId="16" fillId="0" borderId="164" xfId="2" applyNumberFormat="1" applyFont="1" applyFill="1" applyBorder="1" applyAlignment="1">
      <alignment horizontal="right" vertical="center"/>
    </xf>
    <xf numFmtId="185" fontId="16" fillId="0" borderId="166" xfId="2" applyNumberFormat="1" applyFont="1" applyFill="1" applyBorder="1" applyAlignment="1">
      <alignment horizontal="right" vertical="center"/>
    </xf>
    <xf numFmtId="185" fontId="16" fillId="0" borderId="38" xfId="2" applyNumberFormat="1" applyFont="1" applyFill="1" applyBorder="1" applyAlignment="1">
      <alignment horizontal="right" vertical="center"/>
    </xf>
    <xf numFmtId="185" fontId="16" fillId="0" borderId="36" xfId="2" applyNumberFormat="1" applyFont="1" applyFill="1" applyBorder="1" applyAlignment="1">
      <alignment horizontal="right" vertical="center" shrinkToFit="1"/>
    </xf>
    <xf numFmtId="185" fontId="16" fillId="0" borderId="38" xfId="2" applyNumberFormat="1" applyFont="1" applyFill="1" applyBorder="1" applyAlignment="1">
      <alignment horizontal="right" vertical="center" shrinkToFi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97" xfId="1" applyFont="1" applyFill="1" applyBorder="1" applyAlignment="1">
      <alignment horizontal="center" vertical="center"/>
    </xf>
    <xf numFmtId="0" fontId="5" fillId="0" borderId="98" xfId="1" applyFont="1" applyFill="1" applyBorder="1" applyAlignment="1">
      <alignment horizontal="center" vertical="center"/>
    </xf>
    <xf numFmtId="0" fontId="5" fillId="0" borderId="36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distributed" vertical="center" shrinkToFit="1"/>
    </xf>
    <xf numFmtId="0" fontId="5" fillId="0" borderId="26" xfId="1" applyFont="1" applyFill="1" applyBorder="1" applyAlignment="1">
      <alignment horizontal="distributed" vertical="center" shrinkToFit="1"/>
    </xf>
    <xf numFmtId="0" fontId="5" fillId="0" borderId="9" xfId="1" applyFont="1" applyFill="1" applyBorder="1" applyAlignment="1">
      <alignment horizontal="distributed" vertical="center" shrinkToFit="1"/>
    </xf>
    <xf numFmtId="0" fontId="5" fillId="0" borderId="66" xfId="1" applyFont="1" applyFill="1" applyBorder="1" applyAlignment="1">
      <alignment horizontal="center" vertical="distributed" wrapText="1"/>
    </xf>
    <xf numFmtId="0" fontId="5" fillId="0" borderId="95" xfId="1" applyFont="1" applyFill="1" applyBorder="1" applyAlignment="1">
      <alignment horizontal="center" vertical="distributed"/>
    </xf>
    <xf numFmtId="0" fontId="5" fillId="0" borderId="25" xfId="1" applyFont="1" applyFill="1" applyBorder="1" applyAlignment="1">
      <alignment horizontal="center" vertical="distributed"/>
    </xf>
    <xf numFmtId="0" fontId="5" fillId="0" borderId="51" xfId="1" applyFont="1" applyFill="1" applyBorder="1" applyAlignment="1">
      <alignment horizontal="center" vertical="distributed"/>
    </xf>
    <xf numFmtId="0" fontId="5" fillId="0" borderId="48" xfId="1" applyFont="1" applyFill="1" applyBorder="1" applyAlignment="1">
      <alignment horizontal="center" vertical="distributed"/>
    </xf>
    <xf numFmtId="0" fontId="5" fillId="0" borderId="60" xfId="1" applyFont="1" applyFill="1" applyBorder="1" applyAlignment="1">
      <alignment horizontal="center" vertical="distributed"/>
    </xf>
    <xf numFmtId="0" fontId="5" fillId="0" borderId="48" xfId="1" applyFont="1" applyFill="1" applyBorder="1" applyAlignment="1">
      <alignment horizontal="distributed" vertical="center"/>
    </xf>
    <xf numFmtId="0" fontId="5" fillId="0" borderId="47" xfId="1" applyFont="1" applyFill="1" applyBorder="1" applyAlignment="1">
      <alignment horizontal="distributed" vertical="center"/>
    </xf>
    <xf numFmtId="0" fontId="7" fillId="0" borderId="62" xfId="1" applyFont="1" applyFill="1" applyBorder="1" applyAlignment="1">
      <alignment horizontal="center" vertical="center" wrapText="1" shrinkToFit="1"/>
    </xf>
    <xf numFmtId="0" fontId="7" fillId="0" borderId="95" xfId="1" applyFont="1" applyFill="1" applyBorder="1" applyAlignment="1">
      <alignment horizontal="center" vertical="center" shrinkToFit="1"/>
    </xf>
    <xf numFmtId="0" fontId="7" fillId="0" borderId="47" xfId="1" applyFont="1" applyFill="1" applyBorder="1" applyAlignment="1">
      <alignment horizontal="center" vertical="center" shrinkToFit="1"/>
    </xf>
    <xf numFmtId="0" fontId="7" fillId="0" borderId="60" xfId="1" applyFont="1" applyFill="1" applyBorder="1" applyAlignment="1">
      <alignment horizontal="center" vertical="center" shrinkToFit="1"/>
    </xf>
    <xf numFmtId="183" fontId="5" fillId="0" borderId="84" xfId="2" applyNumberFormat="1" applyFont="1" applyFill="1" applyBorder="1" applyAlignment="1">
      <alignment horizontal="distributed" vertical="center" justifyLastLine="1"/>
    </xf>
    <xf numFmtId="0" fontId="5" fillId="0" borderId="37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distributed" textRotation="255" justifyLastLine="1"/>
    </xf>
    <xf numFmtId="0" fontId="5" fillId="0" borderId="10" xfId="1" applyFont="1" applyFill="1" applyBorder="1" applyAlignment="1">
      <alignment horizontal="center" vertical="distributed" textRotation="255" justifyLastLine="1"/>
    </xf>
    <xf numFmtId="0" fontId="5" fillId="0" borderId="27" xfId="1" applyFont="1" applyFill="1" applyBorder="1" applyAlignment="1">
      <alignment horizontal="center" vertical="distributed" textRotation="255" justifyLastLine="1"/>
    </xf>
    <xf numFmtId="0" fontId="5" fillId="0" borderId="73" xfId="1" applyFont="1" applyFill="1" applyBorder="1" applyAlignment="1">
      <alignment horizontal="center" vertical="distributed" textRotation="255" justifyLastLine="1"/>
    </xf>
    <xf numFmtId="0" fontId="5" fillId="0" borderId="41" xfId="1" applyFont="1" applyFill="1" applyBorder="1" applyAlignment="1">
      <alignment horizontal="center" vertical="distributed" textRotation="255" justifyLastLine="1"/>
    </xf>
    <xf numFmtId="0" fontId="5" fillId="0" borderId="73" xfId="1" applyFont="1" applyFill="1" applyBorder="1" applyAlignment="1">
      <alignment horizontal="distributed" vertical="distributed" textRotation="255" justifyLastLine="1"/>
    </xf>
    <xf numFmtId="0" fontId="5" fillId="0" borderId="41" xfId="1" applyFont="1" applyFill="1" applyBorder="1" applyAlignment="1">
      <alignment horizontal="distributed" vertical="distributed" textRotation="255" justifyLastLine="1"/>
    </xf>
    <xf numFmtId="0" fontId="5" fillId="0" borderId="73" xfId="1" applyFont="1" applyFill="1" applyBorder="1" applyAlignment="1">
      <alignment horizontal="distributed" vertical="center"/>
    </xf>
    <xf numFmtId="0" fontId="5" fillId="0" borderId="94" xfId="1" applyFont="1" applyFill="1" applyBorder="1" applyAlignment="1">
      <alignment horizontal="distributed" vertical="center"/>
    </xf>
    <xf numFmtId="0" fontId="5" fillId="0" borderId="21" xfId="1" applyFont="1" applyFill="1" applyBorder="1" applyAlignment="1">
      <alignment horizontal="distributed" vertical="center"/>
    </xf>
    <xf numFmtId="0" fontId="5" fillId="0" borderId="41" xfId="1" applyFont="1" applyFill="1" applyBorder="1" applyAlignment="1">
      <alignment horizontal="distributed" vertical="center"/>
    </xf>
    <xf numFmtId="0" fontId="5" fillId="0" borderId="8" xfId="1" applyFont="1" applyFill="1" applyBorder="1" applyAlignment="1">
      <alignment horizontal="distributed" vertical="center"/>
    </xf>
    <xf numFmtId="0" fontId="5" fillId="0" borderId="99" xfId="1" applyFont="1" applyFill="1" applyBorder="1" applyAlignment="1">
      <alignment horizontal="center" vertical="center"/>
    </xf>
    <xf numFmtId="183" fontId="5" fillId="0" borderId="17" xfId="2" applyNumberFormat="1" applyFont="1" applyFill="1" applyBorder="1" applyAlignment="1">
      <alignment horizontal="distributed" vertical="center" justifyLastLine="1"/>
    </xf>
    <xf numFmtId="0" fontId="5" fillId="0" borderId="43" xfId="1" applyFont="1" applyFill="1" applyBorder="1" applyAlignment="1">
      <alignment horizontal="center" vertical="distributed" textRotation="255" justifyLastLine="1"/>
    </xf>
    <xf numFmtId="0" fontId="5" fillId="0" borderId="43" xfId="1" applyFont="1" applyFill="1" applyBorder="1" applyAlignment="1">
      <alignment horizontal="distributed" vertical="center"/>
    </xf>
    <xf numFmtId="0" fontId="5" fillId="0" borderId="12" xfId="1" applyFont="1" applyFill="1" applyBorder="1" applyAlignment="1">
      <alignment horizontal="distributed" vertical="center"/>
    </xf>
    <xf numFmtId="0" fontId="5" fillId="0" borderId="75" xfId="1" applyFont="1" applyFill="1" applyBorder="1" applyAlignment="1">
      <alignment horizontal="distributed" vertical="center"/>
    </xf>
    <xf numFmtId="0" fontId="5" fillId="0" borderId="68" xfId="1" applyFont="1" applyFill="1" applyBorder="1" applyAlignment="1">
      <alignment horizontal="distributed" vertical="center"/>
    </xf>
    <xf numFmtId="0" fontId="5" fillId="0" borderId="1" xfId="1" applyFont="1" applyFill="1" applyBorder="1" applyAlignment="1">
      <alignment horizontal="center" vertical="distributed" textRotation="255" justifyLastLine="1"/>
    </xf>
    <xf numFmtId="0" fontId="5" fillId="0" borderId="3" xfId="1" applyFont="1" applyFill="1" applyBorder="1" applyAlignment="1">
      <alignment horizontal="center" vertical="distributed" textRotation="255" justifyLastLine="1"/>
    </xf>
    <xf numFmtId="0" fontId="5" fillId="0" borderId="75" xfId="1" applyFont="1" applyFill="1" applyBorder="1" applyAlignment="1">
      <alignment vertical="distributed" textRotation="255" justifyLastLine="1"/>
    </xf>
    <xf numFmtId="0" fontId="5" fillId="0" borderId="69" xfId="1" applyFont="1" applyFill="1" applyBorder="1" applyAlignment="1">
      <alignment vertical="distributed" textRotation="255" justifyLastLine="1"/>
    </xf>
    <xf numFmtId="0" fontId="5" fillId="0" borderId="40" xfId="1" applyFont="1" applyFill="1" applyBorder="1" applyAlignment="1">
      <alignment vertical="distributed" textRotation="255" justifyLastLine="1"/>
    </xf>
    <xf numFmtId="0" fontId="5" fillId="0" borderId="46" xfId="1" applyFont="1" applyFill="1" applyBorder="1" applyAlignment="1">
      <alignment vertical="distributed" textRotation="255" justifyLastLine="1"/>
    </xf>
    <xf numFmtId="180" fontId="5" fillId="0" borderId="0" xfId="2" applyNumberFormat="1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horizontal="distributed" vertical="center"/>
    </xf>
    <xf numFmtId="0" fontId="5" fillId="0" borderId="20" xfId="1" applyFont="1" applyFill="1" applyBorder="1" applyAlignment="1">
      <alignment vertical="distributed" textRotation="255" justifyLastLine="1"/>
    </xf>
    <xf numFmtId="0" fontId="5" fillId="0" borderId="1" xfId="1" applyFont="1" applyFill="1" applyBorder="1" applyAlignment="1">
      <alignment vertical="distributed" textRotation="255" justifyLastLine="1"/>
    </xf>
    <xf numFmtId="0" fontId="5" fillId="0" borderId="3" xfId="1" applyFont="1" applyFill="1" applyBorder="1" applyAlignment="1">
      <alignment vertical="distributed" textRotation="255" justifyLastLine="1"/>
    </xf>
    <xf numFmtId="0" fontId="5" fillId="0" borderId="39" xfId="1" applyFont="1" applyFill="1" applyBorder="1" applyAlignment="1">
      <alignment vertical="distributed" textRotation="255" justifyLastLine="1"/>
    </xf>
    <xf numFmtId="0" fontId="5" fillId="0" borderId="31" xfId="1" applyFont="1" applyFill="1" applyBorder="1" applyAlignment="1">
      <alignment horizontal="center" vertical="distributed" textRotation="255" justifyLastLine="1"/>
    </xf>
    <xf numFmtId="0" fontId="5" fillId="0" borderId="7" xfId="1" applyFont="1" applyFill="1" applyBorder="1" applyAlignment="1">
      <alignment horizontal="center" vertical="distributed" textRotation="255" justifyLastLine="1"/>
    </xf>
    <xf numFmtId="0" fontId="5" fillId="0" borderId="11" xfId="1" applyFont="1" applyFill="1" applyBorder="1" applyAlignment="1">
      <alignment horizontal="center" vertical="distributed" textRotation="255" justifyLastLine="1"/>
    </xf>
    <xf numFmtId="0" fontId="5" fillId="0" borderId="73" xfId="0" applyFont="1" applyFill="1" applyBorder="1" applyAlignment="1">
      <alignment horizontal="center" vertical="distributed" textRotation="255" justifyLastLine="1" shrinkToFit="1"/>
    </xf>
    <xf numFmtId="0" fontId="5" fillId="0" borderId="41" xfId="0" applyFont="1" applyFill="1" applyBorder="1" applyAlignment="1">
      <alignment horizontal="center" vertical="distributed" textRotation="255" justifyLastLine="1" shrinkToFit="1"/>
    </xf>
    <xf numFmtId="0" fontId="5" fillId="0" borderId="73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0" fontId="5" fillId="0" borderId="75" xfId="0" applyFont="1" applyFill="1" applyBorder="1" applyAlignment="1">
      <alignment horizontal="center" vertical="distributed" textRotation="255" justifyLastLine="1"/>
    </xf>
    <xf numFmtId="0" fontId="5" fillId="0" borderId="69" xfId="0" applyFont="1" applyFill="1" applyBorder="1" applyAlignment="1">
      <alignment horizontal="center" vertical="distributed" textRotation="255" justifyLastLine="1"/>
    </xf>
    <xf numFmtId="0" fontId="5" fillId="0" borderId="46" xfId="0" applyFont="1" applyFill="1" applyBorder="1" applyAlignment="1">
      <alignment horizontal="center" vertical="distributed" textRotation="255" justifyLastLine="1"/>
    </xf>
    <xf numFmtId="0" fontId="5" fillId="0" borderId="41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75" xfId="0" applyFont="1" applyFill="1" applyBorder="1" applyAlignment="1">
      <alignment horizontal="center" vertical="center" textRotation="255" shrinkToFit="1"/>
    </xf>
    <xf numFmtId="0" fontId="5" fillId="0" borderId="69" xfId="0" applyFont="1" applyFill="1" applyBorder="1" applyAlignment="1">
      <alignment horizontal="center" vertical="center" textRotation="255" shrinkToFit="1"/>
    </xf>
    <xf numFmtId="0" fontId="5" fillId="0" borderId="40" xfId="0" applyFont="1" applyFill="1" applyBorder="1" applyAlignment="1">
      <alignment horizontal="center" vertical="center" textRotation="255" shrinkToFit="1"/>
    </xf>
    <xf numFmtId="0" fontId="5" fillId="0" borderId="41" xfId="0" applyFont="1" applyFill="1" applyBorder="1" applyAlignment="1">
      <alignment horizontal="distributed" vertical="center" shrinkToFit="1"/>
    </xf>
    <xf numFmtId="0" fontId="5" fillId="0" borderId="23" xfId="1" applyFont="1" applyFill="1" applyBorder="1" applyAlignment="1">
      <alignment horizontal="distributed" vertical="distributed"/>
    </xf>
    <xf numFmtId="0" fontId="5" fillId="0" borderId="44" xfId="1" applyFont="1" applyFill="1" applyBorder="1" applyAlignment="1">
      <alignment horizontal="distributed" vertical="distributed"/>
    </xf>
    <xf numFmtId="0" fontId="5" fillId="0" borderId="13" xfId="1" applyFont="1" applyFill="1" applyBorder="1" applyAlignment="1">
      <alignment horizontal="distributed" vertical="distributed"/>
    </xf>
  </cellXfs>
  <cellStyles count="7">
    <cellStyle name="Normal 4" xfId="6"/>
    <cellStyle name="標準" xfId="0" builtinId="0"/>
    <cellStyle name="標準 2" xfId="4"/>
    <cellStyle name="標準 2 2" xfId="5"/>
    <cellStyle name="標準_GQII0027" xfId="1"/>
    <cellStyle name="標準_GQII0033" xfId="2"/>
    <cellStyle name="標準_GQII003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5"/>
  <sheetViews>
    <sheetView showGridLines="0" tabSelected="1" view="pageBreakPreview" zoomScaleNormal="100" zoomScaleSheetLayoutView="100" workbookViewId="0">
      <selection sqref="A1:B1"/>
    </sheetView>
  </sheetViews>
  <sheetFormatPr defaultRowHeight="12.75" customHeight="1"/>
  <cols>
    <col min="1" max="1" width="3.5" style="2" customWidth="1"/>
    <col min="2" max="4" width="2.625" style="2" customWidth="1"/>
    <col min="5" max="5" width="8.875" style="2" customWidth="1"/>
    <col min="6" max="6" width="9" style="2"/>
    <col min="7" max="7" width="3.625" style="2" customWidth="1"/>
    <col min="8" max="8" width="9.5" style="2" customWidth="1"/>
    <col min="9" max="9" width="8.75" style="2" customWidth="1"/>
    <col min="10" max="10" width="8.375" style="2" customWidth="1"/>
    <col min="11" max="11" width="9.625" style="2" customWidth="1"/>
    <col min="12" max="12" width="7.625" style="2" customWidth="1"/>
    <col min="13" max="13" width="8.625" style="2" customWidth="1"/>
    <col min="14" max="14" width="30.625" style="2" customWidth="1"/>
    <col min="15" max="15" width="11.625" style="2" customWidth="1"/>
    <col min="16" max="17" width="9.5" style="2" customWidth="1"/>
    <col min="18" max="18" width="18.625" style="2" hidden="1" customWidth="1"/>
    <col min="19" max="16384" width="9" style="2"/>
  </cols>
  <sheetData>
    <row r="1" spans="1:18" ht="15" customHeight="1">
      <c r="A1" s="341">
        <v>2019</v>
      </c>
      <c r="B1" s="341"/>
      <c r="C1" s="1" t="s">
        <v>223</v>
      </c>
      <c r="D1" s="1"/>
      <c r="E1" s="1"/>
      <c r="F1" s="1"/>
      <c r="G1" s="1"/>
      <c r="H1" s="1"/>
      <c r="I1" s="1"/>
      <c r="J1" s="1"/>
      <c r="K1" s="3"/>
      <c r="O1" s="322" t="s">
        <v>111</v>
      </c>
      <c r="P1" s="323"/>
      <c r="Q1" s="324"/>
    </row>
    <row r="2" spans="1:18" ht="15" customHeight="1">
      <c r="A2" s="1" t="s">
        <v>185</v>
      </c>
      <c r="B2" s="1"/>
      <c r="C2" s="1"/>
      <c r="D2" s="1"/>
      <c r="E2" s="1"/>
      <c r="F2" s="1"/>
      <c r="G2" s="1"/>
      <c r="H2" s="1"/>
      <c r="I2" s="1"/>
      <c r="J2" s="1"/>
      <c r="K2" s="4"/>
      <c r="O2" s="348"/>
      <c r="P2" s="349"/>
      <c r="Q2" s="350"/>
    </row>
    <row r="3" spans="1:18" ht="14.2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8" ht="14.25" customHeight="1" thickBot="1">
      <c r="A4" s="69" t="s">
        <v>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9"/>
      <c r="N4" s="59"/>
      <c r="O4" s="59"/>
      <c r="P4" s="59"/>
      <c r="Q4" s="59"/>
    </row>
    <row r="5" spans="1:18" ht="15" customHeight="1">
      <c r="A5" s="351" t="s">
        <v>112</v>
      </c>
      <c r="B5" s="352"/>
      <c r="C5" s="352"/>
      <c r="D5" s="352"/>
      <c r="E5" s="352"/>
      <c r="F5" s="352"/>
      <c r="G5" s="355" t="s">
        <v>113</v>
      </c>
      <c r="H5" s="344">
        <f>A1-2000</f>
        <v>19</v>
      </c>
      <c r="I5" s="110" t="s">
        <v>221</v>
      </c>
      <c r="J5" s="342">
        <f>H5-1</f>
        <v>18</v>
      </c>
      <c r="K5" s="111" t="s">
        <v>221</v>
      </c>
      <c r="L5" s="112" t="s">
        <v>114</v>
      </c>
      <c r="M5" s="346" t="s">
        <v>175</v>
      </c>
      <c r="N5" s="357" t="s">
        <v>115</v>
      </c>
      <c r="O5" s="358"/>
      <c r="P5" s="358"/>
      <c r="Q5" s="359"/>
      <c r="R5" s="60"/>
    </row>
    <row r="6" spans="1:18" ht="15" customHeight="1" thickBot="1">
      <c r="A6" s="353"/>
      <c r="B6" s="354"/>
      <c r="C6" s="354"/>
      <c r="D6" s="354"/>
      <c r="E6" s="354"/>
      <c r="F6" s="354"/>
      <c r="G6" s="356"/>
      <c r="H6" s="345"/>
      <c r="I6" s="61" t="s">
        <v>168</v>
      </c>
      <c r="J6" s="343"/>
      <c r="K6" s="61" t="s">
        <v>168</v>
      </c>
      <c r="L6" s="62" t="s">
        <v>168</v>
      </c>
      <c r="M6" s="347"/>
      <c r="N6" s="360"/>
      <c r="O6" s="361"/>
      <c r="P6" s="361"/>
      <c r="Q6" s="362"/>
      <c r="R6" s="75"/>
    </row>
    <row r="7" spans="1:18" ht="14.25" customHeight="1">
      <c r="A7" s="287" t="s">
        <v>116</v>
      </c>
      <c r="B7" s="299" t="s">
        <v>117</v>
      </c>
      <c r="C7" s="300"/>
      <c r="D7" s="300"/>
      <c r="E7" s="300"/>
      <c r="F7" s="301"/>
      <c r="G7" s="85" t="s">
        <v>118</v>
      </c>
      <c r="H7" s="255"/>
      <c r="I7" s="256" t="str">
        <f>IFERROR(H7/$H$29*100,"-")</f>
        <v>-</v>
      </c>
      <c r="J7" s="257"/>
      <c r="K7" s="256" t="str">
        <f>IFERROR(J7/$J$29*100,"-")</f>
        <v>-</v>
      </c>
      <c r="L7" s="258" t="str">
        <f>IFERROR(100*(H7-J7)/J7,"-")</f>
        <v>-</v>
      </c>
      <c r="M7" s="259">
        <f>H7-J7</f>
        <v>0</v>
      </c>
      <c r="N7" s="302"/>
      <c r="O7" s="303"/>
      <c r="P7" s="303"/>
      <c r="Q7" s="304"/>
      <c r="R7" s="76"/>
    </row>
    <row r="8" spans="1:18" ht="14.25" customHeight="1">
      <c r="A8" s="287"/>
      <c r="B8" s="300"/>
      <c r="C8" s="294" t="s">
        <v>119</v>
      </c>
      <c r="D8" s="294"/>
      <c r="E8" s="294"/>
      <c r="F8" s="295"/>
      <c r="G8" s="86" t="s">
        <v>120</v>
      </c>
      <c r="H8" s="260"/>
      <c r="I8" s="261" t="str">
        <f t="shared" ref="I8:I29" si="0">IFERROR(H8/$H$29*100,"-")</f>
        <v>-</v>
      </c>
      <c r="J8" s="262"/>
      <c r="K8" s="261" t="str">
        <f t="shared" ref="K8:K29" si="1">IFERROR(J8/$J$29*100,"-")</f>
        <v>-</v>
      </c>
      <c r="L8" s="263" t="str">
        <f t="shared" ref="L8:L45" si="2">IFERROR(100*(H8-J8)/J8,"-")</f>
        <v>-</v>
      </c>
      <c r="M8" s="264">
        <f t="shared" ref="M8:M45" si="3">H8-J8</f>
        <v>0</v>
      </c>
      <c r="N8" s="291"/>
      <c r="O8" s="292"/>
      <c r="P8" s="292"/>
      <c r="Q8" s="293"/>
      <c r="R8" s="77"/>
    </row>
    <row r="9" spans="1:18" ht="14.25" customHeight="1">
      <c r="A9" s="287"/>
      <c r="B9" s="294"/>
      <c r="C9" s="294" t="s">
        <v>121</v>
      </c>
      <c r="D9" s="294"/>
      <c r="E9" s="294"/>
      <c r="F9" s="295"/>
      <c r="G9" s="86" t="s">
        <v>120</v>
      </c>
      <c r="H9" s="260"/>
      <c r="I9" s="261" t="str">
        <f t="shared" si="0"/>
        <v>-</v>
      </c>
      <c r="J9" s="262"/>
      <c r="K9" s="261" t="str">
        <f t="shared" si="1"/>
        <v>-</v>
      </c>
      <c r="L9" s="263" t="str">
        <f t="shared" si="2"/>
        <v>-</v>
      </c>
      <c r="M9" s="264">
        <f t="shared" si="3"/>
        <v>0</v>
      </c>
      <c r="N9" s="291"/>
      <c r="O9" s="292"/>
      <c r="P9" s="292"/>
      <c r="Q9" s="293"/>
      <c r="R9" s="77"/>
    </row>
    <row r="10" spans="1:18" ht="14.25" customHeight="1">
      <c r="A10" s="287"/>
      <c r="B10" s="294"/>
      <c r="C10" s="294" t="s">
        <v>122</v>
      </c>
      <c r="D10" s="294"/>
      <c r="E10" s="294"/>
      <c r="F10" s="295"/>
      <c r="G10" s="86" t="s">
        <v>120</v>
      </c>
      <c r="H10" s="260"/>
      <c r="I10" s="261" t="str">
        <f t="shared" si="0"/>
        <v>-</v>
      </c>
      <c r="J10" s="262"/>
      <c r="K10" s="261" t="str">
        <f t="shared" si="1"/>
        <v>-</v>
      </c>
      <c r="L10" s="263" t="str">
        <f t="shared" si="2"/>
        <v>-</v>
      </c>
      <c r="M10" s="264">
        <f t="shared" si="3"/>
        <v>0</v>
      </c>
      <c r="N10" s="291"/>
      <c r="O10" s="292"/>
      <c r="P10" s="292"/>
      <c r="Q10" s="293"/>
      <c r="R10" s="77"/>
    </row>
    <row r="11" spans="1:18" ht="14.25" customHeight="1">
      <c r="A11" s="287"/>
      <c r="B11" s="294"/>
      <c r="C11" s="294" t="s">
        <v>123</v>
      </c>
      <c r="D11" s="294"/>
      <c r="E11" s="294"/>
      <c r="F11" s="295"/>
      <c r="G11" s="86" t="s">
        <v>120</v>
      </c>
      <c r="H11" s="260"/>
      <c r="I11" s="261" t="str">
        <f t="shared" si="0"/>
        <v>-</v>
      </c>
      <c r="J11" s="262"/>
      <c r="K11" s="261" t="str">
        <f t="shared" si="1"/>
        <v>-</v>
      </c>
      <c r="L11" s="263" t="str">
        <f t="shared" si="2"/>
        <v>-</v>
      </c>
      <c r="M11" s="264">
        <f t="shared" si="3"/>
        <v>0</v>
      </c>
      <c r="N11" s="291"/>
      <c r="O11" s="292"/>
      <c r="P11" s="292"/>
      <c r="Q11" s="293"/>
      <c r="R11" s="77"/>
    </row>
    <row r="12" spans="1:18" ht="14.25" customHeight="1">
      <c r="A12" s="287"/>
      <c r="B12" s="294"/>
      <c r="C12" s="294" t="s">
        <v>124</v>
      </c>
      <c r="D12" s="294"/>
      <c r="E12" s="294"/>
      <c r="F12" s="295"/>
      <c r="G12" s="86" t="s">
        <v>120</v>
      </c>
      <c r="H12" s="260"/>
      <c r="I12" s="261" t="str">
        <f t="shared" si="0"/>
        <v>-</v>
      </c>
      <c r="J12" s="262"/>
      <c r="K12" s="261" t="str">
        <f t="shared" si="1"/>
        <v>-</v>
      </c>
      <c r="L12" s="263" t="str">
        <f t="shared" si="2"/>
        <v>-</v>
      </c>
      <c r="M12" s="264">
        <f t="shared" si="3"/>
        <v>0</v>
      </c>
      <c r="N12" s="291"/>
      <c r="O12" s="292"/>
      <c r="P12" s="292"/>
      <c r="Q12" s="293"/>
      <c r="R12" s="77"/>
    </row>
    <row r="13" spans="1:18" ht="14.25" customHeight="1">
      <c r="A13" s="287"/>
      <c r="B13" s="294"/>
      <c r="C13" s="294" t="s">
        <v>125</v>
      </c>
      <c r="D13" s="294"/>
      <c r="E13" s="294"/>
      <c r="F13" s="295"/>
      <c r="G13" s="86" t="s">
        <v>120</v>
      </c>
      <c r="H13" s="260"/>
      <c r="I13" s="261" t="str">
        <f t="shared" si="0"/>
        <v>-</v>
      </c>
      <c r="J13" s="262"/>
      <c r="K13" s="261" t="str">
        <f t="shared" si="1"/>
        <v>-</v>
      </c>
      <c r="L13" s="263" t="str">
        <f t="shared" si="2"/>
        <v>-</v>
      </c>
      <c r="M13" s="264">
        <f t="shared" si="3"/>
        <v>0</v>
      </c>
      <c r="N13" s="291"/>
      <c r="O13" s="292"/>
      <c r="P13" s="292"/>
      <c r="Q13" s="293"/>
      <c r="R13" s="77"/>
    </row>
    <row r="14" spans="1:18" ht="14.25" customHeight="1">
      <c r="A14" s="287"/>
      <c r="B14" s="294"/>
      <c r="C14" s="294" t="s">
        <v>126</v>
      </c>
      <c r="D14" s="294"/>
      <c r="E14" s="294"/>
      <c r="F14" s="295"/>
      <c r="G14" s="86" t="s">
        <v>120</v>
      </c>
      <c r="H14" s="260"/>
      <c r="I14" s="261" t="str">
        <f t="shared" si="0"/>
        <v>-</v>
      </c>
      <c r="J14" s="262"/>
      <c r="K14" s="261" t="str">
        <f t="shared" si="1"/>
        <v>-</v>
      </c>
      <c r="L14" s="263" t="str">
        <f t="shared" si="2"/>
        <v>-</v>
      </c>
      <c r="M14" s="264">
        <f t="shared" si="3"/>
        <v>0</v>
      </c>
      <c r="N14" s="291"/>
      <c r="O14" s="292"/>
      <c r="P14" s="292"/>
      <c r="Q14" s="293"/>
      <c r="R14" s="77"/>
    </row>
    <row r="15" spans="1:18" ht="14.25" customHeight="1">
      <c r="A15" s="287"/>
      <c r="B15" s="294"/>
      <c r="C15" s="289" t="s">
        <v>127</v>
      </c>
      <c r="D15" s="289"/>
      <c r="E15" s="289"/>
      <c r="F15" s="290"/>
      <c r="G15" s="86" t="s">
        <v>120</v>
      </c>
      <c r="H15" s="260"/>
      <c r="I15" s="261" t="str">
        <f t="shared" si="0"/>
        <v>-</v>
      </c>
      <c r="J15" s="262"/>
      <c r="K15" s="261" t="str">
        <f t="shared" si="1"/>
        <v>-</v>
      </c>
      <c r="L15" s="263" t="str">
        <f t="shared" si="2"/>
        <v>-</v>
      </c>
      <c r="M15" s="264">
        <f t="shared" si="3"/>
        <v>0</v>
      </c>
      <c r="N15" s="291"/>
      <c r="O15" s="292"/>
      <c r="P15" s="292"/>
      <c r="Q15" s="293"/>
      <c r="R15" s="77"/>
    </row>
    <row r="16" spans="1:18" ht="14.25" customHeight="1">
      <c r="A16" s="287"/>
      <c r="B16" s="294"/>
      <c r="C16" s="297" t="s">
        <v>128</v>
      </c>
      <c r="D16" s="297"/>
      <c r="E16" s="297"/>
      <c r="F16" s="298"/>
      <c r="G16" s="86" t="s">
        <v>120</v>
      </c>
      <c r="H16" s="260"/>
      <c r="I16" s="261" t="str">
        <f t="shared" si="0"/>
        <v>-</v>
      </c>
      <c r="J16" s="262"/>
      <c r="K16" s="261" t="str">
        <f t="shared" si="1"/>
        <v>-</v>
      </c>
      <c r="L16" s="263" t="str">
        <f t="shared" si="2"/>
        <v>-</v>
      </c>
      <c r="M16" s="264">
        <f t="shared" si="3"/>
        <v>0</v>
      </c>
      <c r="N16" s="291"/>
      <c r="O16" s="292"/>
      <c r="P16" s="292"/>
      <c r="Q16" s="293"/>
      <c r="R16" s="77"/>
    </row>
    <row r="17" spans="1:18" ht="14.25" customHeight="1">
      <c r="A17" s="287"/>
      <c r="B17" s="294"/>
      <c r="C17" s="73"/>
      <c r="D17" s="295" t="s">
        <v>129</v>
      </c>
      <c r="E17" s="296"/>
      <c r="F17" s="296"/>
      <c r="G17" s="86" t="s">
        <v>120</v>
      </c>
      <c r="H17" s="260"/>
      <c r="I17" s="261" t="str">
        <f t="shared" si="0"/>
        <v>-</v>
      </c>
      <c r="J17" s="262"/>
      <c r="K17" s="261" t="str">
        <f t="shared" si="1"/>
        <v>-</v>
      </c>
      <c r="L17" s="263" t="str">
        <f t="shared" si="2"/>
        <v>-</v>
      </c>
      <c r="M17" s="264">
        <f t="shared" si="3"/>
        <v>0</v>
      </c>
      <c r="N17" s="291"/>
      <c r="O17" s="292"/>
      <c r="P17" s="292"/>
      <c r="Q17" s="293"/>
      <c r="R17" s="77"/>
    </row>
    <row r="18" spans="1:18" ht="14.25" customHeight="1">
      <c r="A18" s="287"/>
      <c r="B18" s="294"/>
      <c r="C18" s="297" t="s">
        <v>130</v>
      </c>
      <c r="D18" s="297"/>
      <c r="E18" s="297"/>
      <c r="F18" s="298"/>
      <c r="G18" s="86" t="s">
        <v>120</v>
      </c>
      <c r="H18" s="260"/>
      <c r="I18" s="261" t="str">
        <f t="shared" si="0"/>
        <v>-</v>
      </c>
      <c r="J18" s="262"/>
      <c r="K18" s="261" t="str">
        <f t="shared" si="1"/>
        <v>-</v>
      </c>
      <c r="L18" s="263" t="str">
        <f t="shared" si="2"/>
        <v>-</v>
      </c>
      <c r="M18" s="264">
        <f t="shared" si="3"/>
        <v>0</v>
      </c>
      <c r="N18" s="291"/>
      <c r="O18" s="292"/>
      <c r="P18" s="292"/>
      <c r="Q18" s="293"/>
      <c r="R18" s="77"/>
    </row>
    <row r="19" spans="1:18" ht="14.25" customHeight="1">
      <c r="A19" s="287"/>
      <c r="B19" s="294"/>
      <c r="C19" s="73"/>
      <c r="D19" s="295" t="s">
        <v>129</v>
      </c>
      <c r="E19" s="296"/>
      <c r="F19" s="296"/>
      <c r="G19" s="86" t="s">
        <v>120</v>
      </c>
      <c r="H19" s="260"/>
      <c r="I19" s="261" t="str">
        <f t="shared" si="0"/>
        <v>-</v>
      </c>
      <c r="J19" s="262"/>
      <c r="K19" s="261" t="str">
        <f t="shared" si="1"/>
        <v>-</v>
      </c>
      <c r="L19" s="263" t="str">
        <f t="shared" si="2"/>
        <v>-</v>
      </c>
      <c r="M19" s="264">
        <f t="shared" si="3"/>
        <v>0</v>
      </c>
      <c r="N19" s="291"/>
      <c r="O19" s="292"/>
      <c r="P19" s="292"/>
      <c r="Q19" s="293"/>
      <c r="R19" s="77"/>
    </row>
    <row r="20" spans="1:18" ht="14.25" customHeight="1">
      <c r="A20" s="287"/>
      <c r="B20" s="294"/>
      <c r="C20" s="297" t="s">
        <v>131</v>
      </c>
      <c r="D20" s="297"/>
      <c r="E20" s="297"/>
      <c r="F20" s="298"/>
      <c r="G20" s="86" t="s">
        <v>120</v>
      </c>
      <c r="H20" s="260"/>
      <c r="I20" s="261" t="str">
        <f t="shared" si="0"/>
        <v>-</v>
      </c>
      <c r="J20" s="262"/>
      <c r="K20" s="261" t="str">
        <f t="shared" si="1"/>
        <v>-</v>
      </c>
      <c r="L20" s="263" t="str">
        <f t="shared" si="2"/>
        <v>-</v>
      </c>
      <c r="M20" s="264">
        <f t="shared" si="3"/>
        <v>0</v>
      </c>
      <c r="N20" s="291"/>
      <c r="O20" s="292"/>
      <c r="P20" s="292"/>
      <c r="Q20" s="293"/>
      <c r="R20" s="77"/>
    </row>
    <row r="21" spans="1:18" ht="14.25" customHeight="1">
      <c r="A21" s="287"/>
      <c r="B21" s="294"/>
      <c r="C21" s="73"/>
      <c r="D21" s="295" t="s">
        <v>129</v>
      </c>
      <c r="E21" s="296"/>
      <c r="F21" s="296"/>
      <c r="G21" s="86" t="s">
        <v>120</v>
      </c>
      <c r="H21" s="260"/>
      <c r="I21" s="261" t="str">
        <f t="shared" si="0"/>
        <v>-</v>
      </c>
      <c r="J21" s="262"/>
      <c r="K21" s="261" t="str">
        <f t="shared" si="1"/>
        <v>-</v>
      </c>
      <c r="L21" s="263" t="str">
        <f t="shared" si="2"/>
        <v>-</v>
      </c>
      <c r="M21" s="264">
        <f t="shared" si="3"/>
        <v>0</v>
      </c>
      <c r="N21" s="291"/>
      <c r="O21" s="292"/>
      <c r="P21" s="292"/>
      <c r="Q21" s="293"/>
      <c r="R21" s="77"/>
    </row>
    <row r="22" spans="1:18" ht="14.25" customHeight="1">
      <c r="A22" s="287"/>
      <c r="B22" s="294"/>
      <c r="C22" s="297" t="s">
        <v>132</v>
      </c>
      <c r="D22" s="297"/>
      <c r="E22" s="297"/>
      <c r="F22" s="298"/>
      <c r="G22" s="87" t="s">
        <v>120</v>
      </c>
      <c r="H22" s="260"/>
      <c r="I22" s="261" t="str">
        <f t="shared" si="0"/>
        <v>-</v>
      </c>
      <c r="J22" s="262"/>
      <c r="K22" s="261" t="str">
        <f t="shared" si="1"/>
        <v>-</v>
      </c>
      <c r="L22" s="263" t="str">
        <f t="shared" si="2"/>
        <v>-</v>
      </c>
      <c r="M22" s="264">
        <f t="shared" si="3"/>
        <v>0</v>
      </c>
      <c r="N22" s="291"/>
      <c r="O22" s="292"/>
      <c r="P22" s="292"/>
      <c r="Q22" s="293"/>
      <c r="R22" s="77"/>
    </row>
    <row r="23" spans="1:18" ht="14.25" customHeight="1">
      <c r="A23" s="287"/>
      <c r="B23" s="294"/>
      <c r="C23" s="73"/>
      <c r="D23" s="295" t="s">
        <v>129</v>
      </c>
      <c r="E23" s="296"/>
      <c r="F23" s="296"/>
      <c r="G23" s="86" t="s">
        <v>120</v>
      </c>
      <c r="H23" s="260"/>
      <c r="I23" s="261" t="str">
        <f t="shared" si="0"/>
        <v>-</v>
      </c>
      <c r="J23" s="262"/>
      <c r="K23" s="261" t="str">
        <f t="shared" si="1"/>
        <v>-</v>
      </c>
      <c r="L23" s="263" t="str">
        <f t="shared" si="2"/>
        <v>-</v>
      </c>
      <c r="M23" s="264">
        <f t="shared" si="3"/>
        <v>0</v>
      </c>
      <c r="N23" s="291"/>
      <c r="O23" s="292"/>
      <c r="P23" s="292"/>
      <c r="Q23" s="293"/>
      <c r="R23" s="78"/>
    </row>
    <row r="24" spans="1:18" ht="14.25" customHeight="1">
      <c r="A24" s="287"/>
      <c r="B24" s="297" t="s">
        <v>133</v>
      </c>
      <c r="C24" s="297"/>
      <c r="D24" s="297"/>
      <c r="E24" s="297"/>
      <c r="F24" s="298"/>
      <c r="G24" s="86" t="s">
        <v>120</v>
      </c>
      <c r="H24" s="260"/>
      <c r="I24" s="261" t="str">
        <f t="shared" si="0"/>
        <v>-</v>
      </c>
      <c r="J24" s="262"/>
      <c r="K24" s="261" t="str">
        <f t="shared" si="1"/>
        <v>-</v>
      </c>
      <c r="L24" s="263" t="str">
        <f t="shared" si="2"/>
        <v>-</v>
      </c>
      <c r="M24" s="264">
        <f t="shared" si="3"/>
        <v>0</v>
      </c>
      <c r="N24" s="291"/>
      <c r="O24" s="292"/>
      <c r="P24" s="292"/>
      <c r="Q24" s="293"/>
      <c r="R24" s="76"/>
    </row>
    <row r="25" spans="1:18" ht="14.25" customHeight="1">
      <c r="A25" s="287"/>
      <c r="B25" s="301"/>
      <c r="C25" s="63"/>
      <c r="D25" s="295" t="s">
        <v>191</v>
      </c>
      <c r="E25" s="296"/>
      <c r="F25" s="296"/>
      <c r="G25" s="86" t="s">
        <v>120</v>
      </c>
      <c r="H25" s="260"/>
      <c r="I25" s="261" t="str">
        <f t="shared" si="0"/>
        <v>-</v>
      </c>
      <c r="J25" s="262"/>
      <c r="K25" s="261" t="str">
        <f t="shared" si="1"/>
        <v>-</v>
      </c>
      <c r="L25" s="263" t="str">
        <f t="shared" si="2"/>
        <v>-</v>
      </c>
      <c r="M25" s="264">
        <f t="shared" si="3"/>
        <v>0</v>
      </c>
      <c r="N25" s="291"/>
      <c r="O25" s="292"/>
      <c r="P25" s="292"/>
      <c r="Q25" s="293"/>
      <c r="R25" s="77"/>
    </row>
    <row r="26" spans="1:18" ht="14.25" customHeight="1">
      <c r="A26" s="287"/>
      <c r="B26" s="294"/>
      <c r="C26" s="297" t="s">
        <v>134</v>
      </c>
      <c r="D26" s="297"/>
      <c r="E26" s="297"/>
      <c r="F26" s="298"/>
      <c r="G26" s="86" t="s">
        <v>120</v>
      </c>
      <c r="H26" s="260"/>
      <c r="I26" s="261" t="str">
        <f t="shared" si="0"/>
        <v>-</v>
      </c>
      <c r="J26" s="262"/>
      <c r="K26" s="261" t="str">
        <f t="shared" si="1"/>
        <v>-</v>
      </c>
      <c r="L26" s="263" t="str">
        <f t="shared" si="2"/>
        <v>-</v>
      </c>
      <c r="M26" s="264">
        <f t="shared" si="3"/>
        <v>0</v>
      </c>
      <c r="N26" s="291"/>
      <c r="O26" s="292"/>
      <c r="P26" s="292"/>
      <c r="Q26" s="293"/>
      <c r="R26" s="77"/>
    </row>
    <row r="27" spans="1:18" ht="14.25" customHeight="1">
      <c r="A27" s="287"/>
      <c r="B27" s="294"/>
      <c r="C27" s="73"/>
      <c r="D27" s="295" t="s">
        <v>191</v>
      </c>
      <c r="E27" s="296"/>
      <c r="F27" s="296"/>
      <c r="G27" s="86" t="s">
        <v>120</v>
      </c>
      <c r="H27" s="260"/>
      <c r="I27" s="261" t="str">
        <f t="shared" si="0"/>
        <v>-</v>
      </c>
      <c r="J27" s="262"/>
      <c r="K27" s="261" t="str">
        <f t="shared" si="1"/>
        <v>-</v>
      </c>
      <c r="L27" s="263" t="str">
        <f t="shared" si="2"/>
        <v>-</v>
      </c>
      <c r="M27" s="264">
        <f t="shared" si="3"/>
        <v>0</v>
      </c>
      <c r="N27" s="291"/>
      <c r="O27" s="292"/>
      <c r="P27" s="292"/>
      <c r="Q27" s="293"/>
      <c r="R27" s="77"/>
    </row>
    <row r="28" spans="1:18" ht="14.25" customHeight="1">
      <c r="A28" s="287"/>
      <c r="B28" s="294"/>
      <c r="C28" s="294" t="s">
        <v>135</v>
      </c>
      <c r="D28" s="294"/>
      <c r="E28" s="294"/>
      <c r="F28" s="295"/>
      <c r="G28" s="86" t="s">
        <v>120</v>
      </c>
      <c r="H28" s="260"/>
      <c r="I28" s="261" t="str">
        <f t="shared" si="0"/>
        <v>-</v>
      </c>
      <c r="J28" s="262"/>
      <c r="K28" s="261" t="str">
        <f t="shared" si="1"/>
        <v>-</v>
      </c>
      <c r="L28" s="263" t="str">
        <f t="shared" si="2"/>
        <v>-</v>
      </c>
      <c r="M28" s="264">
        <f t="shared" si="3"/>
        <v>0</v>
      </c>
      <c r="N28" s="291"/>
      <c r="O28" s="292"/>
      <c r="P28" s="292"/>
      <c r="Q28" s="293"/>
      <c r="R28" s="78"/>
    </row>
    <row r="29" spans="1:18" ht="14.25" customHeight="1">
      <c r="A29" s="287"/>
      <c r="B29" s="294" t="s">
        <v>136</v>
      </c>
      <c r="C29" s="294"/>
      <c r="D29" s="294"/>
      <c r="E29" s="294"/>
      <c r="F29" s="295"/>
      <c r="G29" s="86" t="s">
        <v>120</v>
      </c>
      <c r="H29" s="260"/>
      <c r="I29" s="261" t="str">
        <f t="shared" si="0"/>
        <v>-</v>
      </c>
      <c r="J29" s="262"/>
      <c r="K29" s="261" t="str">
        <f t="shared" si="1"/>
        <v>-</v>
      </c>
      <c r="L29" s="263" t="str">
        <f t="shared" si="2"/>
        <v>-</v>
      </c>
      <c r="M29" s="264">
        <f t="shared" si="3"/>
        <v>0</v>
      </c>
      <c r="N29" s="291"/>
      <c r="O29" s="292"/>
      <c r="P29" s="292"/>
      <c r="Q29" s="293"/>
      <c r="R29" s="79"/>
    </row>
    <row r="30" spans="1:18" ht="14.25" customHeight="1">
      <c r="A30" s="287"/>
      <c r="B30" s="294" t="s">
        <v>137</v>
      </c>
      <c r="C30" s="294"/>
      <c r="D30" s="294"/>
      <c r="E30" s="294"/>
      <c r="F30" s="295"/>
      <c r="G30" s="86" t="s">
        <v>120</v>
      </c>
      <c r="H30" s="260"/>
      <c r="I30" s="265"/>
      <c r="J30" s="262"/>
      <c r="K30" s="265"/>
      <c r="L30" s="263" t="str">
        <f t="shared" si="2"/>
        <v>-</v>
      </c>
      <c r="M30" s="264">
        <f t="shared" si="3"/>
        <v>0</v>
      </c>
      <c r="N30" s="291"/>
      <c r="O30" s="292"/>
      <c r="P30" s="292"/>
      <c r="Q30" s="293"/>
      <c r="R30" s="74"/>
    </row>
    <row r="31" spans="1:18" ht="14.25" customHeight="1">
      <c r="A31" s="287"/>
      <c r="B31" s="317" t="s">
        <v>138</v>
      </c>
      <c r="C31" s="317"/>
      <c r="D31" s="317"/>
      <c r="E31" s="317"/>
      <c r="F31" s="318"/>
      <c r="G31" s="86" t="s">
        <v>120</v>
      </c>
      <c r="H31" s="260"/>
      <c r="I31" s="265"/>
      <c r="J31" s="262"/>
      <c r="K31" s="265"/>
      <c r="L31" s="263" t="str">
        <f t="shared" si="2"/>
        <v>-</v>
      </c>
      <c r="M31" s="264">
        <f t="shared" si="3"/>
        <v>0</v>
      </c>
      <c r="N31" s="291"/>
      <c r="O31" s="292"/>
      <c r="P31" s="292"/>
      <c r="Q31" s="293"/>
      <c r="R31" s="79"/>
    </row>
    <row r="32" spans="1:18" ht="14.25" customHeight="1">
      <c r="A32" s="287"/>
      <c r="B32" s="294" t="s">
        <v>139</v>
      </c>
      <c r="C32" s="294"/>
      <c r="D32" s="294"/>
      <c r="E32" s="294"/>
      <c r="F32" s="295"/>
      <c r="G32" s="86" t="s">
        <v>120</v>
      </c>
      <c r="H32" s="260"/>
      <c r="I32" s="265"/>
      <c r="J32" s="262"/>
      <c r="K32" s="265"/>
      <c r="L32" s="263" t="str">
        <f t="shared" si="2"/>
        <v>-</v>
      </c>
      <c r="M32" s="264">
        <f t="shared" si="3"/>
        <v>0</v>
      </c>
      <c r="N32" s="291"/>
      <c r="O32" s="292"/>
      <c r="P32" s="292"/>
      <c r="Q32" s="293"/>
      <c r="R32" s="79"/>
    </row>
    <row r="33" spans="1:18" ht="14.25" customHeight="1">
      <c r="A33" s="287"/>
      <c r="B33" s="294" t="s">
        <v>140</v>
      </c>
      <c r="C33" s="294"/>
      <c r="D33" s="294"/>
      <c r="E33" s="294"/>
      <c r="F33" s="295"/>
      <c r="G33" s="86" t="s">
        <v>120</v>
      </c>
      <c r="H33" s="260"/>
      <c r="I33" s="266"/>
      <c r="J33" s="262"/>
      <c r="K33" s="266"/>
      <c r="L33" s="263" t="str">
        <f t="shared" si="2"/>
        <v>-</v>
      </c>
      <c r="M33" s="264">
        <f t="shared" si="3"/>
        <v>0</v>
      </c>
      <c r="N33" s="291"/>
      <c r="O33" s="292"/>
      <c r="P33" s="292"/>
      <c r="Q33" s="293"/>
      <c r="R33" s="79"/>
    </row>
    <row r="34" spans="1:18" ht="14.25" customHeight="1">
      <c r="A34" s="287"/>
      <c r="B34" s="289" t="s">
        <v>141</v>
      </c>
      <c r="C34" s="289"/>
      <c r="D34" s="289"/>
      <c r="E34" s="289"/>
      <c r="F34" s="290"/>
      <c r="G34" s="87" t="s">
        <v>120</v>
      </c>
      <c r="H34" s="260"/>
      <c r="I34" s="265"/>
      <c r="J34" s="262"/>
      <c r="K34" s="265"/>
      <c r="L34" s="263" t="str">
        <f t="shared" si="2"/>
        <v>-</v>
      </c>
      <c r="M34" s="264">
        <f t="shared" si="3"/>
        <v>0</v>
      </c>
      <c r="N34" s="291"/>
      <c r="O34" s="292"/>
      <c r="P34" s="292"/>
      <c r="Q34" s="293"/>
      <c r="R34" s="79"/>
    </row>
    <row r="35" spans="1:18" ht="14.25" customHeight="1">
      <c r="A35" s="287"/>
      <c r="B35" s="294" t="s">
        <v>142</v>
      </c>
      <c r="C35" s="294"/>
      <c r="D35" s="294"/>
      <c r="E35" s="294"/>
      <c r="F35" s="295"/>
      <c r="G35" s="86" t="s">
        <v>120</v>
      </c>
      <c r="H35" s="260"/>
      <c r="I35" s="265"/>
      <c r="J35" s="262"/>
      <c r="K35" s="265"/>
      <c r="L35" s="263" t="str">
        <f t="shared" si="2"/>
        <v>-</v>
      </c>
      <c r="M35" s="264">
        <f t="shared" si="3"/>
        <v>0</v>
      </c>
      <c r="N35" s="291"/>
      <c r="O35" s="292"/>
      <c r="P35" s="292"/>
      <c r="Q35" s="293"/>
      <c r="R35" s="79"/>
    </row>
    <row r="36" spans="1:18" ht="14.25" customHeight="1">
      <c r="A36" s="287"/>
      <c r="B36" s="294" t="s">
        <v>143</v>
      </c>
      <c r="C36" s="294"/>
      <c r="D36" s="294"/>
      <c r="E36" s="294"/>
      <c r="F36" s="295"/>
      <c r="G36" s="86" t="s">
        <v>120</v>
      </c>
      <c r="H36" s="260"/>
      <c r="I36" s="265"/>
      <c r="J36" s="262"/>
      <c r="K36" s="265"/>
      <c r="L36" s="263" t="str">
        <f t="shared" si="2"/>
        <v>-</v>
      </c>
      <c r="M36" s="264">
        <f t="shared" si="3"/>
        <v>0</v>
      </c>
      <c r="N36" s="291"/>
      <c r="O36" s="292"/>
      <c r="P36" s="292"/>
      <c r="Q36" s="293"/>
      <c r="R36" s="79"/>
    </row>
    <row r="37" spans="1:18" ht="14.25" customHeight="1">
      <c r="A37" s="288"/>
      <c r="B37" s="336" t="s">
        <v>144</v>
      </c>
      <c r="C37" s="337"/>
      <c r="D37" s="337"/>
      <c r="E37" s="337"/>
      <c r="F37" s="338"/>
      <c r="G37" s="88" t="s">
        <v>120</v>
      </c>
      <c r="H37" s="260"/>
      <c r="I37" s="267"/>
      <c r="J37" s="268"/>
      <c r="K37" s="267"/>
      <c r="L37" s="269" t="str">
        <f t="shared" si="2"/>
        <v>-</v>
      </c>
      <c r="M37" s="270">
        <f t="shared" si="3"/>
        <v>0</v>
      </c>
      <c r="N37" s="284"/>
      <c r="O37" s="285"/>
      <c r="P37" s="285"/>
      <c r="Q37" s="286"/>
      <c r="R37" s="79"/>
    </row>
    <row r="38" spans="1:18" ht="14.25" customHeight="1">
      <c r="A38" s="339" t="s">
        <v>145</v>
      </c>
      <c r="B38" s="340"/>
      <c r="C38" s="340"/>
      <c r="D38" s="340"/>
      <c r="E38" s="340"/>
      <c r="F38" s="327"/>
      <c r="G38" s="89" t="s">
        <v>120</v>
      </c>
      <c r="H38" s="271"/>
      <c r="I38" s="272"/>
      <c r="J38" s="273"/>
      <c r="K38" s="272"/>
      <c r="L38" s="274" t="str">
        <f t="shared" si="2"/>
        <v>-</v>
      </c>
      <c r="M38" s="275">
        <f t="shared" si="3"/>
        <v>0</v>
      </c>
      <c r="N38" s="305"/>
      <c r="O38" s="306"/>
      <c r="P38" s="306"/>
      <c r="Q38" s="307"/>
      <c r="R38" s="79"/>
    </row>
    <row r="39" spans="1:18" ht="14.25" customHeight="1">
      <c r="A39" s="308" t="s">
        <v>146</v>
      </c>
      <c r="B39" s="309"/>
      <c r="C39" s="309"/>
      <c r="D39" s="309"/>
      <c r="E39" s="309"/>
      <c r="F39" s="310"/>
      <c r="G39" s="86" t="s">
        <v>120</v>
      </c>
      <c r="H39" s="260"/>
      <c r="I39" s="265"/>
      <c r="J39" s="262"/>
      <c r="K39" s="265"/>
      <c r="L39" s="263" t="str">
        <f t="shared" si="2"/>
        <v>-</v>
      </c>
      <c r="M39" s="264">
        <f t="shared" si="3"/>
        <v>0</v>
      </c>
      <c r="N39" s="291"/>
      <c r="O39" s="292"/>
      <c r="P39" s="292"/>
      <c r="Q39" s="293"/>
      <c r="R39" s="79"/>
    </row>
    <row r="40" spans="1:18" ht="14.25" customHeight="1">
      <c r="A40" s="311" t="s">
        <v>147</v>
      </c>
      <c r="B40" s="312"/>
      <c r="C40" s="312"/>
      <c r="D40" s="312"/>
      <c r="E40" s="312"/>
      <c r="F40" s="313"/>
      <c r="G40" s="88" t="s">
        <v>120</v>
      </c>
      <c r="H40" s="276"/>
      <c r="I40" s="267"/>
      <c r="J40" s="268"/>
      <c r="K40" s="267"/>
      <c r="L40" s="269" t="str">
        <f t="shared" si="2"/>
        <v>-</v>
      </c>
      <c r="M40" s="270">
        <f t="shared" si="3"/>
        <v>0</v>
      </c>
      <c r="N40" s="314"/>
      <c r="O40" s="315"/>
      <c r="P40" s="315"/>
      <c r="Q40" s="316"/>
      <c r="R40" s="79"/>
    </row>
    <row r="41" spans="1:18" ht="12.75" customHeight="1">
      <c r="A41" s="325" t="s">
        <v>148</v>
      </c>
      <c r="B41" s="327" t="s">
        <v>149</v>
      </c>
      <c r="C41" s="328"/>
      <c r="D41" s="328"/>
      <c r="E41" s="328"/>
      <c r="F41" s="328"/>
      <c r="G41" s="89" t="s">
        <v>156</v>
      </c>
      <c r="H41" s="271"/>
      <c r="I41" s="272"/>
      <c r="J41" s="273"/>
      <c r="K41" s="272"/>
      <c r="L41" s="274" t="str">
        <f t="shared" si="2"/>
        <v>-</v>
      </c>
      <c r="M41" s="275">
        <f t="shared" si="3"/>
        <v>0</v>
      </c>
      <c r="N41" s="329"/>
      <c r="O41" s="330"/>
      <c r="P41" s="330"/>
      <c r="Q41" s="331"/>
    </row>
    <row r="42" spans="1:18" ht="12.75" customHeight="1">
      <c r="A42" s="287"/>
      <c r="B42" s="295" t="s">
        <v>150</v>
      </c>
      <c r="C42" s="296"/>
      <c r="D42" s="296"/>
      <c r="E42" s="296"/>
      <c r="F42" s="296"/>
      <c r="G42" s="86" t="s">
        <v>118</v>
      </c>
      <c r="H42" s="260"/>
      <c r="I42" s="265"/>
      <c r="J42" s="262"/>
      <c r="K42" s="265"/>
      <c r="L42" s="263" t="str">
        <f t="shared" si="2"/>
        <v>-</v>
      </c>
      <c r="M42" s="264">
        <f t="shared" si="3"/>
        <v>0</v>
      </c>
      <c r="N42" s="291"/>
      <c r="O42" s="292"/>
      <c r="P42" s="292"/>
      <c r="Q42" s="293"/>
    </row>
    <row r="43" spans="1:18" ht="12.75" customHeight="1">
      <c r="A43" s="287"/>
      <c r="B43" s="332" t="s">
        <v>151</v>
      </c>
      <c r="C43" s="333"/>
      <c r="D43" s="333"/>
      <c r="E43" s="333"/>
      <c r="F43" s="333"/>
      <c r="G43" s="86" t="s">
        <v>152</v>
      </c>
      <c r="H43" s="147"/>
      <c r="I43" s="277"/>
      <c r="J43" s="148"/>
      <c r="K43" s="266"/>
      <c r="L43" s="263" t="str">
        <f t="shared" si="2"/>
        <v>-</v>
      </c>
      <c r="M43" s="278">
        <f t="shared" si="3"/>
        <v>0</v>
      </c>
      <c r="N43" s="291"/>
      <c r="O43" s="292"/>
      <c r="P43" s="292"/>
      <c r="Q43" s="293"/>
    </row>
    <row r="44" spans="1:18" ht="12.75" customHeight="1">
      <c r="A44" s="287"/>
      <c r="B44" s="64"/>
      <c r="C44" s="65"/>
      <c r="D44" s="295" t="s">
        <v>191</v>
      </c>
      <c r="E44" s="296"/>
      <c r="F44" s="296"/>
      <c r="G44" s="86" t="s">
        <v>120</v>
      </c>
      <c r="H44" s="147"/>
      <c r="I44" s="279"/>
      <c r="J44" s="148"/>
      <c r="K44" s="265"/>
      <c r="L44" s="263" t="str">
        <f t="shared" si="2"/>
        <v>-</v>
      </c>
      <c r="M44" s="278">
        <f t="shared" si="3"/>
        <v>0</v>
      </c>
      <c r="N44" s="291"/>
      <c r="O44" s="292"/>
      <c r="P44" s="292"/>
      <c r="Q44" s="293"/>
    </row>
    <row r="45" spans="1:18" ht="12.75" customHeight="1" thickBot="1">
      <c r="A45" s="326"/>
      <c r="B45" s="334" t="s">
        <v>192</v>
      </c>
      <c r="C45" s="335"/>
      <c r="D45" s="335"/>
      <c r="E45" s="335"/>
      <c r="F45" s="335"/>
      <c r="G45" s="90" t="s">
        <v>157</v>
      </c>
      <c r="H45" s="149"/>
      <c r="I45" s="280"/>
      <c r="J45" s="150"/>
      <c r="K45" s="281"/>
      <c r="L45" s="282" t="str">
        <f t="shared" si="2"/>
        <v>-</v>
      </c>
      <c r="M45" s="283">
        <f t="shared" si="3"/>
        <v>0</v>
      </c>
      <c r="N45" s="319"/>
      <c r="O45" s="320"/>
      <c r="P45" s="320"/>
      <c r="Q45" s="321"/>
    </row>
  </sheetData>
  <mergeCells count="91">
    <mergeCell ref="A1:B1"/>
    <mergeCell ref="J5:J6"/>
    <mergeCell ref="H5:H6"/>
    <mergeCell ref="M5:M6"/>
    <mergeCell ref="O2:Q2"/>
    <mergeCell ref="A5:F6"/>
    <mergeCell ref="G5:G6"/>
    <mergeCell ref="N5:Q6"/>
    <mergeCell ref="N45:Q45"/>
    <mergeCell ref="N39:Q39"/>
    <mergeCell ref="N18:Q18"/>
    <mergeCell ref="O1:Q1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B37:F37"/>
    <mergeCell ref="A38:F38"/>
    <mergeCell ref="N38:Q38"/>
    <mergeCell ref="A39:F39"/>
    <mergeCell ref="N28:Q28"/>
    <mergeCell ref="A40:F40"/>
    <mergeCell ref="N40:Q40"/>
    <mergeCell ref="B30:F30"/>
    <mergeCell ref="N30:Q30"/>
    <mergeCell ref="B31:F31"/>
    <mergeCell ref="N31:Q31"/>
    <mergeCell ref="B32:F32"/>
    <mergeCell ref="N32:Q32"/>
    <mergeCell ref="B34:F34"/>
    <mergeCell ref="N34:Q34"/>
    <mergeCell ref="B36:F36"/>
    <mergeCell ref="N36:Q36"/>
    <mergeCell ref="B29:F29"/>
    <mergeCell ref="N29:Q29"/>
    <mergeCell ref="B25:B28"/>
    <mergeCell ref="B35:F35"/>
    <mergeCell ref="N35:Q35"/>
    <mergeCell ref="B33:F33"/>
    <mergeCell ref="N33:Q33"/>
    <mergeCell ref="D27:F27"/>
    <mergeCell ref="N27:Q27"/>
    <mergeCell ref="N26:Q26"/>
    <mergeCell ref="C28:F28"/>
    <mergeCell ref="C26:F26"/>
    <mergeCell ref="B7:F7"/>
    <mergeCell ref="N7:Q7"/>
    <mergeCell ref="B8:B23"/>
    <mergeCell ref="C8:F8"/>
    <mergeCell ref="N8:Q8"/>
    <mergeCell ref="C9:F9"/>
    <mergeCell ref="N9:Q9"/>
    <mergeCell ref="C22:F22"/>
    <mergeCell ref="N22:Q22"/>
    <mergeCell ref="D23:F23"/>
    <mergeCell ref="N23:Q23"/>
    <mergeCell ref="C16:F16"/>
    <mergeCell ref="N16:Q16"/>
    <mergeCell ref="D17:F17"/>
    <mergeCell ref="N17:Q17"/>
    <mergeCell ref="C18:F18"/>
    <mergeCell ref="D19:F19"/>
    <mergeCell ref="N19:Q19"/>
    <mergeCell ref="C20:F20"/>
    <mergeCell ref="N20:Q20"/>
    <mergeCell ref="D25:F25"/>
    <mergeCell ref="N25:Q25"/>
    <mergeCell ref="B24:F24"/>
    <mergeCell ref="N24:Q24"/>
    <mergeCell ref="N37:Q37"/>
    <mergeCell ref="A7:A37"/>
    <mergeCell ref="C15:F15"/>
    <mergeCell ref="N15:Q15"/>
    <mergeCell ref="C10:F10"/>
    <mergeCell ref="N10:Q10"/>
    <mergeCell ref="C11:F11"/>
    <mergeCell ref="N11:Q11"/>
    <mergeCell ref="C12:F12"/>
    <mergeCell ref="N12:Q12"/>
    <mergeCell ref="C13:F13"/>
    <mergeCell ref="N13:Q13"/>
    <mergeCell ref="C14:F14"/>
    <mergeCell ref="N14:Q14"/>
    <mergeCell ref="D21:F21"/>
    <mergeCell ref="N21:Q21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showGridLines="0" view="pageBreakPreview" zoomScaleNormal="100" zoomScaleSheetLayoutView="100" workbookViewId="0"/>
  </sheetViews>
  <sheetFormatPr defaultRowHeight="12.75" customHeight="1"/>
  <cols>
    <col min="1" max="3" width="2.625" style="47" customWidth="1"/>
    <col min="4" max="4" width="7" style="47" customWidth="1"/>
    <col min="5" max="5" width="9.125" style="47" customWidth="1"/>
    <col min="6" max="6" width="8.5" style="47" customWidth="1"/>
    <col min="7" max="7" width="8.875" style="47" customWidth="1"/>
    <col min="8" max="8" width="6.125" style="47" customWidth="1"/>
    <col min="9" max="9" width="5.875" style="47" customWidth="1"/>
    <col min="10" max="10" width="4.5" style="47" customWidth="1"/>
    <col min="11" max="11" width="3.625" style="47" customWidth="1"/>
    <col min="12" max="12" width="2.625" style="47" customWidth="1"/>
    <col min="13" max="13" width="3.5" style="47" customWidth="1"/>
    <col min="14" max="14" width="2.75" style="47" customWidth="1"/>
    <col min="15" max="15" width="2.625" style="47" customWidth="1"/>
    <col min="16" max="16" width="3.125" style="47" customWidth="1"/>
    <col min="17" max="17" width="2.875" style="47" customWidth="1"/>
    <col min="18" max="18" width="8.375" style="47" customWidth="1"/>
    <col min="19" max="20" width="9.125" style="47" customWidth="1"/>
    <col min="21" max="21" width="10.25" style="47" customWidth="1"/>
    <col min="22" max="22" width="10.875" style="66" customWidth="1"/>
    <col min="23" max="23" width="9.125" style="66" customWidth="1"/>
    <col min="24" max="24" width="1.75" style="66" customWidth="1"/>
    <col min="25" max="25" width="1.875" style="66" customWidth="1"/>
    <col min="26" max="26" width="2.625" style="47" customWidth="1"/>
    <col min="27" max="27" width="8.625" style="47" customWidth="1"/>
    <col min="28" max="29" width="11.75" style="47" customWidth="1"/>
    <col min="30" max="30" width="6" style="47" bestFit="1" customWidth="1"/>
    <col min="31" max="16384" width="9" style="47"/>
  </cols>
  <sheetData>
    <row r="1" spans="1:30" s="2" customFormat="1" ht="14.25" customHeight="1">
      <c r="A1" s="1" t="str">
        <f>No.1!A1&amp;"年産 組織法人経営体に関する経営分析調査(麦類・そば・なたね・畑作物生産費(組織法人経営))"</f>
        <v>2019年産 組織法人経営体に関する経営分析調査(麦類・そば・なたね・畑作物生産費(組織法人経営))</v>
      </c>
      <c r="B1" s="1"/>
      <c r="C1" s="1"/>
      <c r="D1" s="1"/>
      <c r="E1" s="1"/>
      <c r="F1" s="1"/>
      <c r="G1" s="1"/>
      <c r="H1" s="1"/>
      <c r="I1" s="1"/>
      <c r="J1" s="1"/>
      <c r="K1" s="3"/>
      <c r="P1" s="121"/>
      <c r="Q1" s="121"/>
      <c r="R1" s="121"/>
      <c r="U1" s="322" t="s">
        <v>111</v>
      </c>
      <c r="V1" s="323"/>
      <c r="W1" s="324"/>
      <c r="Y1" s="19"/>
    </row>
    <row r="2" spans="1:30" ht="15" customHeight="1">
      <c r="A2" s="1" t="s">
        <v>186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U2" s="406" t="str">
        <f>IF(No.1!O2="","",No.1!O2)</f>
        <v/>
      </c>
      <c r="V2" s="407"/>
      <c r="W2" s="408"/>
      <c r="Y2" s="48"/>
    </row>
    <row r="3" spans="1:30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Y3" s="49"/>
      <c r="Z3" s="49"/>
      <c r="AA3" s="50"/>
      <c r="AB3" s="49"/>
      <c r="AC3" s="48"/>
      <c r="AD3" s="48"/>
    </row>
    <row r="4" spans="1:30" ht="15" customHeight="1">
      <c r="A4" s="5" t="s">
        <v>5</v>
      </c>
      <c r="O4" s="5" t="s">
        <v>6</v>
      </c>
      <c r="V4" s="94"/>
      <c r="W4" s="94"/>
      <c r="X4" s="94"/>
      <c r="Y4" s="94"/>
    </row>
    <row r="5" spans="1:30" ht="15" customHeight="1">
      <c r="A5" s="382"/>
      <c r="B5" s="383"/>
      <c r="C5" s="383"/>
      <c r="D5" s="384"/>
      <c r="E5" s="393">
        <f>No.1!H5</f>
        <v>19</v>
      </c>
      <c r="F5" s="391">
        <f>E5-1</f>
        <v>18</v>
      </c>
      <c r="G5" s="6" t="s">
        <v>1</v>
      </c>
      <c r="H5" s="143"/>
      <c r="I5" s="143"/>
      <c r="J5" s="143"/>
      <c r="K5" s="143"/>
      <c r="L5" s="143"/>
      <c r="M5" s="143"/>
      <c r="O5" s="382"/>
      <c r="P5" s="383"/>
      <c r="Q5" s="383"/>
      <c r="R5" s="384"/>
      <c r="S5" s="393">
        <f>E5</f>
        <v>19</v>
      </c>
      <c r="T5" s="391">
        <f>F5</f>
        <v>18</v>
      </c>
      <c r="U5" s="6" t="s">
        <v>1</v>
      </c>
      <c r="V5" s="143"/>
      <c r="W5" s="143"/>
      <c r="X5" s="59"/>
      <c r="Y5" s="59"/>
    </row>
    <row r="6" spans="1:30" ht="15" customHeight="1">
      <c r="A6" s="385"/>
      <c r="B6" s="386"/>
      <c r="C6" s="386"/>
      <c r="D6" s="387"/>
      <c r="E6" s="394"/>
      <c r="F6" s="392"/>
      <c r="G6" s="8" t="s">
        <v>158</v>
      </c>
      <c r="H6" s="143"/>
      <c r="I6" s="143"/>
      <c r="J6" s="143"/>
      <c r="K6" s="143"/>
      <c r="L6" s="143"/>
      <c r="M6" s="143"/>
      <c r="O6" s="385"/>
      <c r="P6" s="386"/>
      <c r="Q6" s="386"/>
      <c r="R6" s="387"/>
      <c r="S6" s="394"/>
      <c r="T6" s="392"/>
      <c r="U6" s="8" t="s">
        <v>158</v>
      </c>
      <c r="V6" s="143"/>
      <c r="W6" s="143"/>
      <c r="X6" s="59"/>
      <c r="Y6" s="59"/>
    </row>
    <row r="7" spans="1:30" ht="14.25" customHeight="1">
      <c r="A7" s="388" t="s">
        <v>7</v>
      </c>
      <c r="B7" s="389"/>
      <c r="C7" s="389"/>
      <c r="D7" s="390"/>
      <c r="E7" s="151"/>
      <c r="F7" s="152"/>
      <c r="G7" s="153" t="str">
        <f>IFERROR(100*(E7-F7)/F7,"-")</f>
        <v>-</v>
      </c>
      <c r="H7" s="143"/>
      <c r="I7" s="143"/>
      <c r="J7" s="143"/>
      <c r="K7" s="143"/>
      <c r="L7" s="143"/>
      <c r="M7" s="143"/>
      <c r="O7" s="409" t="s">
        <v>8</v>
      </c>
      <c r="P7" s="363" t="s">
        <v>9</v>
      </c>
      <c r="Q7" s="365"/>
      <c r="R7" s="364"/>
      <c r="S7" s="154"/>
      <c r="T7" s="155"/>
      <c r="U7" s="156" t="str">
        <f>IFERROR(100*(S7-T7)/T7,"-")</f>
        <v>-</v>
      </c>
      <c r="Y7" s="59"/>
    </row>
    <row r="8" spans="1:30" ht="14.25" customHeight="1">
      <c r="A8" s="140"/>
      <c r="B8" s="395" t="s">
        <v>10</v>
      </c>
      <c r="C8" s="396"/>
      <c r="D8" s="397"/>
      <c r="E8" s="157"/>
      <c r="F8" s="158"/>
      <c r="G8" s="156" t="str">
        <f t="shared" ref="G8:G27" si="0">IFERROR(100*(E8-F8)/F8,"-")</f>
        <v>-</v>
      </c>
      <c r="H8" s="143"/>
      <c r="I8" s="143"/>
      <c r="J8" s="143"/>
      <c r="K8" s="143"/>
      <c r="L8" s="143"/>
      <c r="M8" s="143"/>
      <c r="O8" s="410"/>
      <c r="P8" s="363" t="s">
        <v>11</v>
      </c>
      <c r="Q8" s="365"/>
      <c r="R8" s="364"/>
      <c r="S8" s="159"/>
      <c r="T8" s="160"/>
      <c r="U8" s="156" t="str">
        <f t="shared" ref="U8:U21" si="1">IFERROR(100*(S8-T8)/T8,"-")</f>
        <v>-</v>
      </c>
      <c r="Y8" s="59"/>
    </row>
    <row r="9" spans="1:30" ht="14.25" customHeight="1">
      <c r="A9" s="140"/>
      <c r="B9" s="84"/>
      <c r="C9" s="363" t="s">
        <v>12</v>
      </c>
      <c r="D9" s="364"/>
      <c r="E9" s="157"/>
      <c r="F9" s="158"/>
      <c r="G9" s="156" t="str">
        <f t="shared" si="0"/>
        <v>-</v>
      </c>
      <c r="H9" s="143"/>
      <c r="I9" s="143"/>
      <c r="J9" s="143"/>
      <c r="K9" s="143"/>
      <c r="L9" s="143"/>
      <c r="M9" s="143"/>
      <c r="O9" s="388" t="s">
        <v>4</v>
      </c>
      <c r="P9" s="389"/>
      <c r="Q9" s="389"/>
      <c r="R9" s="390"/>
      <c r="S9" s="154"/>
      <c r="T9" s="155"/>
      <c r="U9" s="161" t="str">
        <f t="shared" si="1"/>
        <v>-</v>
      </c>
      <c r="V9" s="143"/>
    </row>
    <row r="10" spans="1:30" ht="14.25" customHeight="1">
      <c r="A10" s="140"/>
      <c r="B10" s="84"/>
      <c r="C10" s="363" t="s">
        <v>13</v>
      </c>
      <c r="D10" s="364"/>
      <c r="E10" s="157"/>
      <c r="F10" s="158"/>
      <c r="G10" s="156" t="str">
        <f t="shared" si="0"/>
        <v>-</v>
      </c>
      <c r="H10" s="143"/>
      <c r="I10" s="143"/>
      <c r="J10" s="143"/>
      <c r="K10" s="143"/>
      <c r="L10" s="143"/>
      <c r="M10" s="143"/>
      <c r="O10" s="369" t="s">
        <v>14</v>
      </c>
      <c r="P10" s="370"/>
      <c r="Q10" s="370"/>
      <c r="R10" s="371"/>
      <c r="S10" s="154"/>
      <c r="T10" s="155"/>
      <c r="U10" s="153" t="str">
        <f t="shared" si="1"/>
        <v>-</v>
      </c>
      <c r="V10" s="143"/>
    </row>
    <row r="11" spans="1:30" ht="14.25" customHeight="1">
      <c r="A11" s="140"/>
      <c r="B11" s="84"/>
      <c r="C11" s="363" t="s">
        <v>15</v>
      </c>
      <c r="D11" s="364"/>
      <c r="E11" s="157"/>
      <c r="F11" s="158"/>
      <c r="G11" s="156" t="str">
        <f t="shared" si="0"/>
        <v>-</v>
      </c>
      <c r="H11" s="143"/>
      <c r="I11" s="143"/>
      <c r="J11" s="143"/>
      <c r="K11" s="143"/>
      <c r="L11" s="143"/>
      <c r="M11" s="143"/>
      <c r="O11" s="372" t="s">
        <v>67</v>
      </c>
      <c r="P11" s="365"/>
      <c r="Q11" s="365"/>
      <c r="R11" s="364"/>
      <c r="S11" s="162"/>
      <c r="T11" s="163"/>
      <c r="U11" s="156" t="str">
        <f t="shared" si="1"/>
        <v>-</v>
      </c>
      <c r="V11" s="143"/>
    </row>
    <row r="12" spans="1:30" ht="14.25" customHeight="1">
      <c r="A12" s="140"/>
      <c r="B12" s="84"/>
      <c r="C12" s="363" t="s">
        <v>16</v>
      </c>
      <c r="D12" s="364"/>
      <c r="E12" s="157"/>
      <c r="F12" s="158"/>
      <c r="G12" s="156" t="str">
        <f t="shared" si="0"/>
        <v>-</v>
      </c>
      <c r="H12" s="143"/>
      <c r="I12" s="143"/>
      <c r="J12" s="143"/>
      <c r="K12" s="143"/>
      <c r="L12" s="143"/>
      <c r="M12" s="143"/>
      <c r="O12" s="379" t="s">
        <v>17</v>
      </c>
      <c r="P12" s="380"/>
      <c r="Q12" s="380"/>
      <c r="R12" s="381"/>
      <c r="S12" s="162"/>
      <c r="T12" s="163"/>
      <c r="U12" s="156" t="str">
        <f t="shared" si="1"/>
        <v>-</v>
      </c>
      <c r="V12" s="94"/>
    </row>
    <row r="13" spans="1:30" ht="14.25" customHeight="1">
      <c r="A13" s="140"/>
      <c r="B13" s="84"/>
      <c r="C13" s="363" t="s">
        <v>18</v>
      </c>
      <c r="D13" s="364"/>
      <c r="E13" s="157"/>
      <c r="F13" s="158"/>
      <c r="G13" s="156" t="str">
        <f t="shared" si="0"/>
        <v>-</v>
      </c>
      <c r="H13" s="143"/>
      <c r="I13" s="143"/>
      <c r="J13" s="143"/>
      <c r="K13" s="143"/>
      <c r="L13" s="143"/>
      <c r="M13" s="143"/>
      <c r="O13" s="51"/>
      <c r="P13" s="363" t="s">
        <v>19</v>
      </c>
      <c r="Q13" s="365"/>
      <c r="R13" s="364"/>
      <c r="S13" s="162"/>
      <c r="T13" s="163"/>
      <c r="U13" s="156" t="str">
        <f t="shared" si="1"/>
        <v>-</v>
      </c>
    </row>
    <row r="14" spans="1:30" ht="14.25" customHeight="1">
      <c r="A14" s="140"/>
      <c r="B14" s="84"/>
      <c r="C14" s="363" t="s">
        <v>20</v>
      </c>
      <c r="D14" s="364"/>
      <c r="E14" s="157"/>
      <c r="F14" s="158"/>
      <c r="G14" s="156" t="str">
        <f t="shared" si="0"/>
        <v>-</v>
      </c>
      <c r="H14" s="143"/>
      <c r="I14" s="143"/>
      <c r="J14" s="143"/>
      <c r="K14" s="143"/>
      <c r="L14" s="143"/>
      <c r="M14" s="143"/>
      <c r="O14" s="379" t="s">
        <v>194</v>
      </c>
      <c r="P14" s="380"/>
      <c r="Q14" s="380"/>
      <c r="R14" s="381"/>
      <c r="S14" s="162"/>
      <c r="T14" s="163"/>
      <c r="U14" s="156" t="str">
        <f t="shared" si="1"/>
        <v>-</v>
      </c>
      <c r="V14" s="143"/>
    </row>
    <row r="15" spans="1:30" ht="14.25" customHeight="1">
      <c r="A15" s="140"/>
      <c r="B15" s="84"/>
      <c r="C15" s="363" t="s">
        <v>21</v>
      </c>
      <c r="D15" s="364"/>
      <c r="E15" s="157"/>
      <c r="F15" s="158"/>
      <c r="G15" s="156" t="str">
        <f t="shared" si="0"/>
        <v>-</v>
      </c>
      <c r="H15" s="143"/>
      <c r="I15" s="143"/>
      <c r="J15" s="143"/>
      <c r="K15" s="143"/>
      <c r="L15" s="143"/>
      <c r="M15" s="143"/>
      <c r="O15" s="140"/>
      <c r="P15" s="395" t="s">
        <v>19</v>
      </c>
      <c r="Q15" s="396"/>
      <c r="R15" s="397"/>
      <c r="S15" s="164"/>
      <c r="T15" s="165"/>
      <c r="U15" s="166" t="str">
        <f t="shared" si="1"/>
        <v>-</v>
      </c>
      <c r="V15" s="143"/>
    </row>
    <row r="16" spans="1:30" ht="14.25" customHeight="1">
      <c r="A16" s="140"/>
      <c r="B16" s="84"/>
      <c r="C16" s="363" t="s">
        <v>22</v>
      </c>
      <c r="D16" s="364"/>
      <c r="E16" s="157"/>
      <c r="F16" s="158"/>
      <c r="G16" s="156" t="str">
        <f t="shared" si="0"/>
        <v>-</v>
      </c>
      <c r="H16" s="143"/>
      <c r="I16" s="143"/>
      <c r="J16" s="143"/>
      <c r="K16" s="143"/>
      <c r="L16" s="143"/>
      <c r="M16" s="143"/>
      <c r="O16" s="412" t="s">
        <v>65</v>
      </c>
      <c r="P16" s="413"/>
      <c r="Q16" s="413"/>
      <c r="R16" s="414"/>
      <c r="S16" s="167"/>
      <c r="T16" s="168"/>
      <c r="U16" s="169"/>
      <c r="V16" s="143"/>
    </row>
    <row r="17" spans="1:25" ht="14.25" customHeight="1">
      <c r="A17" s="140"/>
      <c r="B17" s="84"/>
      <c r="C17" s="363" t="s">
        <v>23</v>
      </c>
      <c r="D17" s="364"/>
      <c r="E17" s="157"/>
      <c r="F17" s="158"/>
      <c r="G17" s="156" t="str">
        <f t="shared" si="0"/>
        <v>-</v>
      </c>
      <c r="H17" s="143"/>
      <c r="I17" s="143"/>
      <c r="J17" s="143"/>
      <c r="K17" s="143"/>
      <c r="L17" s="143"/>
      <c r="M17" s="143"/>
      <c r="O17" s="52"/>
      <c r="P17" s="415" t="s">
        <v>66</v>
      </c>
      <c r="Q17" s="416"/>
      <c r="R17" s="417"/>
      <c r="S17" s="170"/>
      <c r="T17" s="171"/>
      <c r="U17" s="172" t="str">
        <f t="shared" si="1"/>
        <v>-</v>
      </c>
      <c r="V17" s="143"/>
    </row>
    <row r="18" spans="1:25" ht="14.25" customHeight="1">
      <c r="A18" s="140"/>
      <c r="B18" s="84"/>
      <c r="C18" s="363" t="s">
        <v>24</v>
      </c>
      <c r="D18" s="364"/>
      <c r="E18" s="157"/>
      <c r="F18" s="158"/>
      <c r="G18" s="156" t="str">
        <f t="shared" si="0"/>
        <v>-</v>
      </c>
      <c r="H18" s="143"/>
      <c r="I18" s="143"/>
      <c r="J18" s="143"/>
      <c r="K18" s="143"/>
      <c r="L18" s="143"/>
      <c r="M18" s="143"/>
      <c r="O18" s="58"/>
      <c r="P18" s="399" t="s">
        <v>17</v>
      </c>
      <c r="Q18" s="400"/>
      <c r="R18" s="401"/>
      <c r="S18" s="170"/>
      <c r="T18" s="171"/>
      <c r="U18" s="172" t="str">
        <f t="shared" si="1"/>
        <v>-</v>
      </c>
      <c r="V18" s="143"/>
    </row>
    <row r="19" spans="1:25" ht="14.25" customHeight="1">
      <c r="A19" s="140"/>
      <c r="B19" s="84"/>
      <c r="C19" s="363" t="s">
        <v>25</v>
      </c>
      <c r="D19" s="364"/>
      <c r="E19" s="157"/>
      <c r="F19" s="158"/>
      <c r="G19" s="156" t="str">
        <f t="shared" si="0"/>
        <v>-</v>
      </c>
      <c r="H19" s="143"/>
      <c r="I19" s="143"/>
      <c r="J19" s="143"/>
      <c r="K19" s="143"/>
      <c r="L19" s="143"/>
      <c r="M19" s="143"/>
      <c r="O19" s="25"/>
      <c r="P19" s="53"/>
      <c r="Q19" s="404" t="s">
        <v>19</v>
      </c>
      <c r="R19" s="405"/>
      <c r="S19" s="173"/>
      <c r="T19" s="171"/>
      <c r="U19" s="172" t="str">
        <f t="shared" si="1"/>
        <v>-</v>
      </c>
      <c r="V19" s="143"/>
    </row>
    <row r="20" spans="1:25" ht="14.25" customHeight="1">
      <c r="A20" s="140"/>
      <c r="B20" s="84"/>
      <c r="C20" s="363" t="s">
        <v>26</v>
      </c>
      <c r="D20" s="364"/>
      <c r="E20" s="157"/>
      <c r="F20" s="158"/>
      <c r="G20" s="156" t="str">
        <f t="shared" si="0"/>
        <v>-</v>
      </c>
      <c r="H20" s="143"/>
      <c r="I20" s="143"/>
      <c r="J20" s="143"/>
      <c r="K20" s="143"/>
      <c r="L20" s="143"/>
      <c r="M20" s="143"/>
      <c r="O20" s="58"/>
      <c r="P20" s="399" t="s">
        <v>194</v>
      </c>
      <c r="Q20" s="400"/>
      <c r="R20" s="401"/>
      <c r="S20" s="170"/>
      <c r="T20" s="171"/>
      <c r="U20" s="172" t="str">
        <f t="shared" si="1"/>
        <v>-</v>
      </c>
      <c r="V20" s="143"/>
    </row>
    <row r="21" spans="1:25" ht="14.25" customHeight="1">
      <c r="A21" s="140"/>
      <c r="B21" s="84"/>
      <c r="C21" s="363" t="s">
        <v>28</v>
      </c>
      <c r="D21" s="364"/>
      <c r="E21" s="157"/>
      <c r="F21" s="158"/>
      <c r="G21" s="156" t="str">
        <f t="shared" si="0"/>
        <v>-</v>
      </c>
      <c r="H21" s="143"/>
      <c r="I21" s="143"/>
      <c r="J21" s="143"/>
      <c r="K21" s="143"/>
      <c r="L21" s="143"/>
      <c r="M21" s="143"/>
      <c r="O21" s="54"/>
      <c r="P21" s="55"/>
      <c r="Q21" s="402" t="s">
        <v>19</v>
      </c>
      <c r="R21" s="403"/>
      <c r="S21" s="174"/>
      <c r="T21" s="175"/>
      <c r="U21" s="176" t="str">
        <f t="shared" si="1"/>
        <v>-</v>
      </c>
      <c r="V21" s="143"/>
    </row>
    <row r="22" spans="1:25" ht="14.25" customHeight="1">
      <c r="A22" s="140"/>
      <c r="B22" s="84"/>
      <c r="C22" s="363" t="s">
        <v>30</v>
      </c>
      <c r="D22" s="364"/>
      <c r="E22" s="157"/>
      <c r="F22" s="158"/>
      <c r="G22" s="156" t="str">
        <f t="shared" si="0"/>
        <v>-</v>
      </c>
      <c r="H22" s="143"/>
      <c r="I22" s="143"/>
      <c r="J22" s="143"/>
      <c r="K22" s="143"/>
      <c r="L22" s="143"/>
      <c r="M22" s="143"/>
      <c r="V22" s="143"/>
    </row>
    <row r="23" spans="1:25" ht="14.25" customHeight="1">
      <c r="A23" s="140"/>
      <c r="B23" s="84"/>
      <c r="C23" s="363" t="s">
        <v>31</v>
      </c>
      <c r="D23" s="364"/>
      <c r="E23" s="157"/>
      <c r="F23" s="158"/>
      <c r="G23" s="156" t="str">
        <f t="shared" si="0"/>
        <v>-</v>
      </c>
      <c r="H23" s="143"/>
      <c r="I23" s="143"/>
      <c r="J23" s="143"/>
      <c r="K23" s="143"/>
      <c r="L23" s="143"/>
      <c r="M23" s="143"/>
      <c r="V23" s="143"/>
    </row>
    <row r="24" spans="1:25" ht="14.25" customHeight="1">
      <c r="A24" s="140"/>
      <c r="B24" s="84"/>
      <c r="C24" s="363" t="s">
        <v>32</v>
      </c>
      <c r="D24" s="364"/>
      <c r="E24" s="157"/>
      <c r="F24" s="158"/>
      <c r="G24" s="156" t="str">
        <f t="shared" si="0"/>
        <v>-</v>
      </c>
      <c r="H24" s="143"/>
      <c r="I24" s="143"/>
      <c r="J24" s="143"/>
      <c r="K24" s="143"/>
      <c r="L24" s="143"/>
      <c r="M24" s="143"/>
      <c r="V24" s="143"/>
    </row>
    <row r="25" spans="1:25" ht="14.25" customHeight="1">
      <c r="A25" s="10"/>
      <c r="B25" s="411" t="s">
        <v>33</v>
      </c>
      <c r="C25" s="367"/>
      <c r="D25" s="368"/>
      <c r="E25" s="177"/>
      <c r="F25" s="178"/>
      <c r="G25" s="179" t="str">
        <f t="shared" si="0"/>
        <v>-</v>
      </c>
      <c r="H25" s="143"/>
      <c r="I25" s="143"/>
      <c r="J25" s="143"/>
      <c r="K25" s="143"/>
      <c r="L25" s="143"/>
      <c r="M25" s="143"/>
      <c r="V25" s="143"/>
    </row>
    <row r="26" spans="1:25" ht="14.25" customHeight="1">
      <c r="A26" s="388" t="s">
        <v>193</v>
      </c>
      <c r="B26" s="389"/>
      <c r="C26" s="389"/>
      <c r="D26" s="390"/>
      <c r="E26" s="180"/>
      <c r="F26" s="181"/>
      <c r="G26" s="182" t="str">
        <f t="shared" si="0"/>
        <v>-</v>
      </c>
      <c r="H26" s="143"/>
      <c r="I26" s="143"/>
      <c r="J26" s="143"/>
      <c r="K26" s="143"/>
      <c r="L26" s="143"/>
      <c r="M26" s="143"/>
      <c r="V26" s="143"/>
    </row>
    <row r="27" spans="1:25" ht="14.25" customHeight="1">
      <c r="A27" s="366" t="s">
        <v>34</v>
      </c>
      <c r="B27" s="367"/>
      <c r="C27" s="367"/>
      <c r="D27" s="368"/>
      <c r="E27" s="177"/>
      <c r="F27" s="178"/>
      <c r="G27" s="179" t="str">
        <f t="shared" si="0"/>
        <v>-</v>
      </c>
      <c r="H27" s="143"/>
      <c r="I27" s="143"/>
      <c r="J27" s="143"/>
      <c r="K27" s="143"/>
      <c r="L27" s="143"/>
      <c r="M27" s="143"/>
      <c r="O27" s="5" t="s">
        <v>181</v>
      </c>
      <c r="V27" s="143"/>
      <c r="W27" s="143"/>
      <c r="X27" s="59"/>
      <c r="Y27" s="59"/>
    </row>
    <row r="28" spans="1:25" ht="14.25" customHeight="1">
      <c r="A28" s="124"/>
      <c r="B28" s="124"/>
      <c r="C28" s="124"/>
      <c r="D28" s="124"/>
      <c r="E28" s="91"/>
      <c r="F28" s="91"/>
      <c r="G28" s="92"/>
      <c r="H28" s="143"/>
      <c r="I28" s="143"/>
      <c r="J28" s="143"/>
      <c r="K28" s="143"/>
      <c r="L28" s="143"/>
      <c r="M28" s="143"/>
      <c r="O28" s="373"/>
      <c r="P28" s="374"/>
      <c r="Q28" s="374"/>
      <c r="R28" s="375"/>
      <c r="S28" s="142">
        <f>E5</f>
        <v>19</v>
      </c>
      <c r="T28" s="141">
        <f>F5</f>
        <v>18</v>
      </c>
      <c r="U28" s="6" t="s">
        <v>1</v>
      </c>
      <c r="V28" s="143"/>
      <c r="W28" s="143"/>
      <c r="X28" s="59"/>
      <c r="Y28" s="59"/>
    </row>
    <row r="29" spans="1:25" ht="14.25" customHeight="1">
      <c r="H29" s="143"/>
      <c r="I29" s="143"/>
      <c r="J29" s="143"/>
      <c r="K29" s="143"/>
      <c r="L29" s="143"/>
      <c r="M29" s="143"/>
      <c r="O29" s="376"/>
      <c r="P29" s="377"/>
      <c r="Q29" s="377"/>
      <c r="R29" s="378"/>
      <c r="S29" s="115" t="s">
        <v>2</v>
      </c>
      <c r="T29" s="7" t="s">
        <v>2</v>
      </c>
      <c r="U29" s="8" t="s">
        <v>182</v>
      </c>
      <c r="V29" s="143"/>
      <c r="W29" s="143"/>
      <c r="X29" s="59"/>
      <c r="Y29" s="59"/>
    </row>
    <row r="30" spans="1:25" ht="14.25" customHeight="1">
      <c r="H30" s="143"/>
      <c r="I30" s="143"/>
      <c r="J30" s="143"/>
      <c r="K30" s="143"/>
      <c r="L30" s="143"/>
      <c r="M30" s="143"/>
      <c r="O30" s="369" t="s">
        <v>183</v>
      </c>
      <c r="P30" s="370"/>
      <c r="Q30" s="370"/>
      <c r="R30" s="371"/>
      <c r="S30" s="154"/>
      <c r="T30" s="155"/>
      <c r="U30" s="153" t="str">
        <f>IFERROR(100*(S30-T30)/T30,"-")</f>
        <v>-</v>
      </c>
      <c r="V30" s="143"/>
      <c r="W30" s="143"/>
      <c r="X30" s="59"/>
      <c r="Y30" s="59"/>
    </row>
    <row r="31" spans="1:25" ht="14.25" customHeight="1">
      <c r="H31" s="143"/>
      <c r="I31" s="143"/>
      <c r="J31" s="143"/>
      <c r="K31" s="143"/>
      <c r="L31" s="143"/>
      <c r="M31" s="143"/>
      <c r="O31" s="366" t="s">
        <v>184</v>
      </c>
      <c r="P31" s="367"/>
      <c r="Q31" s="367"/>
      <c r="R31" s="368"/>
      <c r="S31" s="183"/>
      <c r="T31" s="184"/>
      <c r="U31" s="179" t="str">
        <f>IFERROR(100*(S31-T31)/T31,"-")</f>
        <v>-</v>
      </c>
      <c r="V31" s="94"/>
      <c r="W31" s="94"/>
    </row>
    <row r="32" spans="1:25" ht="14.25" customHeight="1">
      <c r="H32" s="398"/>
      <c r="I32" s="398"/>
      <c r="J32" s="398"/>
      <c r="K32" s="398"/>
      <c r="L32" s="398"/>
      <c r="M32" s="398"/>
      <c r="O32" s="46"/>
      <c r="P32" s="46"/>
      <c r="Q32" s="46"/>
      <c r="R32" s="46"/>
      <c r="S32" s="46"/>
      <c r="T32" s="46"/>
      <c r="U32" s="46"/>
      <c r="V32" s="94"/>
      <c r="W32" s="9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</sheetData>
  <mergeCells count="49">
    <mergeCell ref="U2:W2"/>
    <mergeCell ref="O7:O8"/>
    <mergeCell ref="A26:D26"/>
    <mergeCell ref="A27:D27"/>
    <mergeCell ref="U1:W1"/>
    <mergeCell ref="B25:D25"/>
    <mergeCell ref="O16:R16"/>
    <mergeCell ref="T5:T6"/>
    <mergeCell ref="C23:D23"/>
    <mergeCell ref="O14:R14"/>
    <mergeCell ref="C24:D24"/>
    <mergeCell ref="P15:R15"/>
    <mergeCell ref="P17:R17"/>
    <mergeCell ref="S5:S6"/>
    <mergeCell ref="C15:D15"/>
    <mergeCell ref="C16:D16"/>
    <mergeCell ref="H32:M32"/>
    <mergeCell ref="P20:R20"/>
    <mergeCell ref="Q21:R21"/>
    <mergeCell ref="P18:R18"/>
    <mergeCell ref="Q19:R19"/>
    <mergeCell ref="C17:D17"/>
    <mergeCell ref="C13:D13"/>
    <mergeCell ref="C14:D14"/>
    <mergeCell ref="P8:R8"/>
    <mergeCell ref="B8:D8"/>
    <mergeCell ref="C9:D9"/>
    <mergeCell ref="A5:D6"/>
    <mergeCell ref="A7:D7"/>
    <mergeCell ref="F5:F6"/>
    <mergeCell ref="E5:E6"/>
    <mergeCell ref="O9:R9"/>
    <mergeCell ref="O5:R6"/>
    <mergeCell ref="C18:D18"/>
    <mergeCell ref="P7:R7"/>
    <mergeCell ref="O31:R31"/>
    <mergeCell ref="O10:R10"/>
    <mergeCell ref="O11:R11"/>
    <mergeCell ref="C10:D10"/>
    <mergeCell ref="C11:D11"/>
    <mergeCell ref="C12:D12"/>
    <mergeCell ref="O28:R29"/>
    <mergeCell ref="O30:R30"/>
    <mergeCell ref="C21:D21"/>
    <mergeCell ref="O12:R12"/>
    <mergeCell ref="C22:D22"/>
    <mergeCell ref="P13:R13"/>
    <mergeCell ref="C19:D19"/>
    <mergeCell ref="C20:D20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showGridLines="0" view="pageBreakPreview" zoomScaleNormal="100" zoomScaleSheetLayoutView="100" workbookViewId="0"/>
  </sheetViews>
  <sheetFormatPr defaultRowHeight="15" customHeight="1"/>
  <cols>
    <col min="1" max="7" width="2.625" style="2" customWidth="1"/>
    <col min="8" max="8" width="5.125" style="29" customWidth="1"/>
    <col min="9" max="14" width="9.625" style="2" customWidth="1"/>
    <col min="15" max="22" width="5.125" style="2" customWidth="1"/>
    <col min="23" max="24" width="9.125" style="2" customWidth="1"/>
    <col min="25" max="26" width="6.625" style="2" customWidth="1"/>
    <col min="27" max="29" width="6.875" style="2" customWidth="1"/>
    <col min="30" max="34" width="5.625" style="2" customWidth="1"/>
    <col min="35" max="16384" width="9" style="2"/>
  </cols>
  <sheetData>
    <row r="1" spans="1:27" ht="14.25" customHeight="1">
      <c r="A1" s="1" t="str">
        <f>No.1!A1&amp;"年産 組織法人経営体に関する経営分析調査(麦類・そば・なたね・畑作物生産費(組織法人経営))"</f>
        <v>2019年産 組織法人経営体に関する経営分析調査(麦類・そば・なたね・畑作物生産費(組織法人経営))</v>
      </c>
      <c r="B1" s="1"/>
      <c r="C1" s="1"/>
      <c r="D1" s="1"/>
      <c r="E1" s="1"/>
      <c r="F1" s="1"/>
      <c r="G1" s="1"/>
      <c r="H1" s="1"/>
      <c r="I1" s="1"/>
      <c r="J1" s="1"/>
      <c r="K1" s="3"/>
      <c r="O1" s="46"/>
      <c r="P1" s="46"/>
      <c r="Q1" s="46"/>
      <c r="R1" s="46"/>
      <c r="S1" s="46"/>
      <c r="T1" s="46"/>
      <c r="U1" s="46"/>
      <c r="V1" s="463" t="s">
        <v>111</v>
      </c>
      <c r="W1" s="463"/>
      <c r="X1" s="463"/>
    </row>
    <row r="2" spans="1:27" ht="15" customHeight="1">
      <c r="A2" s="1" t="s">
        <v>187</v>
      </c>
      <c r="B2" s="1"/>
      <c r="C2" s="1"/>
      <c r="D2" s="1"/>
      <c r="E2" s="1"/>
      <c r="F2" s="1"/>
      <c r="G2" s="1"/>
      <c r="H2" s="1"/>
      <c r="I2" s="1"/>
      <c r="J2" s="1"/>
      <c r="K2" s="4"/>
      <c r="O2" s="46"/>
      <c r="P2" s="46"/>
      <c r="Q2" s="46"/>
      <c r="R2" s="46"/>
      <c r="S2" s="46"/>
      <c r="T2" s="46"/>
      <c r="U2" s="46"/>
      <c r="V2" s="406" t="str">
        <f>IF(No.1!O2="","",No.1!O2)</f>
        <v/>
      </c>
      <c r="W2" s="407"/>
      <c r="X2" s="408"/>
    </row>
    <row r="3" spans="1:27" ht="15" customHeight="1">
      <c r="A3" s="11"/>
      <c r="B3" s="11"/>
      <c r="C3" s="11"/>
      <c r="D3" s="11"/>
      <c r="E3" s="11"/>
      <c r="F3" s="11"/>
      <c r="G3" s="11"/>
      <c r="H3" s="11"/>
      <c r="Y3" s="4"/>
      <c r="Z3" s="4"/>
      <c r="AA3" s="4"/>
    </row>
    <row r="4" spans="1:27" ht="14.25" customHeight="1">
      <c r="A4" s="23" t="s">
        <v>110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143"/>
      <c r="V4" s="143"/>
      <c r="W4" s="143"/>
      <c r="X4" s="143"/>
    </row>
    <row r="5" spans="1:27" ht="12.2" customHeight="1">
      <c r="A5" s="431"/>
      <c r="B5" s="432"/>
      <c r="C5" s="432"/>
      <c r="D5" s="432"/>
      <c r="E5" s="432"/>
      <c r="F5" s="432"/>
      <c r="G5" s="432"/>
      <c r="H5" s="433"/>
      <c r="I5" s="440" t="s">
        <v>27</v>
      </c>
      <c r="J5" s="441"/>
      <c r="K5" s="442"/>
      <c r="L5" s="440" t="s">
        <v>29</v>
      </c>
      <c r="M5" s="441"/>
      <c r="N5" s="442"/>
      <c r="O5" s="469" t="s">
        <v>96</v>
      </c>
      <c r="P5" s="470"/>
      <c r="Q5" s="470"/>
      <c r="R5" s="470"/>
      <c r="S5" s="470"/>
      <c r="T5" s="471"/>
      <c r="U5" s="143"/>
      <c r="V5" s="143"/>
      <c r="W5" s="143"/>
      <c r="X5" s="143"/>
    </row>
    <row r="6" spans="1:27" ht="12.2" customHeight="1">
      <c r="A6" s="434"/>
      <c r="B6" s="435"/>
      <c r="C6" s="435"/>
      <c r="D6" s="435"/>
      <c r="E6" s="435"/>
      <c r="F6" s="435"/>
      <c r="G6" s="435"/>
      <c r="H6" s="436"/>
      <c r="I6" s="467">
        <f>No.1!H5</f>
        <v>19</v>
      </c>
      <c r="J6" s="457">
        <f>I6-1</f>
        <v>18</v>
      </c>
      <c r="K6" s="16" t="s">
        <v>1</v>
      </c>
      <c r="L6" s="467">
        <f>$I$6</f>
        <v>19</v>
      </c>
      <c r="M6" s="457">
        <f>$J$6</f>
        <v>18</v>
      </c>
      <c r="N6" s="16" t="s">
        <v>1</v>
      </c>
      <c r="O6" s="472">
        <f>$I$6</f>
        <v>19</v>
      </c>
      <c r="P6" s="473"/>
      <c r="Q6" s="478">
        <f>$J$6</f>
        <v>18</v>
      </c>
      <c r="R6" s="479"/>
      <c r="S6" s="476" t="s">
        <v>1</v>
      </c>
      <c r="T6" s="477"/>
      <c r="U6" s="143"/>
      <c r="V6" s="143"/>
      <c r="W6" s="143"/>
      <c r="X6" s="143"/>
    </row>
    <row r="7" spans="1:27" ht="12.2" customHeight="1">
      <c r="A7" s="437"/>
      <c r="B7" s="438"/>
      <c r="C7" s="438"/>
      <c r="D7" s="438"/>
      <c r="E7" s="438"/>
      <c r="F7" s="438"/>
      <c r="G7" s="438"/>
      <c r="H7" s="439"/>
      <c r="I7" s="468"/>
      <c r="J7" s="458"/>
      <c r="K7" s="145" t="s">
        <v>158</v>
      </c>
      <c r="L7" s="468"/>
      <c r="M7" s="458"/>
      <c r="N7" s="145" t="s">
        <v>158</v>
      </c>
      <c r="O7" s="474"/>
      <c r="P7" s="475"/>
      <c r="Q7" s="480"/>
      <c r="R7" s="481"/>
      <c r="S7" s="490" t="s">
        <v>3</v>
      </c>
      <c r="T7" s="491"/>
      <c r="U7" s="143"/>
      <c r="V7" s="143"/>
      <c r="W7" s="143"/>
      <c r="X7" s="143"/>
    </row>
    <row r="8" spans="1:27" ht="12.75" customHeight="1">
      <c r="A8" s="443" t="s">
        <v>100</v>
      </c>
      <c r="B8" s="444"/>
      <c r="C8" s="449" t="s">
        <v>101</v>
      </c>
      <c r="D8" s="450"/>
      <c r="E8" s="450"/>
      <c r="F8" s="450"/>
      <c r="G8" s="450"/>
      <c r="H8" s="114" t="s">
        <v>177</v>
      </c>
      <c r="I8" s="185"/>
      <c r="J8" s="186"/>
      <c r="K8" s="187" t="str">
        <f>IFERROR(100*(I8-J8)/J8,"-")</f>
        <v>-</v>
      </c>
      <c r="L8" s="185"/>
      <c r="M8" s="186"/>
      <c r="N8" s="188" t="str">
        <f>IFERROR(100*(L8-M8)/M8,"-")</f>
        <v>-</v>
      </c>
      <c r="O8" s="507"/>
      <c r="P8" s="508"/>
      <c r="Q8" s="482"/>
      <c r="R8" s="483"/>
      <c r="S8" s="507" t="str">
        <f>IFERROR(100*(O8-Q8)/Q8,"-")</f>
        <v>-</v>
      </c>
      <c r="T8" s="483"/>
      <c r="U8" s="143"/>
      <c r="V8" s="143"/>
      <c r="W8" s="143"/>
      <c r="X8" s="143"/>
    </row>
    <row r="9" spans="1:27" ht="12.75" customHeight="1">
      <c r="A9" s="445"/>
      <c r="B9" s="446"/>
      <c r="C9" s="451" t="s">
        <v>102</v>
      </c>
      <c r="D9" s="452"/>
      <c r="E9" s="452"/>
      <c r="F9" s="452"/>
      <c r="G9" s="452"/>
      <c r="H9" s="56" t="s">
        <v>178</v>
      </c>
      <c r="I9" s="189"/>
      <c r="J9" s="190"/>
      <c r="K9" s="191" t="str">
        <f t="shared" ref="K9:K15" si="0">IFERROR(100*(I9-J9)/J9,"-")</f>
        <v>-</v>
      </c>
      <c r="L9" s="189"/>
      <c r="M9" s="190"/>
      <c r="N9" s="192" t="str">
        <f t="shared" ref="N9:N15" si="1">IFERROR(100*(L9-M9)/M9,"-")</f>
        <v>-</v>
      </c>
      <c r="O9" s="506"/>
      <c r="P9" s="513"/>
      <c r="Q9" s="484"/>
      <c r="R9" s="485"/>
      <c r="S9" s="506" t="str">
        <f t="shared" ref="S9:S15" si="2">IFERROR(100*(O9-Q9)/Q9,"-")</f>
        <v>-</v>
      </c>
      <c r="T9" s="485"/>
      <c r="U9" s="143"/>
      <c r="V9" s="143"/>
      <c r="W9" s="143"/>
      <c r="X9" s="143"/>
    </row>
    <row r="10" spans="1:27" ht="12.75" customHeight="1">
      <c r="A10" s="445"/>
      <c r="B10" s="446"/>
      <c r="C10" s="453" t="s">
        <v>211</v>
      </c>
      <c r="D10" s="454"/>
      <c r="E10" s="454"/>
      <c r="F10" s="454"/>
      <c r="G10" s="454"/>
      <c r="H10" s="56" t="s">
        <v>179</v>
      </c>
      <c r="I10" s="193"/>
      <c r="J10" s="171"/>
      <c r="K10" s="191" t="str">
        <f t="shared" si="0"/>
        <v>-</v>
      </c>
      <c r="L10" s="193"/>
      <c r="M10" s="171"/>
      <c r="N10" s="192" t="str">
        <f t="shared" si="1"/>
        <v>-</v>
      </c>
      <c r="O10" s="511"/>
      <c r="P10" s="514"/>
      <c r="Q10" s="486"/>
      <c r="R10" s="487"/>
      <c r="S10" s="506" t="str">
        <f t="shared" si="2"/>
        <v>-</v>
      </c>
      <c r="T10" s="485"/>
      <c r="U10" s="143"/>
      <c r="V10" s="143"/>
      <c r="W10" s="143"/>
      <c r="X10" s="143"/>
    </row>
    <row r="11" spans="1:27" ht="12.75" customHeight="1">
      <c r="A11" s="447"/>
      <c r="B11" s="448"/>
      <c r="C11" s="455" t="s">
        <v>209</v>
      </c>
      <c r="D11" s="456"/>
      <c r="E11" s="456"/>
      <c r="F11" s="456"/>
      <c r="G11" s="456"/>
      <c r="H11" s="56" t="s">
        <v>179</v>
      </c>
      <c r="I11" s="193"/>
      <c r="J11" s="171"/>
      <c r="K11" s="191" t="str">
        <f t="shared" si="0"/>
        <v>-</v>
      </c>
      <c r="L11" s="193"/>
      <c r="M11" s="171"/>
      <c r="N11" s="192" t="str">
        <f t="shared" si="1"/>
        <v>-</v>
      </c>
      <c r="O11" s="511"/>
      <c r="P11" s="512"/>
      <c r="Q11" s="486"/>
      <c r="R11" s="487"/>
      <c r="S11" s="506" t="str">
        <f t="shared" si="2"/>
        <v>-</v>
      </c>
      <c r="T11" s="485"/>
      <c r="U11" s="143"/>
      <c r="V11" s="143"/>
      <c r="W11" s="143"/>
      <c r="X11" s="143"/>
    </row>
    <row r="12" spans="1:27" ht="12.75" customHeight="1">
      <c r="A12" s="459" t="s">
        <v>103</v>
      </c>
      <c r="B12" s="460"/>
      <c r="C12" s="451" t="s">
        <v>104</v>
      </c>
      <c r="D12" s="452"/>
      <c r="E12" s="452"/>
      <c r="F12" s="452"/>
      <c r="G12" s="452"/>
      <c r="H12" s="56" t="s">
        <v>178</v>
      </c>
      <c r="I12" s="189"/>
      <c r="J12" s="190"/>
      <c r="K12" s="191" t="str">
        <f t="shared" si="0"/>
        <v>-</v>
      </c>
      <c r="L12" s="189"/>
      <c r="M12" s="190"/>
      <c r="N12" s="192" t="str">
        <f t="shared" si="1"/>
        <v>-</v>
      </c>
      <c r="O12" s="506"/>
      <c r="P12" s="513"/>
      <c r="Q12" s="484"/>
      <c r="R12" s="485"/>
      <c r="S12" s="506" t="str">
        <f t="shared" si="2"/>
        <v>-</v>
      </c>
      <c r="T12" s="485"/>
      <c r="U12" s="143"/>
      <c r="V12" s="143"/>
      <c r="W12" s="143"/>
      <c r="X12" s="143"/>
    </row>
    <row r="13" spans="1:27" ht="12.75" customHeight="1">
      <c r="A13" s="445"/>
      <c r="B13" s="446"/>
      <c r="C13" s="453" t="s">
        <v>210</v>
      </c>
      <c r="D13" s="454"/>
      <c r="E13" s="454"/>
      <c r="F13" s="454"/>
      <c r="G13" s="454"/>
      <c r="H13" s="56" t="s">
        <v>179</v>
      </c>
      <c r="I13" s="193"/>
      <c r="J13" s="171"/>
      <c r="K13" s="191" t="str">
        <f t="shared" si="0"/>
        <v>-</v>
      </c>
      <c r="L13" s="193"/>
      <c r="M13" s="171"/>
      <c r="N13" s="192" t="str">
        <f t="shared" si="1"/>
        <v>-</v>
      </c>
      <c r="O13" s="511"/>
      <c r="P13" s="514"/>
      <c r="Q13" s="486"/>
      <c r="R13" s="487"/>
      <c r="S13" s="506" t="str">
        <f t="shared" si="2"/>
        <v>-</v>
      </c>
      <c r="T13" s="485"/>
      <c r="U13" s="143"/>
      <c r="V13" s="143"/>
      <c r="W13" s="143"/>
      <c r="X13" s="143"/>
    </row>
    <row r="14" spans="1:27" ht="12.75" customHeight="1">
      <c r="A14" s="447"/>
      <c r="B14" s="448"/>
      <c r="C14" s="455" t="s">
        <v>209</v>
      </c>
      <c r="D14" s="456"/>
      <c r="E14" s="456"/>
      <c r="F14" s="456"/>
      <c r="G14" s="456"/>
      <c r="H14" s="56" t="s">
        <v>179</v>
      </c>
      <c r="I14" s="193"/>
      <c r="J14" s="171"/>
      <c r="K14" s="191" t="str">
        <f t="shared" si="0"/>
        <v>-</v>
      </c>
      <c r="L14" s="193"/>
      <c r="M14" s="171"/>
      <c r="N14" s="192" t="str">
        <f t="shared" si="1"/>
        <v>-</v>
      </c>
      <c r="O14" s="511"/>
      <c r="P14" s="512"/>
      <c r="Q14" s="486"/>
      <c r="R14" s="487"/>
      <c r="S14" s="506" t="str">
        <f t="shared" si="2"/>
        <v>-</v>
      </c>
      <c r="T14" s="485"/>
      <c r="U14" s="143"/>
      <c r="V14" s="143"/>
      <c r="W14" s="143"/>
      <c r="X14" s="143"/>
    </row>
    <row r="15" spans="1:27" ht="12.75" customHeight="1">
      <c r="A15" s="420" t="s">
        <v>208</v>
      </c>
      <c r="B15" s="421"/>
      <c r="C15" s="421"/>
      <c r="D15" s="421"/>
      <c r="E15" s="421"/>
      <c r="F15" s="421"/>
      <c r="G15" s="421"/>
      <c r="H15" s="57" t="s">
        <v>180</v>
      </c>
      <c r="I15" s="194"/>
      <c r="J15" s="175"/>
      <c r="K15" s="195" t="str">
        <f t="shared" si="0"/>
        <v>-</v>
      </c>
      <c r="L15" s="194"/>
      <c r="M15" s="175"/>
      <c r="N15" s="196" t="str">
        <f t="shared" si="1"/>
        <v>-</v>
      </c>
      <c r="O15" s="509"/>
      <c r="P15" s="510"/>
      <c r="Q15" s="504"/>
      <c r="R15" s="505"/>
      <c r="S15" s="502" t="str">
        <f t="shared" si="2"/>
        <v>-</v>
      </c>
      <c r="T15" s="503"/>
      <c r="U15" s="143"/>
      <c r="V15" s="143"/>
      <c r="W15" s="143"/>
      <c r="X15" s="143"/>
    </row>
    <row r="16" spans="1:27" ht="13.7" customHeight="1"/>
    <row r="17" spans="1:25" ht="15" customHeight="1">
      <c r="A17" s="44" t="s">
        <v>195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U17" s="43"/>
      <c r="V17" s="43"/>
      <c r="W17" s="43"/>
      <c r="X17" s="43"/>
    </row>
    <row r="18" spans="1:25" ht="12.2" customHeight="1">
      <c r="A18" s="97" t="s">
        <v>165</v>
      </c>
      <c r="B18" s="96"/>
      <c r="C18" s="96"/>
      <c r="D18" s="96"/>
      <c r="E18" s="96"/>
      <c r="F18" s="96"/>
      <c r="G18" s="96"/>
      <c r="H18" s="71"/>
      <c r="I18" s="68"/>
      <c r="J18" s="68"/>
      <c r="K18" s="70"/>
      <c r="L18" s="68"/>
      <c r="M18" s="68"/>
      <c r="N18" s="70"/>
      <c r="O18" s="68"/>
      <c r="P18" s="68"/>
      <c r="Q18" s="68"/>
      <c r="R18" s="68"/>
      <c r="S18" s="70"/>
      <c r="T18" s="70"/>
      <c r="U18" s="143"/>
      <c r="V18" s="143"/>
      <c r="W18" s="143"/>
      <c r="X18" s="143"/>
    </row>
    <row r="19" spans="1:25" ht="12.2" customHeight="1">
      <c r="A19" s="422"/>
      <c r="B19" s="423"/>
      <c r="C19" s="423"/>
      <c r="D19" s="423"/>
      <c r="E19" s="423"/>
      <c r="F19" s="423"/>
      <c r="G19" s="423"/>
      <c r="H19" s="424"/>
      <c r="I19" s="464" t="s">
        <v>172</v>
      </c>
      <c r="J19" s="465"/>
      <c r="K19" s="466"/>
      <c r="L19" s="464" t="s">
        <v>109</v>
      </c>
      <c r="M19" s="465"/>
      <c r="N19" s="466"/>
      <c r="O19" s="469" t="s">
        <v>96</v>
      </c>
      <c r="P19" s="470"/>
      <c r="Q19" s="470"/>
      <c r="R19" s="470"/>
      <c r="S19" s="470"/>
      <c r="T19" s="471"/>
      <c r="U19" s="143"/>
      <c r="V19" s="143"/>
      <c r="W19" s="143"/>
      <c r="X19" s="143"/>
    </row>
    <row r="20" spans="1:25" ht="12.2" customHeight="1">
      <c r="A20" s="425"/>
      <c r="B20" s="426"/>
      <c r="C20" s="426"/>
      <c r="D20" s="426"/>
      <c r="E20" s="426"/>
      <c r="F20" s="426"/>
      <c r="G20" s="426"/>
      <c r="H20" s="427"/>
      <c r="I20" s="467">
        <f>$I$6</f>
        <v>19</v>
      </c>
      <c r="J20" s="457">
        <f>$J$6</f>
        <v>18</v>
      </c>
      <c r="K20" s="16" t="s">
        <v>1</v>
      </c>
      <c r="L20" s="467">
        <f>$I$6</f>
        <v>19</v>
      </c>
      <c r="M20" s="457">
        <f>$J$6</f>
        <v>18</v>
      </c>
      <c r="N20" s="122" t="s">
        <v>1</v>
      </c>
      <c r="O20" s="472">
        <f>$I$6</f>
        <v>19</v>
      </c>
      <c r="P20" s="473"/>
      <c r="Q20" s="478">
        <f>$J$6</f>
        <v>18</v>
      </c>
      <c r="R20" s="479"/>
      <c r="S20" s="476" t="s">
        <v>1</v>
      </c>
      <c r="T20" s="477"/>
      <c r="U20" s="143"/>
      <c r="V20" s="143"/>
      <c r="W20" s="143"/>
      <c r="X20" s="143"/>
    </row>
    <row r="21" spans="1:25" ht="12.75" customHeight="1">
      <c r="A21" s="428"/>
      <c r="B21" s="429"/>
      <c r="C21" s="429"/>
      <c r="D21" s="429"/>
      <c r="E21" s="429"/>
      <c r="F21" s="429"/>
      <c r="G21" s="429"/>
      <c r="H21" s="430"/>
      <c r="I21" s="468"/>
      <c r="J21" s="458"/>
      <c r="K21" s="145" t="s">
        <v>166</v>
      </c>
      <c r="L21" s="468"/>
      <c r="M21" s="458"/>
      <c r="N21" s="24" t="s">
        <v>166</v>
      </c>
      <c r="O21" s="474"/>
      <c r="P21" s="475"/>
      <c r="Q21" s="480"/>
      <c r="R21" s="481"/>
      <c r="S21" s="490" t="s">
        <v>3</v>
      </c>
      <c r="T21" s="491"/>
      <c r="U21" s="143"/>
      <c r="V21" s="143"/>
      <c r="W21" s="143"/>
      <c r="X21" s="143"/>
    </row>
    <row r="22" spans="1:25" ht="12.75" customHeight="1">
      <c r="A22" s="418" t="s">
        <v>105</v>
      </c>
      <c r="B22" s="419"/>
      <c r="C22" s="419"/>
      <c r="D22" s="419"/>
      <c r="E22" s="419"/>
      <c r="F22" s="419"/>
      <c r="G22" s="419"/>
      <c r="H22" s="113" t="s">
        <v>207</v>
      </c>
      <c r="I22" s="197"/>
      <c r="J22" s="198"/>
      <c r="K22" s="199" t="str">
        <f>IFERROR(100*(I22-J22)/J22,"-")</f>
        <v>-</v>
      </c>
      <c r="L22" s="197"/>
      <c r="M22" s="198"/>
      <c r="N22" s="200" t="str">
        <f>IFERROR(100*(L22-M22)/M22,"-")</f>
        <v>-</v>
      </c>
      <c r="O22" s="516"/>
      <c r="P22" s="517"/>
      <c r="Q22" s="521"/>
      <c r="R22" s="522"/>
      <c r="S22" s="523" t="str">
        <f>IFERROR(100*(O22-Q22)/Q22,"-")</f>
        <v>-</v>
      </c>
      <c r="T22" s="524" t="e">
        <f t="shared" ref="T22" si="3">100*(R22-S22)/S22</f>
        <v>#VALUE!</v>
      </c>
      <c r="U22" s="143"/>
      <c r="V22" s="143"/>
      <c r="W22" s="143"/>
      <c r="X22" s="143"/>
    </row>
    <row r="23" spans="1:25" ht="12.75" customHeight="1">
      <c r="U23" s="143"/>
      <c r="V23" s="143"/>
      <c r="W23" s="143"/>
      <c r="X23" s="143"/>
    </row>
    <row r="24" spans="1:25" ht="12.75" customHeight="1">
      <c r="A24" s="44" t="s">
        <v>167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5" ht="12.75" customHeight="1">
      <c r="A25" s="422"/>
      <c r="B25" s="423"/>
      <c r="C25" s="423"/>
      <c r="D25" s="423"/>
      <c r="E25" s="423"/>
      <c r="F25" s="423"/>
      <c r="G25" s="423"/>
      <c r="H25" s="424"/>
      <c r="I25" s="464" t="s">
        <v>106</v>
      </c>
      <c r="J25" s="465"/>
      <c r="K25" s="466"/>
      <c r="L25" s="464" t="s">
        <v>107</v>
      </c>
      <c r="M25" s="465"/>
      <c r="N25" s="466"/>
      <c r="O25" s="464" t="s">
        <v>108</v>
      </c>
      <c r="P25" s="465"/>
      <c r="Q25" s="465"/>
      <c r="R25" s="465"/>
      <c r="S25" s="465"/>
      <c r="T25" s="466"/>
      <c r="U25" s="525" t="s">
        <v>96</v>
      </c>
      <c r="V25" s="526"/>
      <c r="W25" s="526"/>
      <c r="X25" s="527"/>
    </row>
    <row r="26" spans="1:25" ht="12.75" customHeight="1">
      <c r="A26" s="425"/>
      <c r="B26" s="426"/>
      <c r="C26" s="426"/>
      <c r="D26" s="426"/>
      <c r="E26" s="426"/>
      <c r="F26" s="426"/>
      <c r="G26" s="426"/>
      <c r="H26" s="427"/>
      <c r="I26" s="467">
        <f>$I$6</f>
        <v>19</v>
      </c>
      <c r="J26" s="457">
        <f>$J$6</f>
        <v>18</v>
      </c>
      <c r="K26" s="16" t="s">
        <v>1</v>
      </c>
      <c r="L26" s="467">
        <f>$I$6</f>
        <v>19</v>
      </c>
      <c r="M26" s="457">
        <f>$J$6</f>
        <v>18</v>
      </c>
      <c r="N26" s="122" t="s">
        <v>1</v>
      </c>
      <c r="O26" s="472">
        <f>$I$6</f>
        <v>19</v>
      </c>
      <c r="P26" s="473"/>
      <c r="Q26" s="478">
        <f>$J$6</f>
        <v>18</v>
      </c>
      <c r="R26" s="479"/>
      <c r="S26" s="476" t="s">
        <v>1</v>
      </c>
      <c r="T26" s="477"/>
      <c r="U26" s="472">
        <f>$I$6</f>
        <v>19</v>
      </c>
      <c r="V26" s="473"/>
      <c r="W26" s="457">
        <f>$J$6</f>
        <v>18</v>
      </c>
      <c r="X26" s="16" t="s">
        <v>1</v>
      </c>
    </row>
    <row r="27" spans="1:25" ht="12.75" customHeight="1">
      <c r="A27" s="428"/>
      <c r="B27" s="429"/>
      <c r="C27" s="429"/>
      <c r="D27" s="429"/>
      <c r="E27" s="429"/>
      <c r="F27" s="429"/>
      <c r="G27" s="429"/>
      <c r="H27" s="430"/>
      <c r="I27" s="468"/>
      <c r="J27" s="458"/>
      <c r="K27" s="145" t="s">
        <v>166</v>
      </c>
      <c r="L27" s="468"/>
      <c r="M27" s="458"/>
      <c r="N27" s="24" t="s">
        <v>166</v>
      </c>
      <c r="O27" s="474"/>
      <c r="P27" s="475"/>
      <c r="Q27" s="480"/>
      <c r="R27" s="481"/>
      <c r="S27" s="490" t="s">
        <v>3</v>
      </c>
      <c r="T27" s="491"/>
      <c r="U27" s="474"/>
      <c r="V27" s="475"/>
      <c r="W27" s="458"/>
      <c r="X27" s="145" t="s">
        <v>166</v>
      </c>
    </row>
    <row r="28" spans="1:25" ht="12.75" customHeight="1">
      <c r="A28" s="418" t="s">
        <v>105</v>
      </c>
      <c r="B28" s="419"/>
      <c r="C28" s="419"/>
      <c r="D28" s="419"/>
      <c r="E28" s="419"/>
      <c r="F28" s="419"/>
      <c r="G28" s="419"/>
      <c r="H28" s="113" t="s">
        <v>176</v>
      </c>
      <c r="I28" s="197"/>
      <c r="J28" s="198"/>
      <c r="K28" s="199" t="str">
        <f>IFERROR(100*(I28-J28)/J28,"-")</f>
        <v>-</v>
      </c>
      <c r="L28" s="197"/>
      <c r="M28" s="198"/>
      <c r="N28" s="200" t="str">
        <f>IFERROR(100*(L28-M28)/M28,"-")</f>
        <v>-</v>
      </c>
      <c r="O28" s="516"/>
      <c r="P28" s="517"/>
      <c r="Q28" s="521"/>
      <c r="R28" s="522"/>
      <c r="S28" s="523" t="str">
        <f>IFERROR(100*(O28-Q28)/O28,"-")</f>
        <v>-</v>
      </c>
      <c r="T28" s="524" t="e">
        <f t="shared" ref="T28" si="4">100*(R28-S28)/S28</f>
        <v>#VALUE!</v>
      </c>
      <c r="U28" s="516"/>
      <c r="V28" s="517"/>
      <c r="W28" s="198"/>
      <c r="X28" s="200" t="str">
        <f>IFERROR(100*(U28-W28)/W28,"-")</f>
        <v>-</v>
      </c>
    </row>
    <row r="29" spans="1:25" ht="13.7" customHeight="1"/>
    <row r="30" spans="1:25" ht="15" customHeight="1">
      <c r="A30" s="23" t="s">
        <v>201</v>
      </c>
      <c r="B30" s="43"/>
      <c r="C30" s="43"/>
      <c r="D30" s="43"/>
      <c r="E30" s="43"/>
      <c r="F30" s="47"/>
      <c r="G30" s="47"/>
      <c r="H30" s="23"/>
      <c r="I30" s="43"/>
      <c r="L30" s="19"/>
      <c r="M30" s="23" t="s">
        <v>196</v>
      </c>
      <c r="N30" s="43"/>
      <c r="O30" s="43"/>
      <c r="P30" s="43"/>
      <c r="Q30" s="43"/>
      <c r="R30" s="43"/>
      <c r="S30" s="43"/>
      <c r="T30" s="43"/>
      <c r="U30" s="47"/>
      <c r="V30" s="47"/>
      <c r="W30" s="47"/>
      <c r="X30" s="23"/>
      <c r="Y30" s="43"/>
    </row>
    <row r="31" spans="1:25" ht="12.2" customHeight="1">
      <c r="A31" s="431"/>
      <c r="B31" s="432"/>
      <c r="C31" s="432"/>
      <c r="D31" s="432"/>
      <c r="E31" s="432"/>
      <c r="F31" s="432"/>
      <c r="G31" s="432"/>
      <c r="H31" s="433"/>
      <c r="I31" s="496">
        <f>$I$6</f>
        <v>19</v>
      </c>
      <c r="J31" s="461">
        <f>$J$6</f>
        <v>18</v>
      </c>
      <c r="K31" s="144" t="s">
        <v>1</v>
      </c>
      <c r="L31" s="19"/>
      <c r="M31" s="431"/>
      <c r="N31" s="432"/>
      <c r="O31" s="433"/>
      <c r="P31" s="472">
        <f>$I$6</f>
        <v>19</v>
      </c>
      <c r="Q31" s="473"/>
      <c r="R31" s="478">
        <f>$J$6</f>
        <v>18</v>
      </c>
      <c r="S31" s="479"/>
      <c r="T31" s="492" t="s">
        <v>1</v>
      </c>
      <c r="U31" s="493"/>
      <c r="V31" s="46"/>
    </row>
    <row r="32" spans="1:25" ht="12.2" customHeight="1">
      <c r="A32" s="437"/>
      <c r="B32" s="438"/>
      <c r="C32" s="438"/>
      <c r="D32" s="438"/>
      <c r="E32" s="438"/>
      <c r="F32" s="438"/>
      <c r="G32" s="438"/>
      <c r="H32" s="439"/>
      <c r="I32" s="497"/>
      <c r="J32" s="462"/>
      <c r="K32" s="145" t="s">
        <v>197</v>
      </c>
      <c r="L32" s="19"/>
      <c r="M32" s="437"/>
      <c r="N32" s="438"/>
      <c r="O32" s="439"/>
      <c r="P32" s="474"/>
      <c r="Q32" s="475"/>
      <c r="R32" s="480"/>
      <c r="S32" s="481"/>
      <c r="T32" s="490" t="s">
        <v>197</v>
      </c>
      <c r="U32" s="491"/>
      <c r="V32" s="46"/>
    </row>
    <row r="33" spans="1:25" ht="12.2" customHeight="1">
      <c r="A33" s="498" t="s">
        <v>198</v>
      </c>
      <c r="B33" s="499"/>
      <c r="C33" s="499"/>
      <c r="D33" s="499"/>
      <c r="E33" s="499"/>
      <c r="F33" s="499"/>
      <c r="G33" s="500"/>
      <c r="H33" s="116" t="s">
        <v>199</v>
      </c>
      <c r="I33" s="185"/>
      <c r="J33" s="186"/>
      <c r="K33" s="191" t="str">
        <f>IFERROR(100*(I33-J33)/J33,"-")</f>
        <v>-</v>
      </c>
      <c r="L33" s="19"/>
      <c r="M33" s="498" t="s">
        <v>153</v>
      </c>
      <c r="N33" s="500"/>
      <c r="O33" s="109" t="s">
        <v>157</v>
      </c>
      <c r="P33" s="507"/>
      <c r="Q33" s="520"/>
      <c r="R33" s="482"/>
      <c r="S33" s="483"/>
      <c r="T33" s="507" t="str">
        <f>IFERROR(100*(P33-R33)/R33,"-")</f>
        <v>-</v>
      </c>
      <c r="U33" s="483" t="e">
        <f t="shared" ref="U33:U37" si="5">100*(S33-T33)/T33</f>
        <v>#VALUE!</v>
      </c>
      <c r="V33" s="46"/>
    </row>
    <row r="34" spans="1:25" ht="12.2" customHeight="1">
      <c r="A34" s="494" t="s">
        <v>153</v>
      </c>
      <c r="B34" s="495"/>
      <c r="C34" s="495"/>
      <c r="D34" s="495"/>
      <c r="E34" s="495"/>
      <c r="F34" s="495"/>
      <c r="G34" s="501"/>
      <c r="H34" s="107" t="s">
        <v>199</v>
      </c>
      <c r="I34" s="189"/>
      <c r="J34" s="190"/>
      <c r="K34" s="191" t="str">
        <f t="shared" ref="K34:K38" si="6">IFERROR(100*(I34-J34)/J34,"-")</f>
        <v>-</v>
      </c>
      <c r="L34" s="19"/>
      <c r="M34" s="494" t="s">
        <v>18</v>
      </c>
      <c r="N34" s="501"/>
      <c r="O34" s="107" t="s">
        <v>157</v>
      </c>
      <c r="P34" s="506"/>
      <c r="Q34" s="519"/>
      <c r="R34" s="484"/>
      <c r="S34" s="485"/>
      <c r="T34" s="506" t="str">
        <f t="shared" ref="T34:T37" si="7">IFERROR(100*(P34-R34)/R34,"-")</f>
        <v>-</v>
      </c>
      <c r="U34" s="485" t="e">
        <f t="shared" si="5"/>
        <v>#VALUE!</v>
      </c>
      <c r="V34" s="46"/>
    </row>
    <row r="35" spans="1:25" ht="12.75" customHeight="1">
      <c r="A35" s="494" t="s">
        <v>18</v>
      </c>
      <c r="B35" s="495"/>
      <c r="C35" s="495"/>
      <c r="D35" s="495"/>
      <c r="E35" s="495"/>
      <c r="F35" s="495"/>
      <c r="G35" s="501"/>
      <c r="H35" s="107" t="s">
        <v>199</v>
      </c>
      <c r="I35" s="189"/>
      <c r="J35" s="190"/>
      <c r="K35" s="191" t="str">
        <f t="shared" si="6"/>
        <v>-</v>
      </c>
      <c r="M35" s="494" t="s">
        <v>26</v>
      </c>
      <c r="N35" s="501"/>
      <c r="O35" s="107" t="s">
        <v>157</v>
      </c>
      <c r="P35" s="506"/>
      <c r="Q35" s="519"/>
      <c r="R35" s="484"/>
      <c r="S35" s="485"/>
      <c r="T35" s="506" t="str">
        <f t="shared" si="7"/>
        <v>-</v>
      </c>
      <c r="U35" s="485" t="e">
        <f t="shared" si="5"/>
        <v>#VALUE!</v>
      </c>
      <c r="V35" s="46"/>
    </row>
    <row r="36" spans="1:25" ht="12.75" customHeight="1">
      <c r="A36" s="494" t="s">
        <v>26</v>
      </c>
      <c r="B36" s="495"/>
      <c r="C36" s="495"/>
      <c r="D36" s="495"/>
      <c r="E36" s="495"/>
      <c r="F36" s="495"/>
      <c r="G36" s="495"/>
      <c r="H36" s="117" t="s">
        <v>199</v>
      </c>
      <c r="I36" s="189"/>
      <c r="J36" s="190"/>
      <c r="K36" s="191" t="str">
        <f t="shared" si="6"/>
        <v>-</v>
      </c>
      <c r="L36" s="68"/>
      <c r="M36" s="494" t="s">
        <v>154</v>
      </c>
      <c r="N36" s="501"/>
      <c r="O36" s="107" t="s">
        <v>157</v>
      </c>
      <c r="P36" s="506"/>
      <c r="Q36" s="519"/>
      <c r="R36" s="484"/>
      <c r="S36" s="485"/>
      <c r="T36" s="506" t="str">
        <f t="shared" si="7"/>
        <v>-</v>
      </c>
      <c r="U36" s="485" t="e">
        <f t="shared" si="5"/>
        <v>#VALUE!</v>
      </c>
      <c r="V36" s="46"/>
    </row>
    <row r="37" spans="1:25" ht="12.75" customHeight="1">
      <c r="A37" s="494" t="s">
        <v>154</v>
      </c>
      <c r="B37" s="495"/>
      <c r="C37" s="495"/>
      <c r="D37" s="495"/>
      <c r="E37" s="495"/>
      <c r="F37" s="495"/>
      <c r="G37" s="495"/>
      <c r="H37" s="117" t="s">
        <v>199</v>
      </c>
      <c r="I37" s="189"/>
      <c r="J37" s="190"/>
      <c r="K37" s="191" t="str">
        <f t="shared" si="6"/>
        <v>-</v>
      </c>
      <c r="L37" s="68"/>
      <c r="M37" s="488" t="s">
        <v>155</v>
      </c>
      <c r="N37" s="515"/>
      <c r="O37" s="108" t="s">
        <v>156</v>
      </c>
      <c r="P37" s="509"/>
      <c r="Q37" s="518"/>
      <c r="R37" s="504"/>
      <c r="S37" s="505"/>
      <c r="T37" s="502" t="str">
        <f t="shared" si="7"/>
        <v>-</v>
      </c>
      <c r="U37" s="503" t="e">
        <f t="shared" si="5"/>
        <v>#VALUE!</v>
      </c>
      <c r="V37" s="46"/>
    </row>
    <row r="38" spans="1:25" ht="12.75" customHeight="1">
      <c r="A38" s="488" t="s">
        <v>155</v>
      </c>
      <c r="B38" s="489"/>
      <c r="C38" s="489"/>
      <c r="D38" s="489"/>
      <c r="E38" s="489"/>
      <c r="F38" s="489"/>
      <c r="G38" s="489"/>
      <c r="H38" s="118" t="s">
        <v>200</v>
      </c>
      <c r="I38" s="194"/>
      <c r="J38" s="175"/>
      <c r="K38" s="195" t="str">
        <f t="shared" si="6"/>
        <v>-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6.75" customHeight="1"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1" spans="1:25" ht="15" customHeight="1">
      <c r="A41"/>
      <c r="B41"/>
      <c r="C41"/>
      <c r="D41"/>
      <c r="E41"/>
      <c r="F41"/>
      <c r="G41"/>
      <c r="H41"/>
      <c r="I41"/>
      <c r="J41"/>
      <c r="K41"/>
      <c r="L41"/>
    </row>
    <row r="42" spans="1:25" ht="15" customHeight="1">
      <c r="A42"/>
      <c r="B42"/>
      <c r="C42"/>
      <c r="D42"/>
      <c r="E42"/>
      <c r="F42"/>
      <c r="G42"/>
      <c r="H42"/>
      <c r="I42"/>
      <c r="J42"/>
      <c r="K42"/>
      <c r="L42"/>
    </row>
    <row r="43" spans="1:25" ht="15" customHeight="1">
      <c r="A43"/>
      <c r="B43"/>
      <c r="C43"/>
      <c r="D43"/>
      <c r="E43"/>
      <c r="F43"/>
      <c r="G43"/>
      <c r="H43"/>
      <c r="I43"/>
      <c r="J43"/>
      <c r="K43"/>
      <c r="L43"/>
    </row>
    <row r="44" spans="1:25" ht="15" customHeight="1">
      <c r="A44"/>
      <c r="B44"/>
      <c r="C44"/>
      <c r="D44"/>
      <c r="E44"/>
      <c r="F44"/>
      <c r="G44"/>
      <c r="H44"/>
      <c r="I44"/>
      <c r="J44"/>
      <c r="K44"/>
      <c r="L44"/>
    </row>
    <row r="45" spans="1:25" ht="15" customHeight="1">
      <c r="A45"/>
      <c r="B45"/>
      <c r="C45"/>
      <c r="D45"/>
      <c r="E45"/>
      <c r="F45"/>
      <c r="G45"/>
      <c r="H45"/>
      <c r="I45"/>
      <c r="J45"/>
      <c r="K45"/>
      <c r="L45"/>
    </row>
    <row r="46" spans="1:25" ht="15" customHeight="1">
      <c r="A46"/>
      <c r="B46"/>
      <c r="C46"/>
      <c r="D46"/>
      <c r="E46"/>
      <c r="F46"/>
      <c r="G46"/>
      <c r="H46"/>
      <c r="I46"/>
      <c r="J46"/>
      <c r="K46"/>
      <c r="L46"/>
    </row>
    <row r="47" spans="1:25" ht="15" customHeight="1">
      <c r="A47"/>
      <c r="B47"/>
      <c r="C47"/>
      <c r="D47"/>
      <c r="E47"/>
      <c r="F47"/>
      <c r="G47"/>
      <c r="H47"/>
      <c r="I47"/>
      <c r="J47"/>
      <c r="K47"/>
      <c r="L47"/>
    </row>
    <row r="48" spans="1:25" ht="15" customHeight="1">
      <c r="A48"/>
      <c r="B48"/>
      <c r="C48"/>
      <c r="D48"/>
      <c r="E48"/>
      <c r="F48"/>
      <c r="G48"/>
      <c r="H48"/>
      <c r="I48"/>
      <c r="J48"/>
      <c r="K48"/>
      <c r="L48"/>
    </row>
    <row r="49" spans="1:14" ht="1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</sheetData>
  <mergeCells count="118">
    <mergeCell ref="R33:S33"/>
    <mergeCell ref="P33:Q33"/>
    <mergeCell ref="Q20:R21"/>
    <mergeCell ref="Q28:R28"/>
    <mergeCell ref="S28:T28"/>
    <mergeCell ref="U25:X25"/>
    <mergeCell ref="U28:V28"/>
    <mergeCell ref="U26:V27"/>
    <mergeCell ref="S20:T20"/>
    <mergeCell ref="S21:T21"/>
    <mergeCell ref="S22:T22"/>
    <mergeCell ref="Q22:R22"/>
    <mergeCell ref="Q26:R27"/>
    <mergeCell ref="S26:T26"/>
    <mergeCell ref="S27:T27"/>
    <mergeCell ref="O22:P22"/>
    <mergeCell ref="M31:O32"/>
    <mergeCell ref="M37:N37"/>
    <mergeCell ref="M36:N36"/>
    <mergeCell ref="M35:N35"/>
    <mergeCell ref="M34:N34"/>
    <mergeCell ref="M33:N33"/>
    <mergeCell ref="O28:P28"/>
    <mergeCell ref="L25:N25"/>
    <mergeCell ref="P37:Q37"/>
    <mergeCell ref="P35:Q35"/>
    <mergeCell ref="P36:Q36"/>
    <mergeCell ref="P34:Q34"/>
    <mergeCell ref="Q12:R12"/>
    <mergeCell ref="Q14:R14"/>
    <mergeCell ref="Q15:R15"/>
    <mergeCell ref="S8:T8"/>
    <mergeCell ref="S9:T9"/>
    <mergeCell ref="S11:T11"/>
    <mergeCell ref="S12:T12"/>
    <mergeCell ref="O5:T5"/>
    <mergeCell ref="O6:P7"/>
    <mergeCell ref="O8:P8"/>
    <mergeCell ref="O15:P15"/>
    <mergeCell ref="O14:P14"/>
    <mergeCell ref="O12:P12"/>
    <mergeCell ref="O11:P11"/>
    <mergeCell ref="O9:P9"/>
    <mergeCell ref="S14:T14"/>
    <mergeCell ref="S15:T15"/>
    <mergeCell ref="S7:T7"/>
    <mergeCell ref="O10:P10"/>
    <mergeCell ref="Q10:R10"/>
    <mergeCell ref="S10:T10"/>
    <mergeCell ref="O13:P13"/>
    <mergeCell ref="Q13:R13"/>
    <mergeCell ref="S13:T13"/>
    <mergeCell ref="A38:G38"/>
    <mergeCell ref="R31:S32"/>
    <mergeCell ref="P31:Q32"/>
    <mergeCell ref="T32:U32"/>
    <mergeCell ref="T31:U31"/>
    <mergeCell ref="L26:L27"/>
    <mergeCell ref="A37:G37"/>
    <mergeCell ref="A31:H32"/>
    <mergeCell ref="I31:I32"/>
    <mergeCell ref="A33:G33"/>
    <mergeCell ref="A34:G34"/>
    <mergeCell ref="A35:G35"/>
    <mergeCell ref="A36:G36"/>
    <mergeCell ref="I26:I27"/>
    <mergeCell ref="O26:P27"/>
    <mergeCell ref="T37:U37"/>
    <mergeCell ref="R37:S37"/>
    <mergeCell ref="R35:S35"/>
    <mergeCell ref="T35:U35"/>
    <mergeCell ref="R36:S36"/>
    <mergeCell ref="T36:U36"/>
    <mergeCell ref="R34:S34"/>
    <mergeCell ref="T34:U34"/>
    <mergeCell ref="T33:U33"/>
    <mergeCell ref="J31:J32"/>
    <mergeCell ref="V1:X1"/>
    <mergeCell ref="V2:X2"/>
    <mergeCell ref="I25:K25"/>
    <mergeCell ref="I19:K19"/>
    <mergeCell ref="J6:J7"/>
    <mergeCell ref="I6:I7"/>
    <mergeCell ref="L6:L7"/>
    <mergeCell ref="M6:M7"/>
    <mergeCell ref="L19:N19"/>
    <mergeCell ref="M20:M21"/>
    <mergeCell ref="I20:I21"/>
    <mergeCell ref="W26:W27"/>
    <mergeCell ref="M26:M27"/>
    <mergeCell ref="L20:L21"/>
    <mergeCell ref="J26:J27"/>
    <mergeCell ref="O19:T19"/>
    <mergeCell ref="O20:P21"/>
    <mergeCell ref="O25:T25"/>
    <mergeCell ref="S6:T6"/>
    <mergeCell ref="Q6:R7"/>
    <mergeCell ref="Q8:R8"/>
    <mergeCell ref="Q9:R9"/>
    <mergeCell ref="Q11:R11"/>
    <mergeCell ref="A28:G28"/>
    <mergeCell ref="A15:G15"/>
    <mergeCell ref="A25:H27"/>
    <mergeCell ref="A22:G22"/>
    <mergeCell ref="A19:H21"/>
    <mergeCell ref="A5:H7"/>
    <mergeCell ref="I5:K5"/>
    <mergeCell ref="L5:N5"/>
    <mergeCell ref="A8:B11"/>
    <mergeCell ref="C8:G8"/>
    <mergeCell ref="C9:G9"/>
    <mergeCell ref="C10:G10"/>
    <mergeCell ref="C11:G11"/>
    <mergeCell ref="J20:J21"/>
    <mergeCell ref="A12:B14"/>
    <mergeCell ref="C12:G12"/>
    <mergeCell ref="C13:G13"/>
    <mergeCell ref="C14:G14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showGridLines="0" view="pageBreakPreview" zoomScaleNormal="100" zoomScaleSheetLayoutView="100" workbookViewId="0"/>
  </sheetViews>
  <sheetFormatPr defaultRowHeight="15" customHeight="1"/>
  <cols>
    <col min="1" max="4" width="2.625" style="2" customWidth="1"/>
    <col min="5" max="5" width="17.625" style="2" customWidth="1"/>
    <col min="6" max="7" width="11.75" style="2" customWidth="1"/>
    <col min="8" max="8" width="9" style="2"/>
    <col min="9" max="10" width="11.75" style="2" customWidth="1"/>
    <col min="11" max="11" width="10.625" style="2" customWidth="1"/>
    <col min="12" max="12" width="10.625" style="19" customWidth="1"/>
    <col min="13" max="15" width="9.125" style="19" customWidth="1"/>
    <col min="16" max="17" width="6.625" style="2" customWidth="1"/>
    <col min="18" max="20" width="6.875" style="2" customWidth="1"/>
    <col min="21" max="25" width="5.625" style="2" customWidth="1"/>
    <col min="26" max="16384" width="9" style="2"/>
  </cols>
  <sheetData>
    <row r="1" spans="1:25" ht="14.25" customHeight="1">
      <c r="A1" s="1" t="str">
        <f>No.1!A1&amp;"年産 組織法人経営体に関する経営分析調査(麦類・そば・なたね・畑作物生産費(組織法人経営))"</f>
        <v>2019年産 組織法人経営体に関する経営分析調査(麦類・そば・なたね・畑作物生産費(組織法人経営))</v>
      </c>
      <c r="B1" s="1"/>
      <c r="C1" s="1"/>
      <c r="D1" s="1"/>
      <c r="E1" s="1"/>
      <c r="F1" s="1"/>
      <c r="G1" s="1"/>
      <c r="H1" s="1"/>
      <c r="I1" s="1"/>
      <c r="J1" s="1"/>
      <c r="K1"/>
      <c r="L1"/>
      <c r="M1" s="463" t="s">
        <v>111</v>
      </c>
      <c r="N1" s="463"/>
      <c r="O1" s="463"/>
      <c r="P1"/>
      <c r="Q1"/>
      <c r="R1"/>
      <c r="S1"/>
    </row>
    <row r="2" spans="1:25" ht="15" customHeight="1">
      <c r="A2" s="1" t="s">
        <v>188</v>
      </c>
      <c r="B2" s="1"/>
      <c r="C2" s="1"/>
      <c r="D2" s="1"/>
      <c r="E2" s="1"/>
      <c r="F2" s="1"/>
      <c r="G2" s="1"/>
      <c r="H2" s="1"/>
      <c r="I2" s="98"/>
      <c r="J2" s="98"/>
      <c r="K2"/>
      <c r="L2"/>
      <c r="M2" s="406" t="str">
        <f>IF(No.1!O2="","",No.1!O2)</f>
        <v/>
      </c>
      <c r="N2" s="407"/>
      <c r="O2" s="408"/>
      <c r="P2"/>
      <c r="Q2"/>
      <c r="R2"/>
      <c r="S2"/>
    </row>
    <row r="3" spans="1:25" ht="13.7" customHeight="1">
      <c r="A3" s="11"/>
      <c r="B3" s="11"/>
      <c r="C3" s="11"/>
      <c r="D3" s="11"/>
      <c r="E3" s="11"/>
      <c r="F3" s="11"/>
      <c r="G3" s="11"/>
      <c r="H3" s="11"/>
      <c r="L3" s="2"/>
      <c r="M3" s="2"/>
      <c r="N3" s="2"/>
      <c r="O3" s="2"/>
      <c r="P3" s="4"/>
      <c r="Q3" s="4"/>
      <c r="R3" s="4"/>
    </row>
    <row r="4" spans="1:25" ht="13.7" customHeight="1">
      <c r="A4" s="5" t="s">
        <v>202</v>
      </c>
      <c r="J4" s="12"/>
      <c r="K4" s="12"/>
      <c r="L4" s="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3.7" customHeight="1">
      <c r="A5" s="382"/>
      <c r="B5" s="383"/>
      <c r="C5" s="383"/>
      <c r="D5" s="383"/>
      <c r="E5" s="383"/>
      <c r="F5" s="530" t="s">
        <v>203</v>
      </c>
      <c r="G5" s="531"/>
      <c r="H5" s="532"/>
      <c r="I5" s="531" t="s">
        <v>39</v>
      </c>
      <c r="J5" s="531"/>
      <c r="K5" s="532"/>
      <c r="L5" s="59"/>
      <c r="M5" s="72"/>
      <c r="N5" s="72"/>
      <c r="O5" s="72"/>
      <c r="P5" s="12"/>
      <c r="Q5" s="12"/>
      <c r="R5" s="12"/>
      <c r="S5" s="12"/>
      <c r="T5" s="12"/>
      <c r="U5" s="12"/>
      <c r="V5" s="12"/>
    </row>
    <row r="6" spans="1:25" ht="13.7" customHeight="1">
      <c r="A6" s="528"/>
      <c r="B6" s="529"/>
      <c r="C6" s="529"/>
      <c r="D6" s="529"/>
      <c r="E6" s="529"/>
      <c r="F6" s="125">
        <f>No.1!H5</f>
        <v>19</v>
      </c>
      <c r="G6" s="127">
        <f>F6-1</f>
        <v>18</v>
      </c>
      <c r="H6" s="27" t="s">
        <v>1</v>
      </c>
      <c r="I6" s="126">
        <f>F6</f>
        <v>19</v>
      </c>
      <c r="J6" s="127">
        <f>G6</f>
        <v>18</v>
      </c>
      <c r="K6" s="27" t="s">
        <v>1</v>
      </c>
      <c r="L6" s="72"/>
      <c r="M6" s="72"/>
      <c r="N6" s="72"/>
      <c r="O6" s="72"/>
      <c r="P6" s="12"/>
      <c r="Q6" s="12"/>
      <c r="R6" s="12"/>
      <c r="S6" s="12"/>
      <c r="T6" s="12"/>
      <c r="U6" s="12"/>
      <c r="V6" s="12"/>
    </row>
    <row r="7" spans="1:25" ht="13.7" customHeight="1">
      <c r="A7" s="385"/>
      <c r="B7" s="386"/>
      <c r="C7" s="386"/>
      <c r="D7" s="386"/>
      <c r="E7" s="386"/>
      <c r="F7" s="115" t="s">
        <v>204</v>
      </c>
      <c r="G7" s="119" t="s">
        <v>204</v>
      </c>
      <c r="H7" s="30" t="s">
        <v>158</v>
      </c>
      <c r="I7" s="31" t="s">
        <v>40</v>
      </c>
      <c r="J7" s="7" t="s">
        <v>2</v>
      </c>
      <c r="K7" s="8" t="s">
        <v>158</v>
      </c>
      <c r="L7" s="72"/>
      <c r="M7" s="72"/>
      <c r="N7" s="72"/>
      <c r="O7" s="72"/>
      <c r="P7" s="12"/>
      <c r="Q7" s="12"/>
      <c r="R7" s="12"/>
      <c r="S7" s="12"/>
      <c r="T7" s="12"/>
      <c r="U7" s="12"/>
      <c r="V7" s="12"/>
    </row>
    <row r="8" spans="1:25" ht="12.2" customHeight="1">
      <c r="A8" s="379" t="s">
        <v>173</v>
      </c>
      <c r="B8" s="380"/>
      <c r="C8" s="380"/>
      <c r="D8" s="380"/>
      <c r="E8" s="380"/>
      <c r="F8" s="128"/>
      <c r="G8" s="129"/>
      <c r="H8" s="136"/>
      <c r="I8" s="201"/>
      <c r="J8" s="163"/>
      <c r="K8" s="202" t="str">
        <f>IFERROR(100*(I8-J8)/J8,"-")</f>
        <v>-</v>
      </c>
      <c r="L8" s="59"/>
      <c r="M8" s="59"/>
      <c r="N8" s="59"/>
      <c r="O8" s="59"/>
      <c r="P8" s="12"/>
      <c r="Q8" s="12"/>
    </row>
    <row r="9" spans="1:25" ht="12.2" customHeight="1">
      <c r="A9" s="82"/>
      <c r="B9" s="395" t="s">
        <v>174</v>
      </c>
      <c r="C9" s="396"/>
      <c r="D9" s="396"/>
      <c r="E9" s="396"/>
      <c r="F9" s="130"/>
      <c r="G9" s="131"/>
      <c r="H9" s="137"/>
      <c r="I9" s="201"/>
      <c r="J9" s="163"/>
      <c r="K9" s="203" t="str">
        <f t="shared" ref="K9:K46" si="0">IFERROR(100*(I9-J9)/J9,"-")</f>
        <v>-</v>
      </c>
      <c r="L9" s="59"/>
      <c r="M9" s="59"/>
      <c r="N9" s="59"/>
      <c r="O9" s="59"/>
      <c r="P9" s="12"/>
      <c r="Q9" s="12"/>
    </row>
    <row r="10" spans="1:25" ht="12.2" customHeight="1">
      <c r="A10" s="28"/>
      <c r="B10" s="84"/>
      <c r="C10" s="32"/>
      <c r="D10" s="363" t="s">
        <v>70</v>
      </c>
      <c r="E10" s="364"/>
      <c r="F10" s="130"/>
      <c r="G10" s="131"/>
      <c r="H10" s="137"/>
      <c r="I10" s="201"/>
      <c r="J10" s="163"/>
      <c r="K10" s="203" t="str">
        <f t="shared" si="0"/>
        <v>-</v>
      </c>
      <c r="L10" s="59"/>
      <c r="M10" s="59"/>
      <c r="N10" s="59"/>
      <c r="O10" s="59"/>
      <c r="P10" s="12"/>
      <c r="Q10" s="12"/>
    </row>
    <row r="11" spans="1:25" ht="12.2" customHeight="1">
      <c r="A11" s="82"/>
      <c r="B11" s="84"/>
      <c r="C11" s="363" t="s">
        <v>219</v>
      </c>
      <c r="D11" s="365"/>
      <c r="E11" s="365"/>
      <c r="F11" s="130"/>
      <c r="G11" s="131"/>
      <c r="H11" s="137"/>
      <c r="I11" s="201"/>
      <c r="J11" s="163"/>
      <c r="K11" s="203" t="str">
        <f t="shared" si="0"/>
        <v>-</v>
      </c>
      <c r="L11" s="59"/>
      <c r="M11" s="59"/>
      <c r="N11" s="59"/>
      <c r="O11" s="59"/>
      <c r="P11" s="12"/>
      <c r="Q11" s="12"/>
    </row>
    <row r="12" spans="1:25" ht="12.2" customHeight="1">
      <c r="A12" s="82"/>
      <c r="B12" s="84"/>
      <c r="C12" s="363" t="s">
        <v>41</v>
      </c>
      <c r="D12" s="365"/>
      <c r="E12" s="365"/>
      <c r="F12" s="130"/>
      <c r="G12" s="131"/>
      <c r="H12" s="137"/>
      <c r="I12" s="201"/>
      <c r="J12" s="163"/>
      <c r="K12" s="203" t="str">
        <f t="shared" si="0"/>
        <v>-</v>
      </c>
      <c r="L12" s="59"/>
      <c r="M12" s="59"/>
      <c r="N12" s="59"/>
      <c r="O12" s="59"/>
      <c r="P12" s="12"/>
      <c r="Q12" s="12"/>
    </row>
    <row r="13" spans="1:25" ht="12.2" customHeight="1">
      <c r="A13" s="82"/>
      <c r="B13" s="84"/>
      <c r="C13" s="363" t="s">
        <v>42</v>
      </c>
      <c r="D13" s="365"/>
      <c r="E13" s="365"/>
      <c r="F13" s="130"/>
      <c r="G13" s="131"/>
      <c r="H13" s="137"/>
      <c r="I13" s="201"/>
      <c r="J13" s="163"/>
      <c r="K13" s="203" t="str">
        <f t="shared" si="0"/>
        <v>-</v>
      </c>
      <c r="L13" s="59"/>
      <c r="M13" s="59"/>
      <c r="N13" s="59"/>
      <c r="O13" s="59"/>
      <c r="P13" s="12"/>
      <c r="Q13" s="12"/>
    </row>
    <row r="14" spans="1:25" ht="12.2" customHeight="1">
      <c r="A14" s="82"/>
      <c r="B14" s="84"/>
      <c r="C14" s="363" t="s">
        <v>43</v>
      </c>
      <c r="D14" s="365"/>
      <c r="E14" s="365"/>
      <c r="F14" s="130"/>
      <c r="G14" s="131"/>
      <c r="H14" s="137"/>
      <c r="I14" s="201"/>
      <c r="J14" s="163"/>
      <c r="K14" s="203" t="str">
        <f t="shared" si="0"/>
        <v>-</v>
      </c>
      <c r="L14" s="59"/>
      <c r="M14" s="59"/>
      <c r="N14" s="59"/>
      <c r="O14" s="59"/>
      <c r="P14" s="12"/>
      <c r="Q14" s="12"/>
    </row>
    <row r="15" spans="1:25" ht="12.2" customHeight="1">
      <c r="A15" s="28"/>
      <c r="B15" s="84"/>
      <c r="C15" s="533" t="s">
        <v>44</v>
      </c>
      <c r="D15" s="534"/>
      <c r="E15" s="535"/>
      <c r="F15" s="130"/>
      <c r="G15" s="131"/>
      <c r="H15" s="137"/>
      <c r="I15" s="201"/>
      <c r="J15" s="163"/>
      <c r="K15" s="203" t="str">
        <f t="shared" si="0"/>
        <v>-</v>
      </c>
      <c r="L15" s="59"/>
      <c r="M15" s="59"/>
      <c r="N15" s="59"/>
      <c r="O15" s="59"/>
      <c r="P15" s="12"/>
      <c r="Q15" s="12"/>
    </row>
    <row r="16" spans="1:25" ht="12.2" customHeight="1">
      <c r="A16" s="28"/>
      <c r="B16" s="84"/>
      <c r="C16" s="363" t="s">
        <v>45</v>
      </c>
      <c r="D16" s="365"/>
      <c r="E16" s="365"/>
      <c r="F16" s="130"/>
      <c r="G16" s="131"/>
      <c r="H16" s="137"/>
      <c r="I16" s="201"/>
      <c r="J16" s="163"/>
      <c r="K16" s="203" t="str">
        <f t="shared" si="0"/>
        <v>-</v>
      </c>
      <c r="L16" s="59"/>
      <c r="M16" s="59"/>
      <c r="N16" s="59"/>
      <c r="O16" s="59"/>
      <c r="P16" s="12"/>
      <c r="Q16" s="12"/>
    </row>
    <row r="17" spans="1:17" ht="12.2" customHeight="1">
      <c r="A17" s="82"/>
      <c r="B17" s="84"/>
      <c r="C17" s="363" t="s">
        <v>46</v>
      </c>
      <c r="D17" s="365"/>
      <c r="E17" s="364"/>
      <c r="F17" s="130"/>
      <c r="G17" s="131"/>
      <c r="H17" s="137"/>
      <c r="I17" s="201"/>
      <c r="J17" s="163"/>
      <c r="K17" s="203" t="str">
        <f t="shared" si="0"/>
        <v>-</v>
      </c>
      <c r="L17" s="59"/>
      <c r="M17" s="59"/>
      <c r="N17" s="59"/>
      <c r="O17" s="59"/>
      <c r="P17" s="12"/>
      <c r="Q17" s="12"/>
    </row>
    <row r="18" spans="1:17" ht="12.2" customHeight="1">
      <c r="A18" s="28"/>
      <c r="B18" s="84"/>
      <c r="C18" s="363" t="s">
        <v>37</v>
      </c>
      <c r="D18" s="365"/>
      <c r="E18" s="364"/>
      <c r="F18" s="130"/>
      <c r="G18" s="131"/>
      <c r="H18" s="137"/>
      <c r="I18" s="201"/>
      <c r="J18" s="163"/>
      <c r="K18" s="203" t="str">
        <f t="shared" si="0"/>
        <v>-</v>
      </c>
      <c r="L18" s="59"/>
      <c r="M18" s="72"/>
      <c r="N18" s="72"/>
      <c r="O18" s="72"/>
      <c r="P18" s="12"/>
      <c r="Q18" s="12"/>
    </row>
    <row r="19" spans="1:17" ht="12.2" customHeight="1">
      <c r="A19" s="28"/>
      <c r="B19" s="395" t="s">
        <v>47</v>
      </c>
      <c r="C19" s="396"/>
      <c r="D19" s="396"/>
      <c r="E19" s="396"/>
      <c r="F19" s="130"/>
      <c r="G19" s="131"/>
      <c r="H19" s="137"/>
      <c r="I19" s="201"/>
      <c r="J19" s="163"/>
      <c r="K19" s="203" t="str">
        <f t="shared" si="0"/>
        <v>-</v>
      </c>
      <c r="L19" s="59"/>
      <c r="M19" s="59"/>
      <c r="N19" s="59"/>
      <c r="O19" s="59"/>
      <c r="P19" s="12"/>
      <c r="Q19" s="12"/>
    </row>
    <row r="20" spans="1:17" ht="12.2" customHeight="1">
      <c r="A20" s="28"/>
      <c r="B20" s="84"/>
      <c r="C20" s="33"/>
      <c r="D20" s="363" t="s">
        <v>70</v>
      </c>
      <c r="E20" s="364"/>
      <c r="F20" s="130"/>
      <c r="G20" s="131"/>
      <c r="H20" s="137"/>
      <c r="I20" s="201"/>
      <c r="J20" s="163"/>
      <c r="K20" s="203" t="str">
        <f t="shared" si="0"/>
        <v>-</v>
      </c>
      <c r="L20" s="81"/>
      <c r="M20" s="81"/>
      <c r="N20" s="81"/>
      <c r="O20" s="81"/>
      <c r="P20" s="12"/>
      <c r="Q20" s="12"/>
    </row>
    <row r="21" spans="1:17" ht="12.2" customHeight="1">
      <c r="A21" s="28"/>
      <c r="B21" s="84"/>
      <c r="C21" s="363" t="s">
        <v>169</v>
      </c>
      <c r="D21" s="365"/>
      <c r="E21" s="365"/>
      <c r="F21" s="204"/>
      <c r="G21" s="205"/>
      <c r="H21" s="203" t="str">
        <f>IFERROR(100*(F21-G21)/G21,"-")</f>
        <v>-</v>
      </c>
      <c r="I21" s="201"/>
      <c r="J21" s="163"/>
      <c r="K21" s="203" t="str">
        <f t="shared" si="0"/>
        <v>-</v>
      </c>
      <c r="L21" s="59"/>
      <c r="M21" s="59"/>
      <c r="N21" s="59"/>
      <c r="O21" s="59"/>
      <c r="P21" s="12"/>
      <c r="Q21" s="12"/>
    </row>
    <row r="22" spans="1:17" ht="12.2" customHeight="1">
      <c r="A22" s="28"/>
      <c r="B22" s="84"/>
      <c r="C22" s="363" t="s">
        <v>37</v>
      </c>
      <c r="D22" s="365"/>
      <c r="E22" s="365"/>
      <c r="F22" s="130"/>
      <c r="G22" s="131"/>
      <c r="H22" s="137"/>
      <c r="I22" s="201"/>
      <c r="J22" s="163"/>
      <c r="K22" s="203" t="str">
        <f t="shared" si="0"/>
        <v>-</v>
      </c>
      <c r="L22" s="59"/>
      <c r="M22" s="59"/>
      <c r="N22" s="59"/>
      <c r="O22" s="59"/>
      <c r="P22" s="12"/>
      <c r="Q22" s="12"/>
    </row>
    <row r="23" spans="1:17" ht="12.2" customHeight="1">
      <c r="A23" s="28"/>
      <c r="B23" s="395" t="s">
        <v>48</v>
      </c>
      <c r="C23" s="396"/>
      <c r="D23" s="396"/>
      <c r="E23" s="396"/>
      <c r="F23" s="130"/>
      <c r="G23" s="131"/>
      <c r="H23" s="137"/>
      <c r="I23" s="201"/>
      <c r="J23" s="163"/>
      <c r="K23" s="203" t="str">
        <f t="shared" si="0"/>
        <v>-</v>
      </c>
      <c r="L23" s="59"/>
      <c r="M23" s="59"/>
      <c r="N23" s="59"/>
      <c r="O23" s="59"/>
      <c r="P23" s="12"/>
      <c r="Q23" s="12"/>
    </row>
    <row r="24" spans="1:17" ht="12.2" customHeight="1">
      <c r="A24" s="34"/>
      <c r="B24" s="35"/>
      <c r="C24" s="83"/>
      <c r="D24" s="363" t="s">
        <v>70</v>
      </c>
      <c r="E24" s="364"/>
      <c r="F24" s="132"/>
      <c r="G24" s="133"/>
      <c r="H24" s="138"/>
      <c r="I24" s="201"/>
      <c r="J24" s="165"/>
      <c r="K24" s="206" t="str">
        <f t="shared" si="0"/>
        <v>-</v>
      </c>
      <c r="L24" s="81"/>
      <c r="M24" s="81"/>
      <c r="N24" s="81"/>
      <c r="O24" s="81"/>
    </row>
    <row r="25" spans="1:17" ht="12.2" customHeight="1">
      <c r="A25" s="82"/>
      <c r="B25" s="36"/>
      <c r="C25" s="536" t="s">
        <v>159</v>
      </c>
      <c r="D25" s="537"/>
      <c r="E25" s="80" t="s">
        <v>49</v>
      </c>
      <c r="F25" s="204"/>
      <c r="G25" s="205"/>
      <c r="H25" s="203" t="str">
        <f t="shared" ref="H25:H43" si="1">IFERROR(100*(F25-G25)/G25,"-")</f>
        <v>-</v>
      </c>
      <c r="I25" s="201"/>
      <c r="J25" s="163"/>
      <c r="K25" s="203" t="str">
        <f t="shared" si="0"/>
        <v>-</v>
      </c>
      <c r="L25" s="59"/>
      <c r="M25" s="59"/>
      <c r="N25" s="59"/>
      <c r="O25" s="59"/>
    </row>
    <row r="26" spans="1:17" ht="12.2" customHeight="1">
      <c r="A26" s="82"/>
      <c r="B26" s="36"/>
      <c r="C26" s="538"/>
      <c r="D26" s="539"/>
      <c r="E26" s="102" t="s">
        <v>50</v>
      </c>
      <c r="F26" s="204"/>
      <c r="G26" s="207"/>
      <c r="H26" s="203" t="str">
        <f t="shared" si="1"/>
        <v>-</v>
      </c>
      <c r="I26" s="201"/>
      <c r="J26" s="163"/>
      <c r="K26" s="203" t="str">
        <f t="shared" si="0"/>
        <v>-</v>
      </c>
      <c r="L26" s="59"/>
      <c r="M26" s="59"/>
      <c r="N26" s="59"/>
      <c r="O26" s="59"/>
    </row>
    <row r="27" spans="1:17" ht="12.2" customHeight="1">
      <c r="A27" s="82"/>
      <c r="B27" s="37"/>
      <c r="C27" s="540"/>
      <c r="D27" s="541"/>
      <c r="E27" s="80" t="s">
        <v>51</v>
      </c>
      <c r="F27" s="204"/>
      <c r="G27" s="207"/>
      <c r="H27" s="203" t="str">
        <f t="shared" si="1"/>
        <v>-</v>
      </c>
      <c r="I27" s="201"/>
      <c r="J27" s="163"/>
      <c r="K27" s="203" t="str">
        <f t="shared" si="0"/>
        <v>-</v>
      </c>
      <c r="L27" s="59"/>
      <c r="M27" s="72"/>
      <c r="N27" s="72"/>
      <c r="O27" s="72"/>
    </row>
    <row r="28" spans="1:17" ht="12.2" customHeight="1">
      <c r="A28" s="34"/>
      <c r="B28" s="38"/>
      <c r="C28" s="363" t="s">
        <v>68</v>
      </c>
      <c r="D28" s="365"/>
      <c r="E28" s="365"/>
      <c r="F28" s="204"/>
      <c r="G28" s="207"/>
      <c r="H28" s="203" t="str">
        <f t="shared" si="1"/>
        <v>-</v>
      </c>
      <c r="I28" s="201"/>
      <c r="J28" s="163"/>
      <c r="K28" s="203" t="str">
        <f t="shared" si="0"/>
        <v>-</v>
      </c>
      <c r="L28" s="59"/>
      <c r="M28" s="72"/>
      <c r="N28" s="72"/>
      <c r="O28" s="72"/>
    </row>
    <row r="29" spans="1:17" ht="12.2" customHeight="1">
      <c r="A29" s="34"/>
      <c r="B29" s="38"/>
      <c r="C29" s="363" t="s">
        <v>69</v>
      </c>
      <c r="D29" s="365"/>
      <c r="E29" s="365"/>
      <c r="F29" s="204"/>
      <c r="G29" s="207"/>
      <c r="H29" s="203" t="str">
        <f t="shared" si="1"/>
        <v>-</v>
      </c>
      <c r="I29" s="201"/>
      <c r="J29" s="163"/>
      <c r="K29" s="203" t="str">
        <f t="shared" si="0"/>
        <v>-</v>
      </c>
      <c r="L29" s="59"/>
      <c r="M29" s="59"/>
      <c r="N29" s="59"/>
      <c r="O29" s="59"/>
    </row>
    <row r="30" spans="1:17" ht="12.2" customHeight="1">
      <c r="A30" s="34"/>
      <c r="B30" s="38"/>
      <c r="C30" s="363" t="s">
        <v>52</v>
      </c>
      <c r="D30" s="365"/>
      <c r="E30" s="365"/>
      <c r="F30" s="204"/>
      <c r="G30" s="205"/>
      <c r="H30" s="203" t="str">
        <f t="shared" si="1"/>
        <v>-</v>
      </c>
      <c r="I30" s="201"/>
      <c r="J30" s="163"/>
      <c r="K30" s="203" t="str">
        <f t="shared" si="0"/>
        <v>-</v>
      </c>
      <c r="L30" s="59"/>
      <c r="M30" s="59"/>
      <c r="N30" s="59"/>
      <c r="O30" s="59"/>
    </row>
    <row r="31" spans="1:17" ht="12.2" customHeight="1">
      <c r="A31" s="34"/>
      <c r="B31" s="38"/>
      <c r="C31" s="363" t="s">
        <v>53</v>
      </c>
      <c r="D31" s="365"/>
      <c r="E31" s="365"/>
      <c r="F31" s="204"/>
      <c r="G31" s="205"/>
      <c r="H31" s="203" t="str">
        <f t="shared" si="1"/>
        <v>-</v>
      </c>
      <c r="I31" s="201"/>
      <c r="J31" s="163"/>
      <c r="K31" s="203" t="str">
        <f t="shared" si="0"/>
        <v>-</v>
      </c>
      <c r="L31" s="59"/>
      <c r="M31" s="59"/>
      <c r="N31" s="59"/>
      <c r="O31" s="59"/>
    </row>
    <row r="32" spans="1:17" ht="12.2" customHeight="1">
      <c r="A32" s="34"/>
      <c r="B32" s="38"/>
      <c r="C32" s="363" t="s">
        <v>54</v>
      </c>
      <c r="D32" s="365"/>
      <c r="E32" s="365"/>
      <c r="F32" s="204"/>
      <c r="G32" s="205"/>
      <c r="H32" s="203" t="str">
        <f t="shared" si="1"/>
        <v>-</v>
      </c>
      <c r="I32" s="201"/>
      <c r="J32" s="163"/>
      <c r="K32" s="203" t="str">
        <f t="shared" si="0"/>
        <v>-</v>
      </c>
      <c r="L32" s="59"/>
      <c r="M32" s="59"/>
      <c r="N32" s="59"/>
      <c r="O32" s="59"/>
    </row>
    <row r="33" spans="1:17" ht="12.2" customHeight="1">
      <c r="A33" s="34"/>
      <c r="B33" s="38"/>
      <c r="C33" s="363" t="s">
        <v>55</v>
      </c>
      <c r="D33" s="365"/>
      <c r="E33" s="365"/>
      <c r="F33" s="204"/>
      <c r="G33" s="205"/>
      <c r="H33" s="203" t="str">
        <f t="shared" si="1"/>
        <v>-</v>
      </c>
      <c r="I33" s="201"/>
      <c r="J33" s="163"/>
      <c r="K33" s="203" t="str">
        <f t="shared" si="0"/>
        <v>-</v>
      </c>
      <c r="L33" s="59"/>
      <c r="M33" s="59"/>
      <c r="N33" s="59"/>
      <c r="O33" s="59"/>
    </row>
    <row r="34" spans="1:17" ht="12.2" customHeight="1">
      <c r="A34" s="34"/>
      <c r="B34" s="38"/>
      <c r="C34" s="395" t="s">
        <v>212</v>
      </c>
      <c r="D34" s="396"/>
      <c r="E34" s="396"/>
      <c r="F34" s="204"/>
      <c r="G34" s="207"/>
      <c r="H34" s="203" t="str">
        <f t="shared" si="1"/>
        <v>-</v>
      </c>
      <c r="I34" s="201"/>
      <c r="J34" s="163"/>
      <c r="K34" s="203" t="str">
        <f t="shared" si="0"/>
        <v>-</v>
      </c>
      <c r="L34" s="59"/>
      <c r="M34" s="59"/>
      <c r="N34" s="59"/>
      <c r="O34" s="59"/>
    </row>
    <row r="35" spans="1:17" ht="12.2" customHeight="1">
      <c r="A35" s="34"/>
      <c r="B35" s="38"/>
      <c r="C35" s="363" t="s">
        <v>56</v>
      </c>
      <c r="D35" s="365"/>
      <c r="E35" s="365"/>
      <c r="F35" s="204"/>
      <c r="G35" s="205"/>
      <c r="H35" s="203" t="str">
        <f t="shared" si="1"/>
        <v>-</v>
      </c>
      <c r="I35" s="201"/>
      <c r="J35" s="163"/>
      <c r="K35" s="203" t="str">
        <f t="shared" si="0"/>
        <v>-</v>
      </c>
      <c r="L35" s="59"/>
      <c r="M35" s="59"/>
      <c r="N35" s="59"/>
      <c r="O35" s="59"/>
    </row>
    <row r="36" spans="1:17" ht="12.2" customHeight="1">
      <c r="A36" s="82"/>
      <c r="B36" s="39"/>
      <c r="C36" s="544" t="s">
        <v>160</v>
      </c>
      <c r="D36" s="545"/>
      <c r="E36" s="80" t="s">
        <v>57</v>
      </c>
      <c r="F36" s="204"/>
      <c r="G36" s="205"/>
      <c r="H36" s="203" t="str">
        <f t="shared" si="1"/>
        <v>-</v>
      </c>
      <c r="I36" s="201"/>
      <c r="J36" s="163"/>
      <c r="K36" s="203" t="str">
        <f t="shared" si="0"/>
        <v>-</v>
      </c>
      <c r="L36" s="81"/>
      <c r="M36" s="81"/>
      <c r="N36" s="81"/>
      <c r="O36" s="81"/>
    </row>
    <row r="37" spans="1:17" ht="12.2" customHeight="1">
      <c r="A37" s="82"/>
      <c r="B37" s="40"/>
      <c r="C37" s="546"/>
      <c r="D37" s="547"/>
      <c r="E37" s="80" t="s">
        <v>58</v>
      </c>
      <c r="F37" s="204"/>
      <c r="G37" s="205"/>
      <c r="H37" s="203" t="str">
        <f t="shared" si="1"/>
        <v>-</v>
      </c>
      <c r="I37" s="201"/>
      <c r="J37" s="163"/>
      <c r="K37" s="203" t="str">
        <f t="shared" si="0"/>
        <v>-</v>
      </c>
      <c r="L37" s="59"/>
      <c r="M37" s="72"/>
      <c r="N37" s="72"/>
      <c r="O37" s="72"/>
    </row>
    <row r="38" spans="1:17" ht="12.2" customHeight="1">
      <c r="A38" s="34"/>
      <c r="B38" s="38"/>
      <c r="C38" s="363" t="s">
        <v>59</v>
      </c>
      <c r="D38" s="365"/>
      <c r="E38" s="365"/>
      <c r="F38" s="204"/>
      <c r="G38" s="205"/>
      <c r="H38" s="203" t="str">
        <f t="shared" si="1"/>
        <v>-</v>
      </c>
      <c r="I38" s="201"/>
      <c r="J38" s="163"/>
      <c r="K38" s="203" t="str">
        <f t="shared" si="0"/>
        <v>-</v>
      </c>
      <c r="L38" s="59"/>
      <c r="M38" s="59"/>
      <c r="N38" s="59"/>
      <c r="O38" s="59"/>
    </row>
    <row r="39" spans="1:17" ht="12.2" customHeight="1">
      <c r="A39" s="34"/>
      <c r="B39" s="38"/>
      <c r="C39" s="363" t="s">
        <v>60</v>
      </c>
      <c r="D39" s="365"/>
      <c r="E39" s="365"/>
      <c r="F39" s="204"/>
      <c r="G39" s="205"/>
      <c r="H39" s="203" t="str">
        <f t="shared" si="1"/>
        <v>-</v>
      </c>
      <c r="I39" s="201"/>
      <c r="J39" s="163"/>
      <c r="K39" s="203" t="str">
        <f t="shared" si="0"/>
        <v>-</v>
      </c>
      <c r="L39" s="59"/>
      <c r="M39" s="59"/>
      <c r="N39" s="59"/>
      <c r="O39" s="59"/>
    </row>
    <row r="40" spans="1:17" ht="12.2" customHeight="1">
      <c r="A40" s="34"/>
      <c r="B40" s="38"/>
      <c r="C40" s="363" t="s">
        <v>61</v>
      </c>
      <c r="D40" s="365"/>
      <c r="E40" s="365"/>
      <c r="F40" s="204"/>
      <c r="G40" s="205"/>
      <c r="H40" s="203" t="str">
        <f t="shared" si="1"/>
        <v>-</v>
      </c>
      <c r="I40" s="201"/>
      <c r="J40" s="163"/>
      <c r="K40" s="203" t="str">
        <f t="shared" si="0"/>
        <v>-</v>
      </c>
      <c r="L40" s="59"/>
      <c r="M40" s="59"/>
      <c r="N40" s="59"/>
      <c r="O40" s="59"/>
    </row>
    <row r="41" spans="1:17" ht="12.2" customHeight="1">
      <c r="A41" s="34"/>
      <c r="B41" s="38"/>
      <c r="C41" s="363" t="s">
        <v>62</v>
      </c>
      <c r="D41" s="365"/>
      <c r="E41" s="365"/>
      <c r="F41" s="204"/>
      <c r="G41" s="205"/>
      <c r="H41" s="203" t="str">
        <f t="shared" si="1"/>
        <v>-</v>
      </c>
      <c r="I41" s="201"/>
      <c r="J41" s="163"/>
      <c r="K41" s="203" t="str">
        <f t="shared" si="0"/>
        <v>-</v>
      </c>
      <c r="L41" s="59"/>
      <c r="M41" s="59"/>
      <c r="N41" s="59"/>
      <c r="O41" s="59"/>
    </row>
    <row r="42" spans="1:17" ht="12.2" customHeight="1">
      <c r="A42" s="34"/>
      <c r="B42" s="38"/>
      <c r="C42" s="363" t="s">
        <v>63</v>
      </c>
      <c r="D42" s="365"/>
      <c r="E42" s="365"/>
      <c r="F42" s="204"/>
      <c r="G42" s="205"/>
      <c r="H42" s="203" t="str">
        <f t="shared" si="1"/>
        <v>-</v>
      </c>
      <c r="I42" s="201"/>
      <c r="J42" s="163"/>
      <c r="K42" s="203" t="str">
        <f t="shared" si="0"/>
        <v>-</v>
      </c>
      <c r="L42" s="59"/>
      <c r="M42" s="59"/>
      <c r="N42" s="59"/>
      <c r="O42" s="59"/>
    </row>
    <row r="43" spans="1:17" ht="12.2" customHeight="1">
      <c r="A43" s="34"/>
      <c r="B43" s="38"/>
      <c r="C43" s="542" t="s">
        <v>161</v>
      </c>
      <c r="D43" s="543"/>
      <c r="E43" s="543"/>
      <c r="F43" s="204"/>
      <c r="G43" s="205"/>
      <c r="H43" s="203" t="str">
        <f t="shared" si="1"/>
        <v>-</v>
      </c>
      <c r="I43" s="201"/>
      <c r="J43" s="163"/>
      <c r="K43" s="203" t="str">
        <f t="shared" si="0"/>
        <v>-</v>
      </c>
      <c r="L43" s="59"/>
      <c r="M43" s="59"/>
      <c r="N43" s="59"/>
      <c r="O43" s="59"/>
    </row>
    <row r="44" spans="1:17" ht="12.2" customHeight="1">
      <c r="A44" s="34"/>
      <c r="B44" s="38"/>
      <c r="C44" s="542" t="s">
        <v>37</v>
      </c>
      <c r="D44" s="543"/>
      <c r="E44" s="543"/>
      <c r="F44" s="130"/>
      <c r="G44" s="131"/>
      <c r="H44" s="137"/>
      <c r="I44" s="201"/>
      <c r="J44" s="163"/>
      <c r="K44" s="203" t="str">
        <f t="shared" si="0"/>
        <v>-</v>
      </c>
      <c r="L44" s="59"/>
      <c r="M44" s="59"/>
      <c r="N44" s="59"/>
      <c r="O44" s="59"/>
    </row>
    <row r="45" spans="1:17" ht="12.2" customHeight="1">
      <c r="A45" s="28"/>
      <c r="B45" s="395" t="s">
        <v>64</v>
      </c>
      <c r="C45" s="396"/>
      <c r="D45" s="396"/>
      <c r="E45" s="396"/>
      <c r="F45" s="130"/>
      <c r="G45" s="131"/>
      <c r="H45" s="137"/>
      <c r="I45" s="201"/>
      <c r="J45" s="163"/>
      <c r="K45" s="203" t="str">
        <f t="shared" si="0"/>
        <v>-</v>
      </c>
      <c r="L45" s="59"/>
      <c r="M45" s="59"/>
      <c r="N45" s="59"/>
      <c r="O45" s="59"/>
      <c r="P45" s="12"/>
      <c r="Q45" s="12"/>
    </row>
    <row r="46" spans="1:17" ht="12.2" customHeight="1">
      <c r="A46" s="9"/>
      <c r="B46" s="41"/>
      <c r="C46" s="42"/>
      <c r="D46" s="411" t="s">
        <v>70</v>
      </c>
      <c r="E46" s="368"/>
      <c r="F46" s="134"/>
      <c r="G46" s="135"/>
      <c r="H46" s="139"/>
      <c r="I46" s="208"/>
      <c r="J46" s="209"/>
      <c r="K46" s="210" t="str">
        <f t="shared" si="0"/>
        <v>-</v>
      </c>
      <c r="L46" s="59"/>
      <c r="M46" s="59"/>
      <c r="N46" s="59"/>
      <c r="O46" s="59"/>
      <c r="P46" s="12"/>
      <c r="Q46" s="12"/>
    </row>
    <row r="47" spans="1:17" ht="13.7" customHeight="1"/>
    <row r="48" spans="1:17" ht="13.7" customHeight="1"/>
    <row r="49" ht="13.7" customHeight="1"/>
    <row r="50" ht="13.7" customHeight="1"/>
    <row r="51" ht="13.7" customHeight="1"/>
    <row r="52" ht="13.7" customHeight="1"/>
    <row r="53" ht="13.7" customHeight="1"/>
    <row r="54" ht="13.7" customHeight="1"/>
    <row r="55" ht="13.7" customHeight="1"/>
  </sheetData>
  <mergeCells count="41">
    <mergeCell ref="M1:O1"/>
    <mergeCell ref="M2:O2"/>
    <mergeCell ref="C44:E44"/>
    <mergeCell ref="B45:E45"/>
    <mergeCell ref="D46:E46"/>
    <mergeCell ref="C41:E41"/>
    <mergeCell ref="C42:E42"/>
    <mergeCell ref="C43:E43"/>
    <mergeCell ref="C38:E38"/>
    <mergeCell ref="C39:E39"/>
    <mergeCell ref="C40:E40"/>
    <mergeCell ref="C34:E34"/>
    <mergeCell ref="C35:E35"/>
    <mergeCell ref="C36:D37"/>
    <mergeCell ref="C31:E31"/>
    <mergeCell ref="C32:E32"/>
    <mergeCell ref="C33:E33"/>
    <mergeCell ref="C28:E28"/>
    <mergeCell ref="C29:E29"/>
    <mergeCell ref="C30:E30"/>
    <mergeCell ref="C22:E22"/>
    <mergeCell ref="B23:E23"/>
    <mergeCell ref="D24:E24"/>
    <mergeCell ref="C25:D27"/>
    <mergeCell ref="C18:E18"/>
    <mergeCell ref="B19:E19"/>
    <mergeCell ref="D20:E20"/>
    <mergeCell ref="C21:E21"/>
    <mergeCell ref="C15:E15"/>
    <mergeCell ref="C16:E16"/>
    <mergeCell ref="C17:E17"/>
    <mergeCell ref="C13:E13"/>
    <mergeCell ref="C14:E14"/>
    <mergeCell ref="B9:E9"/>
    <mergeCell ref="D10:E10"/>
    <mergeCell ref="C11:E11"/>
    <mergeCell ref="A5:E7"/>
    <mergeCell ref="F5:H5"/>
    <mergeCell ref="I5:K5"/>
    <mergeCell ref="A8:E8"/>
    <mergeCell ref="C12:E12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 組織法人経営体に関する経営分析調査(麦類・そば・なたね・畑作物生産費(組織法人経営))"</f>
        <v>2019年産 組織法人経営体に関する経営分析調査(麦類・そば・なたね・畑作物生産費(組織法人経営))</v>
      </c>
      <c r="B1" s="1"/>
      <c r="C1" s="1"/>
      <c r="D1" s="1"/>
      <c r="E1" s="1"/>
      <c r="F1" s="1"/>
      <c r="G1" s="1"/>
      <c r="H1" s="1"/>
      <c r="I1" s="1"/>
      <c r="J1" s="1"/>
      <c r="K1" s="3"/>
      <c r="M1" s="46"/>
      <c r="N1" s="46"/>
      <c r="O1" s="46"/>
      <c r="Q1" s="322" t="s">
        <v>111</v>
      </c>
      <c r="R1" s="323"/>
      <c r="S1" s="324"/>
    </row>
    <row r="2" spans="1:30" ht="15" customHeight="1">
      <c r="A2" s="1" t="s">
        <v>189</v>
      </c>
      <c r="B2" s="1"/>
      <c r="C2" s="1"/>
      <c r="D2" s="1"/>
      <c r="E2" s="1"/>
      <c r="F2" s="1"/>
      <c r="G2" s="1"/>
      <c r="H2" s="1"/>
      <c r="I2" s="1"/>
      <c r="J2" s="1"/>
      <c r="M2" s="46"/>
      <c r="N2" s="46"/>
      <c r="O2" s="46"/>
      <c r="Q2" s="406" t="str">
        <f>IF(No.1!O2="","",No.1!O2)</f>
        <v/>
      </c>
      <c r="R2" s="407"/>
      <c r="S2" s="408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162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382"/>
      <c r="B5" s="383"/>
      <c r="C5" s="383"/>
      <c r="D5" s="383"/>
      <c r="E5" s="383"/>
      <c r="F5" s="384"/>
      <c r="G5" s="472">
        <f>No.1!H5</f>
        <v>19</v>
      </c>
      <c r="H5" s="548"/>
      <c r="I5" s="564"/>
      <c r="J5" s="472">
        <f>G5-1</f>
        <v>18</v>
      </c>
      <c r="K5" s="548"/>
      <c r="L5" s="479"/>
      <c r="M5" s="549" t="s">
        <v>38</v>
      </c>
      <c r="N5" s="549"/>
      <c r="O5" s="550"/>
      <c r="P5" s="143"/>
      <c r="Q5" s="72"/>
      <c r="R5" s="72"/>
      <c r="S5" s="72"/>
      <c r="T5" s="72"/>
      <c r="U5" s="12"/>
      <c r="V5" s="12"/>
      <c r="W5" s="12"/>
      <c r="X5" s="12"/>
      <c r="Y5" s="12"/>
      <c r="Z5" s="12"/>
      <c r="AA5" s="12"/>
    </row>
    <row r="6" spans="1:30" ht="13.7" customHeight="1">
      <c r="A6" s="528"/>
      <c r="B6" s="529"/>
      <c r="C6" s="529"/>
      <c r="D6" s="529"/>
      <c r="E6" s="529"/>
      <c r="F6" s="563"/>
      <c r="G6" s="13" t="s">
        <v>35</v>
      </c>
      <c r="H6" s="14" t="s">
        <v>11</v>
      </c>
      <c r="I6" s="144" t="s">
        <v>36</v>
      </c>
      <c r="J6" s="13" t="s">
        <v>35</v>
      </c>
      <c r="K6" s="14" t="s">
        <v>11</v>
      </c>
      <c r="L6" s="144" t="s">
        <v>36</v>
      </c>
      <c r="M6" s="15" t="s">
        <v>35</v>
      </c>
      <c r="N6" s="14" t="s">
        <v>11</v>
      </c>
      <c r="O6" s="16" t="s">
        <v>36</v>
      </c>
      <c r="P6" s="72"/>
      <c r="Q6" s="72"/>
      <c r="R6" s="72"/>
      <c r="S6" s="72"/>
      <c r="T6" s="72"/>
      <c r="U6" s="12"/>
      <c r="V6" s="12"/>
      <c r="W6" s="12"/>
      <c r="X6" s="12"/>
      <c r="Y6" s="12"/>
      <c r="Z6" s="12"/>
      <c r="AA6" s="12"/>
    </row>
    <row r="7" spans="1:30" ht="13.7" customHeight="1">
      <c r="A7" s="385"/>
      <c r="B7" s="386"/>
      <c r="C7" s="386"/>
      <c r="D7" s="386"/>
      <c r="E7" s="386"/>
      <c r="F7" s="387"/>
      <c r="G7" s="17" t="s">
        <v>163</v>
      </c>
      <c r="H7" s="18" t="s">
        <v>2</v>
      </c>
      <c r="I7" s="145" t="s">
        <v>2</v>
      </c>
      <c r="J7" s="17" t="s">
        <v>163</v>
      </c>
      <c r="K7" s="18" t="s">
        <v>2</v>
      </c>
      <c r="L7" s="145" t="s">
        <v>2</v>
      </c>
      <c r="M7" s="17" t="s">
        <v>164</v>
      </c>
      <c r="N7" s="18" t="s">
        <v>164</v>
      </c>
      <c r="O7" s="145" t="s">
        <v>164</v>
      </c>
      <c r="P7" s="72"/>
      <c r="Q7" s="72"/>
      <c r="R7" s="72"/>
      <c r="S7" s="72"/>
      <c r="T7" s="72"/>
      <c r="U7" s="12"/>
      <c r="V7" s="12"/>
      <c r="W7" s="12"/>
      <c r="X7" s="12"/>
      <c r="Y7" s="12"/>
      <c r="Z7" s="12"/>
      <c r="AA7" s="12"/>
    </row>
    <row r="8" spans="1:30" ht="13.7" customHeight="1">
      <c r="A8" s="551" t="s">
        <v>88</v>
      </c>
      <c r="B8" s="554" t="s">
        <v>71</v>
      </c>
      <c r="C8" s="556" t="s">
        <v>72</v>
      </c>
      <c r="D8" s="558" t="s">
        <v>73</v>
      </c>
      <c r="E8" s="559"/>
      <c r="F8" s="560"/>
      <c r="G8" s="193"/>
      <c r="H8" s="211"/>
      <c r="I8" s="212"/>
      <c r="J8" s="193"/>
      <c r="K8" s="211"/>
      <c r="L8" s="212"/>
      <c r="M8" s="213" t="str">
        <f>IFERROR(100*(G8-J8)/J8,"-")</f>
        <v>-</v>
      </c>
      <c r="N8" s="214" t="str">
        <f>IFERROR(100*(H8-K8)/K8,"-")</f>
        <v>-</v>
      </c>
      <c r="O8" s="190" t="str">
        <f>IFERROR(100*(I8-L8)/L8,"-")</f>
        <v>-</v>
      </c>
      <c r="P8" s="143"/>
      <c r="Q8" s="143"/>
      <c r="R8" s="143"/>
      <c r="S8" s="143"/>
      <c r="T8" s="59"/>
      <c r="U8" s="12"/>
      <c r="V8" s="12"/>
    </row>
    <row r="9" spans="1:30" ht="13.7" customHeight="1">
      <c r="A9" s="552"/>
      <c r="B9" s="555"/>
      <c r="C9" s="557"/>
      <c r="D9" s="561" t="s">
        <v>74</v>
      </c>
      <c r="E9" s="363"/>
      <c r="F9" s="562"/>
      <c r="G9" s="193"/>
      <c r="H9" s="211"/>
      <c r="I9" s="212"/>
      <c r="J9" s="193"/>
      <c r="K9" s="211"/>
      <c r="L9" s="215"/>
      <c r="M9" s="213" t="str">
        <f t="shared" ref="M9:O24" si="0">IFERROR(100*(G9-J9)/J9,"-")</f>
        <v>-</v>
      </c>
      <c r="N9" s="214" t="str">
        <f t="shared" si="0"/>
        <v>-</v>
      </c>
      <c r="O9" s="190" t="str">
        <f t="shared" si="0"/>
        <v>-</v>
      </c>
      <c r="P9" s="143"/>
      <c r="Q9" s="143"/>
      <c r="R9" s="143"/>
      <c r="S9" s="143"/>
      <c r="T9" s="59"/>
      <c r="U9" s="12"/>
      <c r="V9" s="12"/>
    </row>
    <row r="10" spans="1:30" ht="13.7" customHeight="1">
      <c r="A10" s="552"/>
      <c r="B10" s="555"/>
      <c r="C10" s="557"/>
      <c r="D10" s="561" t="s">
        <v>75</v>
      </c>
      <c r="E10" s="363"/>
      <c r="F10" s="562"/>
      <c r="G10" s="193"/>
      <c r="H10" s="211"/>
      <c r="I10" s="212"/>
      <c r="J10" s="193"/>
      <c r="K10" s="211"/>
      <c r="L10" s="215"/>
      <c r="M10" s="213" t="str">
        <f t="shared" si="0"/>
        <v>-</v>
      </c>
      <c r="N10" s="214" t="str">
        <f t="shared" si="0"/>
        <v>-</v>
      </c>
      <c r="O10" s="190" t="str">
        <f t="shared" si="0"/>
        <v>-</v>
      </c>
      <c r="P10" s="143"/>
      <c r="Q10" s="143"/>
      <c r="R10" s="143"/>
      <c r="S10" s="143"/>
      <c r="T10" s="59"/>
      <c r="U10" s="12"/>
      <c r="V10" s="12"/>
    </row>
    <row r="11" spans="1:30" ht="13.7" customHeight="1">
      <c r="A11" s="552"/>
      <c r="B11" s="555"/>
      <c r="C11" s="557"/>
      <c r="D11" s="561" t="s">
        <v>76</v>
      </c>
      <c r="E11" s="363"/>
      <c r="F11" s="562"/>
      <c r="G11" s="193"/>
      <c r="H11" s="211"/>
      <c r="I11" s="212"/>
      <c r="J11" s="193"/>
      <c r="K11" s="211"/>
      <c r="L11" s="215"/>
      <c r="M11" s="213" t="str">
        <f t="shared" si="0"/>
        <v>-</v>
      </c>
      <c r="N11" s="214" t="str">
        <f t="shared" si="0"/>
        <v>-</v>
      </c>
      <c r="O11" s="190" t="str">
        <f t="shared" si="0"/>
        <v>-</v>
      </c>
      <c r="P11" s="143"/>
      <c r="Q11" s="143"/>
      <c r="R11" s="143"/>
      <c r="S11" s="143"/>
      <c r="T11" s="59"/>
      <c r="U11" s="12"/>
      <c r="V11" s="12"/>
    </row>
    <row r="12" spans="1:30" ht="13.7" customHeight="1">
      <c r="A12" s="552"/>
      <c r="B12" s="555"/>
      <c r="C12" s="557"/>
      <c r="D12" s="561" t="s">
        <v>77</v>
      </c>
      <c r="E12" s="363"/>
      <c r="F12" s="562"/>
      <c r="G12" s="193"/>
      <c r="H12" s="211"/>
      <c r="I12" s="212"/>
      <c r="J12" s="193"/>
      <c r="K12" s="211"/>
      <c r="L12" s="215"/>
      <c r="M12" s="213" t="str">
        <f t="shared" si="0"/>
        <v>-</v>
      </c>
      <c r="N12" s="214" t="str">
        <f t="shared" si="0"/>
        <v>-</v>
      </c>
      <c r="O12" s="190" t="str">
        <f t="shared" si="0"/>
        <v>-</v>
      </c>
      <c r="P12" s="143"/>
      <c r="Q12" s="143"/>
      <c r="R12" s="143"/>
      <c r="S12" s="143"/>
      <c r="T12" s="59"/>
      <c r="U12" s="12"/>
      <c r="V12" s="12"/>
    </row>
    <row r="13" spans="1:30" ht="13.7" customHeight="1">
      <c r="A13" s="552"/>
      <c r="B13" s="555"/>
      <c r="C13" s="557" t="s">
        <v>205</v>
      </c>
      <c r="D13" s="561" t="s">
        <v>78</v>
      </c>
      <c r="E13" s="363"/>
      <c r="F13" s="562"/>
      <c r="G13" s="193"/>
      <c r="H13" s="211"/>
      <c r="I13" s="212"/>
      <c r="J13" s="193"/>
      <c r="K13" s="211"/>
      <c r="L13" s="215"/>
      <c r="M13" s="213" t="str">
        <f t="shared" si="0"/>
        <v>-</v>
      </c>
      <c r="N13" s="214" t="str">
        <f t="shared" si="0"/>
        <v>-</v>
      </c>
      <c r="O13" s="190" t="str">
        <f t="shared" si="0"/>
        <v>-</v>
      </c>
      <c r="P13" s="143"/>
      <c r="Q13" s="143"/>
      <c r="R13" s="143"/>
      <c r="S13" s="143"/>
      <c r="T13" s="59"/>
      <c r="U13" s="12"/>
      <c r="V13" s="12"/>
    </row>
    <row r="14" spans="1:30" ht="13.7" customHeight="1">
      <c r="A14" s="552"/>
      <c r="B14" s="555"/>
      <c r="C14" s="557"/>
      <c r="D14" s="561" t="s">
        <v>79</v>
      </c>
      <c r="E14" s="363"/>
      <c r="F14" s="562"/>
      <c r="G14" s="193"/>
      <c r="H14" s="211"/>
      <c r="I14" s="212"/>
      <c r="J14" s="193"/>
      <c r="K14" s="211"/>
      <c r="L14" s="215"/>
      <c r="M14" s="213" t="str">
        <f t="shared" si="0"/>
        <v>-</v>
      </c>
      <c r="N14" s="214" t="str">
        <f t="shared" si="0"/>
        <v>-</v>
      </c>
      <c r="O14" s="190" t="str">
        <f t="shared" si="0"/>
        <v>-</v>
      </c>
      <c r="P14" s="143"/>
      <c r="Q14" s="143"/>
      <c r="R14" s="143"/>
      <c r="S14" s="143"/>
      <c r="T14" s="59"/>
      <c r="U14" s="12"/>
      <c r="V14" s="12"/>
    </row>
    <row r="15" spans="1:30" ht="13.7" customHeight="1">
      <c r="A15" s="552"/>
      <c r="B15" s="555"/>
      <c r="C15" s="557"/>
      <c r="D15" s="561" t="s">
        <v>76</v>
      </c>
      <c r="E15" s="363"/>
      <c r="F15" s="562"/>
      <c r="G15" s="193"/>
      <c r="H15" s="211"/>
      <c r="I15" s="212"/>
      <c r="J15" s="193"/>
      <c r="K15" s="211"/>
      <c r="L15" s="215"/>
      <c r="M15" s="213" t="str">
        <f t="shared" si="0"/>
        <v>-</v>
      </c>
      <c r="N15" s="214" t="str">
        <f t="shared" si="0"/>
        <v>-</v>
      </c>
      <c r="O15" s="190" t="str">
        <f t="shared" si="0"/>
        <v>-</v>
      </c>
      <c r="P15" s="143"/>
      <c r="Q15" s="143"/>
      <c r="R15" s="143"/>
      <c r="S15" s="143"/>
      <c r="T15" s="59"/>
      <c r="U15" s="12"/>
      <c r="V15" s="12"/>
    </row>
    <row r="16" spans="1:30" ht="13.7" customHeight="1">
      <c r="A16" s="552"/>
      <c r="B16" s="555"/>
      <c r="C16" s="557"/>
      <c r="D16" s="561" t="s">
        <v>77</v>
      </c>
      <c r="E16" s="363"/>
      <c r="F16" s="562"/>
      <c r="G16" s="193"/>
      <c r="H16" s="211"/>
      <c r="I16" s="212"/>
      <c r="J16" s="193"/>
      <c r="K16" s="211"/>
      <c r="L16" s="215"/>
      <c r="M16" s="213" t="str">
        <f t="shared" si="0"/>
        <v>-</v>
      </c>
      <c r="N16" s="214" t="str">
        <f t="shared" si="0"/>
        <v>-</v>
      </c>
      <c r="O16" s="190" t="str">
        <f t="shared" si="0"/>
        <v>-</v>
      </c>
      <c r="P16" s="143"/>
      <c r="Q16" s="143"/>
      <c r="R16" s="143"/>
      <c r="S16" s="143"/>
      <c r="T16" s="59"/>
      <c r="U16" s="12"/>
      <c r="V16" s="12"/>
    </row>
    <row r="17" spans="1:22" ht="13.7" customHeight="1">
      <c r="A17" s="552"/>
      <c r="B17" s="555"/>
      <c r="C17" s="561" t="s">
        <v>80</v>
      </c>
      <c r="D17" s="561"/>
      <c r="E17" s="363"/>
      <c r="F17" s="562"/>
      <c r="G17" s="193"/>
      <c r="H17" s="211"/>
      <c r="I17" s="212"/>
      <c r="J17" s="193"/>
      <c r="K17" s="211"/>
      <c r="L17" s="215"/>
      <c r="M17" s="213" t="str">
        <f t="shared" si="0"/>
        <v>-</v>
      </c>
      <c r="N17" s="214" t="str">
        <f t="shared" si="0"/>
        <v>-</v>
      </c>
      <c r="O17" s="190" t="str">
        <f t="shared" si="0"/>
        <v>-</v>
      </c>
      <c r="P17" s="143"/>
      <c r="Q17" s="72"/>
      <c r="R17" s="72"/>
      <c r="S17" s="72"/>
      <c r="T17" s="72"/>
      <c r="U17" s="12"/>
      <c r="V17" s="12"/>
    </row>
    <row r="18" spans="1:22" ht="13.7" customHeight="1">
      <c r="A18" s="552"/>
      <c r="B18" s="555" t="s">
        <v>81</v>
      </c>
      <c r="C18" s="557" t="s">
        <v>72</v>
      </c>
      <c r="D18" s="561" t="s">
        <v>82</v>
      </c>
      <c r="E18" s="363"/>
      <c r="F18" s="562"/>
      <c r="G18" s="193"/>
      <c r="H18" s="211"/>
      <c r="I18" s="212"/>
      <c r="J18" s="193"/>
      <c r="K18" s="211"/>
      <c r="L18" s="215"/>
      <c r="M18" s="213" t="str">
        <f t="shared" si="0"/>
        <v>-</v>
      </c>
      <c r="N18" s="214" t="str">
        <f t="shared" si="0"/>
        <v>-</v>
      </c>
      <c r="O18" s="190" t="str">
        <f t="shared" si="0"/>
        <v>-</v>
      </c>
      <c r="P18" s="143"/>
      <c r="Q18" s="143"/>
      <c r="R18" s="143"/>
      <c r="S18" s="143"/>
      <c r="T18" s="59"/>
      <c r="U18" s="12"/>
      <c r="V18" s="12"/>
    </row>
    <row r="19" spans="1:22" ht="13.7" customHeight="1">
      <c r="A19" s="552"/>
      <c r="B19" s="555"/>
      <c r="C19" s="557"/>
      <c r="D19" s="561" t="s">
        <v>83</v>
      </c>
      <c r="E19" s="363"/>
      <c r="F19" s="562"/>
      <c r="G19" s="193"/>
      <c r="H19" s="211"/>
      <c r="I19" s="212"/>
      <c r="J19" s="193"/>
      <c r="K19" s="211"/>
      <c r="L19" s="215"/>
      <c r="M19" s="213" t="str">
        <f t="shared" si="0"/>
        <v>-</v>
      </c>
      <c r="N19" s="214" t="str">
        <f t="shared" si="0"/>
        <v>-</v>
      </c>
      <c r="O19" s="190" t="str">
        <f t="shared" si="0"/>
        <v>-</v>
      </c>
      <c r="P19" s="143"/>
      <c r="Q19" s="143"/>
      <c r="R19" s="143"/>
      <c r="S19" s="143"/>
      <c r="T19" s="59"/>
      <c r="U19" s="12"/>
      <c r="V19" s="12"/>
    </row>
    <row r="20" spans="1:22" ht="13.7" customHeight="1">
      <c r="A20" s="552"/>
      <c r="B20" s="555"/>
      <c r="C20" s="557"/>
      <c r="D20" s="561" t="s">
        <v>84</v>
      </c>
      <c r="E20" s="363"/>
      <c r="F20" s="562"/>
      <c r="G20" s="193"/>
      <c r="H20" s="211"/>
      <c r="I20" s="212"/>
      <c r="J20" s="193"/>
      <c r="K20" s="211"/>
      <c r="L20" s="215"/>
      <c r="M20" s="213" t="str">
        <f t="shared" si="0"/>
        <v>-</v>
      </c>
      <c r="N20" s="214" t="str">
        <f t="shared" si="0"/>
        <v>-</v>
      </c>
      <c r="O20" s="190" t="str">
        <f t="shared" si="0"/>
        <v>-</v>
      </c>
      <c r="P20" s="143"/>
      <c r="Q20" s="143"/>
      <c r="R20" s="143"/>
      <c r="S20" s="143"/>
      <c r="T20" s="59"/>
      <c r="U20" s="12"/>
      <c r="V20" s="12"/>
    </row>
    <row r="21" spans="1:22" ht="13.7" customHeight="1">
      <c r="A21" s="552"/>
      <c r="B21" s="555"/>
      <c r="C21" s="557"/>
      <c r="D21" s="561" t="s">
        <v>85</v>
      </c>
      <c r="E21" s="363"/>
      <c r="F21" s="562"/>
      <c r="G21" s="193"/>
      <c r="H21" s="211"/>
      <c r="I21" s="212"/>
      <c r="J21" s="193"/>
      <c r="K21" s="211"/>
      <c r="L21" s="215"/>
      <c r="M21" s="213" t="str">
        <f t="shared" si="0"/>
        <v>-</v>
      </c>
      <c r="N21" s="214" t="str">
        <f t="shared" si="0"/>
        <v>-</v>
      </c>
      <c r="O21" s="190" t="str">
        <f t="shared" si="0"/>
        <v>-</v>
      </c>
      <c r="P21" s="143"/>
      <c r="Q21" s="143"/>
      <c r="R21" s="143"/>
      <c r="S21" s="143"/>
      <c r="T21" s="59"/>
      <c r="U21" s="12"/>
      <c r="V21" s="12"/>
    </row>
    <row r="22" spans="1:22" ht="13.7" customHeight="1">
      <c r="A22" s="552"/>
      <c r="B22" s="555"/>
      <c r="C22" s="557"/>
      <c r="D22" s="561" t="s">
        <v>77</v>
      </c>
      <c r="E22" s="363"/>
      <c r="F22" s="562"/>
      <c r="G22" s="216"/>
      <c r="H22" s="211"/>
      <c r="I22" s="217"/>
      <c r="J22" s="216"/>
      <c r="K22" s="211"/>
      <c r="L22" s="218"/>
      <c r="M22" s="219"/>
      <c r="N22" s="214" t="str">
        <f t="shared" si="0"/>
        <v>-</v>
      </c>
      <c r="O22" s="220"/>
      <c r="P22" s="143"/>
      <c r="Q22" s="143"/>
      <c r="R22" s="143"/>
      <c r="S22" s="143"/>
      <c r="T22" s="59"/>
      <c r="U22" s="12"/>
      <c r="V22" s="12"/>
    </row>
    <row r="23" spans="1:22" ht="13.7" customHeight="1">
      <c r="A23" s="552"/>
      <c r="B23" s="555"/>
      <c r="C23" s="557" t="s">
        <v>205</v>
      </c>
      <c r="D23" s="561" t="s">
        <v>82</v>
      </c>
      <c r="E23" s="363"/>
      <c r="F23" s="562"/>
      <c r="G23" s="193"/>
      <c r="H23" s="211"/>
      <c r="I23" s="212"/>
      <c r="J23" s="193"/>
      <c r="K23" s="211"/>
      <c r="L23" s="215"/>
      <c r="M23" s="213" t="str">
        <f t="shared" ref="M23:O27" si="1">IFERROR(100*(G23-J23)/J23,"-")</f>
        <v>-</v>
      </c>
      <c r="N23" s="214" t="str">
        <f t="shared" si="0"/>
        <v>-</v>
      </c>
      <c r="O23" s="190" t="str">
        <f t="shared" si="0"/>
        <v>-</v>
      </c>
      <c r="P23" s="143"/>
      <c r="Q23" s="143"/>
      <c r="R23" s="143"/>
      <c r="S23" s="143"/>
      <c r="T23" s="59"/>
      <c r="U23" s="12"/>
      <c r="V23" s="12"/>
    </row>
    <row r="24" spans="1:22" ht="13.7" customHeight="1">
      <c r="A24" s="552"/>
      <c r="B24" s="555"/>
      <c r="C24" s="557"/>
      <c r="D24" s="561" t="s">
        <v>83</v>
      </c>
      <c r="E24" s="363"/>
      <c r="F24" s="562"/>
      <c r="G24" s="193"/>
      <c r="H24" s="211"/>
      <c r="I24" s="212"/>
      <c r="J24" s="193"/>
      <c r="K24" s="211"/>
      <c r="L24" s="215"/>
      <c r="M24" s="213" t="str">
        <f t="shared" si="1"/>
        <v>-</v>
      </c>
      <c r="N24" s="214" t="str">
        <f t="shared" si="0"/>
        <v>-</v>
      </c>
      <c r="O24" s="190" t="str">
        <f t="shared" si="0"/>
        <v>-</v>
      </c>
      <c r="P24" s="143"/>
      <c r="Q24" s="143"/>
      <c r="R24" s="143"/>
      <c r="S24" s="143"/>
      <c r="T24" s="59"/>
    </row>
    <row r="25" spans="1:22" ht="13.7" customHeight="1">
      <c r="A25" s="552"/>
      <c r="B25" s="555"/>
      <c r="C25" s="557"/>
      <c r="D25" s="561" t="s">
        <v>84</v>
      </c>
      <c r="E25" s="363"/>
      <c r="F25" s="562"/>
      <c r="G25" s="193"/>
      <c r="H25" s="211"/>
      <c r="I25" s="212"/>
      <c r="J25" s="193"/>
      <c r="K25" s="211"/>
      <c r="L25" s="215"/>
      <c r="M25" s="213" t="str">
        <f t="shared" si="1"/>
        <v>-</v>
      </c>
      <c r="N25" s="214" t="str">
        <f t="shared" si="1"/>
        <v>-</v>
      </c>
      <c r="O25" s="190" t="str">
        <f t="shared" si="1"/>
        <v>-</v>
      </c>
      <c r="P25" s="143"/>
      <c r="Q25" s="143"/>
      <c r="R25" s="143"/>
      <c r="S25" s="143"/>
      <c r="T25" s="59"/>
    </row>
    <row r="26" spans="1:22" ht="13.7" customHeight="1">
      <c r="A26" s="552"/>
      <c r="B26" s="555"/>
      <c r="C26" s="557"/>
      <c r="D26" s="568" t="s">
        <v>85</v>
      </c>
      <c r="E26" s="395"/>
      <c r="F26" s="569"/>
      <c r="G26" s="193"/>
      <c r="H26" s="211"/>
      <c r="I26" s="212"/>
      <c r="J26" s="193"/>
      <c r="K26" s="211"/>
      <c r="L26" s="215"/>
      <c r="M26" s="213" t="str">
        <f t="shared" si="1"/>
        <v>-</v>
      </c>
      <c r="N26" s="214" t="str">
        <f t="shared" si="1"/>
        <v>-</v>
      </c>
      <c r="O26" s="190" t="str">
        <f t="shared" si="1"/>
        <v>-</v>
      </c>
      <c r="P26" s="143"/>
      <c r="Q26" s="72"/>
      <c r="R26" s="72"/>
      <c r="S26" s="72"/>
      <c r="T26" s="72"/>
    </row>
    <row r="27" spans="1:22" ht="13.7" customHeight="1">
      <c r="A27" s="552"/>
      <c r="B27" s="555"/>
      <c r="C27" s="557"/>
      <c r="D27" s="26"/>
      <c r="E27" s="363" t="s">
        <v>86</v>
      </c>
      <c r="F27" s="364"/>
      <c r="G27" s="193"/>
      <c r="H27" s="221"/>
      <c r="I27" s="217"/>
      <c r="J27" s="193"/>
      <c r="K27" s="221"/>
      <c r="L27" s="218"/>
      <c r="M27" s="213" t="str">
        <f t="shared" si="1"/>
        <v>-</v>
      </c>
      <c r="N27" s="222"/>
      <c r="O27" s="220"/>
      <c r="P27" s="143"/>
      <c r="Q27" s="72"/>
      <c r="R27" s="72"/>
      <c r="S27" s="72"/>
      <c r="T27" s="72"/>
    </row>
    <row r="28" spans="1:22" ht="13.7" customHeight="1">
      <c r="A28" s="552"/>
      <c r="B28" s="555"/>
      <c r="C28" s="557"/>
      <c r="D28" s="561" t="s">
        <v>77</v>
      </c>
      <c r="E28" s="363"/>
      <c r="F28" s="562"/>
      <c r="G28" s="216"/>
      <c r="H28" s="211"/>
      <c r="I28" s="217"/>
      <c r="J28" s="216"/>
      <c r="K28" s="211"/>
      <c r="L28" s="218"/>
      <c r="M28" s="219"/>
      <c r="N28" s="214" t="str">
        <f t="shared" ref="N28:O38" si="2">IFERROR(100*(H28-K28)/K28,"-")</f>
        <v>-</v>
      </c>
      <c r="O28" s="220"/>
      <c r="P28" s="143"/>
      <c r="Q28" s="143"/>
      <c r="R28" s="143"/>
      <c r="S28" s="143"/>
      <c r="T28" s="59"/>
    </row>
    <row r="29" spans="1:22" ht="13.7" customHeight="1">
      <c r="A29" s="553"/>
      <c r="B29" s="565"/>
      <c r="C29" s="566" t="s">
        <v>80</v>
      </c>
      <c r="D29" s="566"/>
      <c r="E29" s="411"/>
      <c r="F29" s="567"/>
      <c r="G29" s="223"/>
      <c r="H29" s="224"/>
      <c r="I29" s="225"/>
      <c r="J29" s="226"/>
      <c r="K29" s="224"/>
      <c r="L29" s="227"/>
      <c r="M29" s="228"/>
      <c r="N29" s="229" t="str">
        <f t="shared" si="2"/>
        <v>-</v>
      </c>
      <c r="O29" s="230"/>
      <c r="P29" s="143"/>
      <c r="Q29" s="143"/>
      <c r="R29" s="143"/>
      <c r="S29" s="143"/>
      <c r="T29" s="59"/>
    </row>
    <row r="30" spans="1:22" ht="13.7" customHeight="1">
      <c r="A30" s="570" t="s">
        <v>213</v>
      </c>
      <c r="B30" s="572" t="s">
        <v>71</v>
      </c>
      <c r="C30" s="572" t="s">
        <v>72</v>
      </c>
      <c r="D30" s="365" t="s">
        <v>214</v>
      </c>
      <c r="E30" s="365"/>
      <c r="F30" s="364"/>
      <c r="G30" s="231"/>
      <c r="H30" s="232"/>
      <c r="I30" s="233"/>
      <c r="J30" s="234"/>
      <c r="K30" s="211"/>
      <c r="L30" s="215"/>
      <c r="M30" s="213" t="str">
        <f t="shared" ref="M30:M38" si="3">IFERROR(100*(G30-J30)/J30,"-")</f>
        <v>-</v>
      </c>
      <c r="N30" s="214" t="str">
        <f t="shared" si="2"/>
        <v>-</v>
      </c>
      <c r="O30" s="190" t="str">
        <f t="shared" si="2"/>
        <v>-</v>
      </c>
      <c r="P30" s="143"/>
      <c r="Q30" s="143"/>
      <c r="R30" s="143"/>
      <c r="S30" s="143"/>
      <c r="T30" s="120"/>
    </row>
    <row r="31" spans="1:22" ht="13.7" customHeight="1">
      <c r="A31" s="570"/>
      <c r="B31" s="573"/>
      <c r="C31" s="573"/>
      <c r="D31" s="365" t="s">
        <v>215</v>
      </c>
      <c r="E31" s="365"/>
      <c r="F31" s="364"/>
      <c r="G31" s="231"/>
      <c r="H31" s="232"/>
      <c r="I31" s="233"/>
      <c r="J31" s="193"/>
      <c r="K31" s="211"/>
      <c r="L31" s="215"/>
      <c r="M31" s="213" t="str">
        <f t="shared" si="3"/>
        <v>-</v>
      </c>
      <c r="N31" s="214" t="str">
        <f t="shared" si="2"/>
        <v>-</v>
      </c>
      <c r="O31" s="190" t="str">
        <f t="shared" si="2"/>
        <v>-</v>
      </c>
      <c r="P31" s="143"/>
      <c r="Q31" s="143"/>
      <c r="R31" s="143"/>
      <c r="S31" s="143"/>
      <c r="T31" s="120"/>
    </row>
    <row r="32" spans="1:22" ht="13.7" customHeight="1">
      <c r="A32" s="570"/>
      <c r="B32" s="573"/>
      <c r="C32" s="573"/>
      <c r="D32" s="365" t="s">
        <v>216</v>
      </c>
      <c r="E32" s="365"/>
      <c r="F32" s="364"/>
      <c r="G32" s="231"/>
      <c r="H32" s="232"/>
      <c r="I32" s="233"/>
      <c r="J32" s="193"/>
      <c r="K32" s="211"/>
      <c r="L32" s="215"/>
      <c r="M32" s="213" t="str">
        <f t="shared" si="3"/>
        <v>-</v>
      </c>
      <c r="N32" s="214" t="str">
        <f t="shared" si="2"/>
        <v>-</v>
      </c>
      <c r="O32" s="190" t="str">
        <f t="shared" si="2"/>
        <v>-</v>
      </c>
      <c r="P32" s="143"/>
      <c r="Q32" s="143"/>
      <c r="R32" s="143"/>
      <c r="S32" s="143"/>
      <c r="T32" s="120"/>
    </row>
    <row r="33" spans="1:22" ht="13.7" customHeight="1">
      <c r="A33" s="570"/>
      <c r="B33" s="573"/>
      <c r="C33" s="575"/>
      <c r="D33" s="365" t="s">
        <v>77</v>
      </c>
      <c r="E33" s="365"/>
      <c r="F33" s="364"/>
      <c r="G33" s="231"/>
      <c r="H33" s="232"/>
      <c r="I33" s="233"/>
      <c r="J33" s="193"/>
      <c r="K33" s="211"/>
      <c r="L33" s="215"/>
      <c r="M33" s="213" t="str">
        <f t="shared" si="3"/>
        <v>-</v>
      </c>
      <c r="N33" s="214" t="str">
        <f t="shared" si="2"/>
        <v>-</v>
      </c>
      <c r="O33" s="190" t="str">
        <f t="shared" si="2"/>
        <v>-</v>
      </c>
      <c r="P33" s="143"/>
      <c r="Q33" s="143"/>
      <c r="R33" s="143"/>
      <c r="S33" s="143"/>
      <c r="T33" s="120"/>
    </row>
    <row r="34" spans="1:22" ht="13.7" customHeight="1">
      <c r="A34" s="570"/>
      <c r="B34" s="573"/>
      <c r="C34" s="572" t="s">
        <v>217</v>
      </c>
      <c r="D34" s="365" t="s">
        <v>78</v>
      </c>
      <c r="E34" s="365"/>
      <c r="F34" s="364"/>
      <c r="G34" s="231"/>
      <c r="H34" s="232"/>
      <c r="I34" s="233"/>
      <c r="J34" s="193"/>
      <c r="K34" s="211"/>
      <c r="L34" s="215"/>
      <c r="M34" s="213" t="str">
        <f t="shared" si="3"/>
        <v>-</v>
      </c>
      <c r="N34" s="214" t="str">
        <f t="shared" si="2"/>
        <v>-</v>
      </c>
      <c r="O34" s="190" t="str">
        <f t="shared" si="2"/>
        <v>-</v>
      </c>
      <c r="P34" s="143"/>
      <c r="Q34" s="143"/>
      <c r="R34" s="143"/>
      <c r="S34" s="143"/>
      <c r="T34" s="120"/>
    </row>
    <row r="35" spans="1:22" ht="13.7" customHeight="1">
      <c r="A35" s="570"/>
      <c r="B35" s="573"/>
      <c r="C35" s="573"/>
      <c r="D35" s="365" t="s">
        <v>87</v>
      </c>
      <c r="E35" s="365"/>
      <c r="F35" s="364"/>
      <c r="G35" s="231"/>
      <c r="H35" s="232"/>
      <c r="I35" s="233"/>
      <c r="J35" s="193"/>
      <c r="K35" s="211"/>
      <c r="L35" s="215"/>
      <c r="M35" s="213" t="str">
        <f t="shared" si="3"/>
        <v>-</v>
      </c>
      <c r="N35" s="214" t="str">
        <f t="shared" si="2"/>
        <v>-</v>
      </c>
      <c r="O35" s="190" t="str">
        <f t="shared" si="2"/>
        <v>-</v>
      </c>
      <c r="P35" s="121"/>
      <c r="Q35" s="121"/>
      <c r="R35" s="121"/>
      <c r="S35" s="121"/>
      <c r="T35" s="121"/>
    </row>
    <row r="36" spans="1:22" ht="12.2" customHeight="1">
      <c r="A36" s="570"/>
      <c r="B36" s="573"/>
      <c r="C36" s="573"/>
      <c r="D36" s="365" t="s">
        <v>76</v>
      </c>
      <c r="E36" s="365"/>
      <c r="F36" s="364"/>
      <c r="G36" s="231"/>
      <c r="H36" s="232"/>
      <c r="I36" s="233"/>
      <c r="J36" s="193"/>
      <c r="K36" s="211"/>
      <c r="L36" s="215"/>
      <c r="M36" s="213" t="str">
        <f t="shared" si="3"/>
        <v>-</v>
      </c>
      <c r="N36" s="214" t="str">
        <f t="shared" si="2"/>
        <v>-</v>
      </c>
      <c r="O36" s="190" t="str">
        <f t="shared" si="2"/>
        <v>-</v>
      </c>
      <c r="P36" s="103"/>
      <c r="Q36" s="146"/>
      <c r="R36" s="146"/>
      <c r="S36" s="146"/>
      <c r="T36" s="123"/>
    </row>
    <row r="37" spans="1:22" ht="12.2" customHeight="1">
      <c r="A37" s="570"/>
      <c r="B37" s="573"/>
      <c r="C37" s="575"/>
      <c r="D37" s="365" t="s">
        <v>77</v>
      </c>
      <c r="E37" s="365"/>
      <c r="F37" s="364"/>
      <c r="G37" s="231"/>
      <c r="H37" s="232"/>
      <c r="I37" s="233"/>
      <c r="J37" s="193"/>
      <c r="K37" s="211"/>
      <c r="L37" s="215"/>
      <c r="M37" s="213" t="str">
        <f t="shared" si="3"/>
        <v>-</v>
      </c>
      <c r="N37" s="214" t="str">
        <f t="shared" si="2"/>
        <v>-</v>
      </c>
      <c r="O37" s="190" t="str">
        <f t="shared" si="2"/>
        <v>-</v>
      </c>
      <c r="P37" s="122"/>
      <c r="Q37" s="146"/>
      <c r="R37" s="146"/>
      <c r="S37" s="146"/>
      <c r="T37" s="123"/>
    </row>
    <row r="38" spans="1:22" ht="12.2" customHeight="1">
      <c r="A38" s="571"/>
      <c r="B38" s="574"/>
      <c r="C38" s="367" t="s">
        <v>80</v>
      </c>
      <c r="D38" s="367"/>
      <c r="E38" s="367"/>
      <c r="F38" s="368"/>
      <c r="G38" s="235"/>
      <c r="H38" s="236"/>
      <c r="I38" s="237"/>
      <c r="J38" s="194"/>
      <c r="K38" s="224"/>
      <c r="L38" s="238"/>
      <c r="M38" s="239" t="str">
        <f t="shared" si="3"/>
        <v>-</v>
      </c>
      <c r="N38" s="229" t="str">
        <f t="shared" si="2"/>
        <v>-</v>
      </c>
      <c r="O38" s="240" t="str">
        <f t="shared" si="2"/>
        <v>-</v>
      </c>
      <c r="P38" s="67"/>
      <c r="Q38" s="146"/>
      <c r="R38" s="146"/>
      <c r="S38" s="146"/>
      <c r="T38" s="123"/>
    </row>
    <row r="39" spans="1:22" ht="12.2" customHeight="1">
      <c r="J39" s="577"/>
      <c r="K39" s="577"/>
      <c r="L39" s="577"/>
      <c r="M39" s="577"/>
      <c r="N39" s="68"/>
      <c r="O39" s="68"/>
      <c r="P39" s="70"/>
      <c r="Q39" s="577"/>
      <c r="R39" s="577"/>
      <c r="S39" s="577"/>
      <c r="T39" s="577"/>
    </row>
    <row r="40" spans="1:22" ht="12.2" customHeight="1">
      <c r="J40" s="576"/>
      <c r="K40" s="576"/>
      <c r="L40" s="576"/>
      <c r="M40" s="576"/>
      <c r="N40" s="68"/>
      <c r="O40" s="68"/>
      <c r="P40" s="70"/>
      <c r="Q40" s="577"/>
      <c r="R40" s="577"/>
      <c r="S40" s="577"/>
      <c r="T40" s="577"/>
    </row>
    <row r="41" spans="1:22" ht="12.2" customHeight="1">
      <c r="J41" s="576"/>
      <c r="K41" s="576"/>
      <c r="L41" s="576"/>
      <c r="M41" s="576"/>
      <c r="N41" s="68"/>
      <c r="O41" s="68"/>
      <c r="P41" s="70"/>
      <c r="Q41" s="577"/>
      <c r="R41" s="577"/>
      <c r="S41" s="577"/>
      <c r="T41" s="577"/>
    </row>
    <row r="42" spans="1:22" ht="12.2" customHeight="1">
      <c r="J42" s="576"/>
      <c r="K42" s="576"/>
      <c r="L42" s="576"/>
      <c r="M42" s="576"/>
      <c r="N42" s="68"/>
      <c r="O42" s="68"/>
      <c r="P42" s="70"/>
      <c r="Q42" s="577"/>
      <c r="R42" s="577"/>
      <c r="S42" s="577"/>
      <c r="T42" s="577"/>
    </row>
    <row r="43" spans="1:22" ht="12.2" customHeight="1">
      <c r="A43" s="99"/>
      <c r="B43" s="578"/>
      <c r="C43" s="578"/>
      <c r="D43" s="578"/>
      <c r="E43" s="578"/>
      <c r="F43" s="578"/>
      <c r="G43" s="100"/>
      <c r="H43" s="100"/>
      <c r="I43" s="101"/>
      <c r="J43" s="576"/>
      <c r="K43" s="576"/>
      <c r="L43" s="576"/>
      <c r="M43" s="576"/>
      <c r="N43" s="68"/>
      <c r="O43" s="68"/>
      <c r="P43" s="70"/>
      <c r="Q43" s="577"/>
      <c r="R43" s="577"/>
      <c r="S43" s="577"/>
      <c r="T43" s="577"/>
    </row>
    <row r="44" spans="1:22" ht="12.2" customHeight="1">
      <c r="A44" s="99"/>
      <c r="B44" s="578"/>
      <c r="C44" s="578"/>
      <c r="D44" s="578"/>
      <c r="E44" s="578"/>
      <c r="F44" s="578"/>
      <c r="G44" s="100"/>
      <c r="H44" s="100"/>
      <c r="I44" s="101"/>
      <c r="J44" s="576"/>
      <c r="K44" s="576"/>
      <c r="L44" s="576"/>
      <c r="M44" s="576"/>
      <c r="N44" s="68"/>
      <c r="O44" s="68"/>
      <c r="P44" s="70"/>
      <c r="Q44" s="577"/>
      <c r="R44" s="577"/>
      <c r="S44" s="577"/>
      <c r="T44" s="577"/>
    </row>
    <row r="45" spans="1:22" ht="12.2" customHeight="1">
      <c r="A45" s="578"/>
      <c r="B45" s="578"/>
      <c r="C45" s="578"/>
      <c r="D45" s="578"/>
      <c r="E45" s="578"/>
      <c r="F45" s="578"/>
      <c r="G45" s="68"/>
      <c r="H45" s="68"/>
      <c r="I45" s="70"/>
      <c r="J45" s="576"/>
      <c r="K45" s="576"/>
      <c r="L45" s="576"/>
      <c r="M45" s="576"/>
      <c r="N45" s="68"/>
      <c r="O45" s="68"/>
      <c r="P45" s="70"/>
      <c r="Q45" s="577"/>
      <c r="R45" s="577"/>
      <c r="S45" s="577"/>
      <c r="T45" s="577"/>
    </row>
    <row r="46" spans="1:22" ht="12.2" customHeight="1">
      <c r="A46" s="578"/>
      <c r="B46" s="578"/>
      <c r="C46" s="578"/>
      <c r="D46" s="578"/>
      <c r="E46" s="578"/>
      <c r="F46" s="578"/>
      <c r="G46" s="68"/>
      <c r="H46" s="68"/>
      <c r="I46" s="70"/>
      <c r="J46" s="576"/>
      <c r="K46" s="576"/>
      <c r="L46" s="576"/>
      <c r="M46" s="576"/>
      <c r="N46" s="68"/>
      <c r="O46" s="68"/>
      <c r="P46" s="70"/>
      <c r="Q46" s="577"/>
      <c r="R46" s="577"/>
      <c r="S46" s="577"/>
      <c r="T46" s="577"/>
      <c r="U46" s="12"/>
      <c r="V46" s="12"/>
    </row>
    <row r="47" spans="1:22" ht="12.2" customHeight="1">
      <c r="A47" s="578"/>
      <c r="B47" s="578"/>
      <c r="C47" s="578"/>
      <c r="D47" s="578"/>
      <c r="E47" s="578"/>
      <c r="F47" s="578"/>
      <c r="G47" s="68"/>
      <c r="H47" s="68"/>
      <c r="I47" s="70"/>
      <c r="J47" s="576"/>
      <c r="K47" s="576"/>
      <c r="L47" s="576"/>
      <c r="M47" s="576"/>
      <c r="N47" s="68"/>
      <c r="O47" s="68"/>
      <c r="P47" s="70"/>
      <c r="Q47" s="577"/>
      <c r="R47" s="577"/>
      <c r="S47" s="577"/>
      <c r="T47" s="577"/>
      <c r="U47" s="12"/>
      <c r="V47" s="12"/>
    </row>
    <row r="48" spans="1:22" ht="12.2" customHeight="1">
      <c r="A48" s="578"/>
      <c r="B48" s="578"/>
      <c r="C48" s="578"/>
      <c r="D48" s="578"/>
      <c r="E48" s="578"/>
      <c r="F48" s="578"/>
      <c r="G48" s="68"/>
      <c r="H48" s="68"/>
      <c r="I48" s="70"/>
      <c r="J48" s="576"/>
      <c r="K48" s="576"/>
      <c r="L48" s="576"/>
      <c r="M48" s="576"/>
      <c r="N48" s="68"/>
      <c r="O48" s="68"/>
      <c r="P48" s="70"/>
      <c r="Q48" s="577"/>
      <c r="R48" s="577"/>
      <c r="S48" s="577"/>
      <c r="T48" s="577"/>
    </row>
    <row r="49" spans="1:20" ht="12.2" customHeight="1">
      <c r="A49" s="578"/>
      <c r="B49" s="578"/>
      <c r="C49" s="578"/>
      <c r="D49" s="578"/>
      <c r="E49" s="578"/>
      <c r="F49" s="578"/>
      <c r="G49" s="68"/>
      <c r="H49" s="68"/>
      <c r="I49" s="70"/>
      <c r="J49" s="576"/>
      <c r="K49" s="576"/>
      <c r="L49" s="576"/>
      <c r="M49" s="576"/>
      <c r="N49" s="68"/>
      <c r="O49" s="68"/>
      <c r="P49" s="70"/>
      <c r="Q49" s="577"/>
      <c r="R49" s="577"/>
      <c r="S49" s="577"/>
      <c r="T49" s="577"/>
    </row>
    <row r="50" spans="1:20" ht="12.2" customHeight="1">
      <c r="A50" s="578"/>
      <c r="B50" s="578"/>
      <c r="C50" s="578"/>
      <c r="D50" s="578"/>
      <c r="E50" s="578"/>
      <c r="F50" s="578"/>
      <c r="G50" s="68"/>
      <c r="H50" s="68"/>
      <c r="I50" s="70"/>
      <c r="J50" s="576"/>
      <c r="K50" s="576"/>
      <c r="L50" s="576"/>
      <c r="M50" s="576"/>
      <c r="N50" s="68"/>
      <c r="O50" s="68"/>
      <c r="P50" s="70"/>
      <c r="Q50" s="577"/>
      <c r="R50" s="577"/>
      <c r="S50" s="577"/>
      <c r="T50" s="577"/>
    </row>
    <row r="51" spans="1:20" ht="12.2" customHeight="1">
      <c r="A51" s="578"/>
      <c r="B51" s="578"/>
      <c r="C51" s="578"/>
      <c r="D51" s="578"/>
      <c r="E51" s="578"/>
      <c r="F51" s="578"/>
      <c r="G51" s="68"/>
      <c r="H51" s="68"/>
      <c r="I51" s="70"/>
      <c r="J51" s="576"/>
      <c r="K51" s="576"/>
      <c r="L51" s="576"/>
      <c r="M51" s="576"/>
      <c r="N51" s="68"/>
      <c r="O51" s="68"/>
      <c r="P51" s="70"/>
      <c r="Q51" s="577"/>
      <c r="R51" s="577"/>
      <c r="S51" s="577"/>
      <c r="T51" s="577"/>
    </row>
    <row r="52" spans="1:20" ht="12.2" customHeight="1">
      <c r="A52" s="578"/>
      <c r="B52" s="578"/>
      <c r="C52" s="578"/>
      <c r="D52" s="578"/>
      <c r="E52" s="578"/>
      <c r="F52" s="578"/>
      <c r="G52" s="100"/>
      <c r="H52" s="100"/>
      <c r="I52" s="101"/>
      <c r="J52" s="576"/>
      <c r="K52" s="576"/>
      <c r="L52" s="576"/>
      <c r="M52" s="576"/>
      <c r="N52" s="68"/>
      <c r="O52" s="68"/>
      <c r="P52" s="70"/>
      <c r="Q52" s="577"/>
      <c r="R52" s="577"/>
      <c r="S52" s="577"/>
      <c r="T52" s="577"/>
    </row>
    <row r="53" spans="1:20" ht="13.7" customHeight="1"/>
    <row r="54" spans="1:20" ht="13.7" customHeight="1"/>
  </sheetData>
  <mergeCells count="86">
    <mergeCell ref="Q1:S1"/>
    <mergeCell ref="Q2:S2"/>
    <mergeCell ref="A51:F51"/>
    <mergeCell ref="J51:M51"/>
    <mergeCell ref="Q51:T51"/>
    <mergeCell ref="A47:F47"/>
    <mergeCell ref="J47:M47"/>
    <mergeCell ref="Q47:T47"/>
    <mergeCell ref="A48:F48"/>
    <mergeCell ref="J48:M48"/>
    <mergeCell ref="Q48:T48"/>
    <mergeCell ref="A45:F45"/>
    <mergeCell ref="J45:M45"/>
    <mergeCell ref="Q45:T45"/>
    <mergeCell ref="A46:F46"/>
    <mergeCell ref="J46:M46"/>
    <mergeCell ref="A52:F52"/>
    <mergeCell ref="J52:M52"/>
    <mergeCell ref="Q52:T52"/>
    <mergeCell ref="A49:F49"/>
    <mergeCell ref="J49:M49"/>
    <mergeCell ref="Q49:T49"/>
    <mergeCell ref="A50:F50"/>
    <mergeCell ref="J50:M50"/>
    <mergeCell ref="Q50:T50"/>
    <mergeCell ref="Q46:T46"/>
    <mergeCell ref="B43:F43"/>
    <mergeCell ref="J43:M43"/>
    <mergeCell ref="Q43:T43"/>
    <mergeCell ref="B44:F44"/>
    <mergeCell ref="J44:M44"/>
    <mergeCell ref="Q44:T44"/>
    <mergeCell ref="J41:M41"/>
    <mergeCell ref="Q41:T41"/>
    <mergeCell ref="J42:M42"/>
    <mergeCell ref="Q42:T42"/>
    <mergeCell ref="J39:M39"/>
    <mergeCell ref="Q39:T39"/>
    <mergeCell ref="J40:M40"/>
    <mergeCell ref="Q40:T40"/>
    <mergeCell ref="E27:F27"/>
    <mergeCell ref="A30:A38"/>
    <mergeCell ref="B30:B38"/>
    <mergeCell ref="C30:C33"/>
    <mergeCell ref="D30:F30"/>
    <mergeCell ref="D31:F31"/>
    <mergeCell ref="D32:F32"/>
    <mergeCell ref="D33:F33"/>
    <mergeCell ref="C34:C37"/>
    <mergeCell ref="D34:F34"/>
    <mergeCell ref="D35:F35"/>
    <mergeCell ref="D36:F36"/>
    <mergeCell ref="D37:F37"/>
    <mergeCell ref="C38:F38"/>
    <mergeCell ref="D16:F16"/>
    <mergeCell ref="C17:F17"/>
    <mergeCell ref="B18:B29"/>
    <mergeCell ref="C18:C22"/>
    <mergeCell ref="D18:F18"/>
    <mergeCell ref="D19:F19"/>
    <mergeCell ref="D20:F20"/>
    <mergeCell ref="D21:F21"/>
    <mergeCell ref="D22:F22"/>
    <mergeCell ref="C23:C28"/>
    <mergeCell ref="D23:F23"/>
    <mergeCell ref="D24:F24"/>
    <mergeCell ref="D28:F28"/>
    <mergeCell ref="C29:F29"/>
    <mergeCell ref="D25:F25"/>
    <mergeCell ref="D26:F26"/>
    <mergeCell ref="J5:L5"/>
    <mergeCell ref="M5:O5"/>
    <mergeCell ref="A8:A29"/>
    <mergeCell ref="B8:B17"/>
    <mergeCell ref="C8:C12"/>
    <mergeCell ref="D8:F8"/>
    <mergeCell ref="D9:F9"/>
    <mergeCell ref="D10:F10"/>
    <mergeCell ref="D11:F11"/>
    <mergeCell ref="A5:F7"/>
    <mergeCell ref="G5:I5"/>
    <mergeCell ref="D12:F12"/>
    <mergeCell ref="C13:C16"/>
    <mergeCell ref="D13:F13"/>
    <mergeCell ref="D14:F14"/>
    <mergeCell ref="D15:F15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showGridLines="0" view="pageBreakPreview" zoomScale="115" zoomScaleNormal="100" zoomScaleSheetLayoutView="115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 組織法人経営体に関する経営分析調査(麦類・そば・なたね・畑作物生産費(組織法人経営))"</f>
        <v>2019年産 組織法人経営体に関する経営分析調査(麦類・そば・なたね・畑作物生産費(組織法人経営))</v>
      </c>
      <c r="B1" s="1"/>
      <c r="C1" s="1"/>
      <c r="D1" s="1"/>
      <c r="E1" s="1"/>
      <c r="F1" s="1"/>
      <c r="G1" s="1"/>
      <c r="H1" s="1"/>
      <c r="I1" s="1"/>
      <c r="J1" s="1"/>
      <c r="K1" s="3"/>
      <c r="M1" s="241"/>
      <c r="N1" s="241"/>
      <c r="O1" s="241"/>
      <c r="P1" s="241"/>
      <c r="Q1" s="322" t="s">
        <v>111</v>
      </c>
      <c r="R1" s="323"/>
      <c r="S1" s="324"/>
    </row>
    <row r="2" spans="1:30" ht="15" customHeight="1">
      <c r="A2" s="1" t="s">
        <v>190</v>
      </c>
      <c r="B2" s="1"/>
      <c r="C2" s="1"/>
      <c r="D2" s="1"/>
      <c r="E2" s="1"/>
      <c r="F2" s="1"/>
      <c r="G2" s="1"/>
      <c r="H2" s="1"/>
      <c r="I2" s="1"/>
      <c r="J2" s="1"/>
      <c r="M2" s="241"/>
      <c r="N2" s="241"/>
      <c r="O2" s="241"/>
      <c r="P2" s="241"/>
      <c r="Q2" s="406" t="str">
        <f>IF(No.1!O2="","",No.1!O2)</f>
        <v/>
      </c>
      <c r="R2" s="407"/>
      <c r="S2" s="408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162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382"/>
      <c r="B5" s="383"/>
      <c r="C5" s="383"/>
      <c r="D5" s="383"/>
      <c r="E5" s="383"/>
      <c r="F5" s="384"/>
      <c r="G5" s="472">
        <f>No.1!H5</f>
        <v>19</v>
      </c>
      <c r="H5" s="548"/>
      <c r="I5" s="564"/>
      <c r="J5" s="472">
        <f>G5-1</f>
        <v>18</v>
      </c>
      <c r="K5" s="548"/>
      <c r="L5" s="479"/>
      <c r="M5" s="549" t="s">
        <v>38</v>
      </c>
      <c r="N5" s="549"/>
      <c r="O5" s="550"/>
      <c r="P5" s="121"/>
      <c r="Q5" s="121"/>
      <c r="R5" s="121"/>
      <c r="S5" s="121"/>
      <c r="T5" s="121"/>
    </row>
    <row r="6" spans="1:30" ht="13.7" customHeight="1">
      <c r="A6" s="528"/>
      <c r="B6" s="529"/>
      <c r="C6" s="529"/>
      <c r="D6" s="529"/>
      <c r="E6" s="529"/>
      <c r="F6" s="563"/>
      <c r="G6" s="13" t="s">
        <v>35</v>
      </c>
      <c r="H6" s="14" t="s">
        <v>11</v>
      </c>
      <c r="I6" s="144" t="s">
        <v>36</v>
      </c>
      <c r="J6" s="13" t="s">
        <v>35</v>
      </c>
      <c r="K6" s="14" t="s">
        <v>11</v>
      </c>
      <c r="L6" s="144" t="s">
        <v>36</v>
      </c>
      <c r="M6" s="15" t="s">
        <v>35</v>
      </c>
      <c r="N6" s="14" t="s">
        <v>11</v>
      </c>
      <c r="O6" s="16" t="s">
        <v>36</v>
      </c>
      <c r="P6" s="103"/>
      <c r="Q6" s="576"/>
      <c r="R6" s="576"/>
      <c r="S6" s="576"/>
      <c r="T6" s="576"/>
    </row>
    <row r="7" spans="1:30" ht="13.7" customHeight="1">
      <c r="A7" s="385"/>
      <c r="B7" s="386"/>
      <c r="C7" s="386"/>
      <c r="D7" s="386"/>
      <c r="E7" s="386"/>
      <c r="F7" s="387"/>
      <c r="G7" s="17" t="s">
        <v>163</v>
      </c>
      <c r="H7" s="18" t="s">
        <v>2</v>
      </c>
      <c r="I7" s="145" t="s">
        <v>2</v>
      </c>
      <c r="J7" s="17" t="s">
        <v>163</v>
      </c>
      <c r="K7" s="18" t="s">
        <v>2</v>
      </c>
      <c r="L7" s="145" t="s">
        <v>2</v>
      </c>
      <c r="M7" s="17" t="s">
        <v>3</v>
      </c>
      <c r="N7" s="18" t="s">
        <v>3</v>
      </c>
      <c r="O7" s="145" t="s">
        <v>3</v>
      </c>
      <c r="P7" s="122"/>
      <c r="Q7" s="576"/>
      <c r="R7" s="576"/>
      <c r="S7" s="576"/>
      <c r="T7" s="576"/>
    </row>
    <row r="8" spans="1:30" ht="13.7" customHeight="1">
      <c r="A8" s="579" t="s">
        <v>170</v>
      </c>
      <c r="B8" s="582" t="s">
        <v>71</v>
      </c>
      <c r="C8" s="582" t="s">
        <v>72</v>
      </c>
      <c r="D8" s="559" t="s">
        <v>73</v>
      </c>
      <c r="E8" s="370"/>
      <c r="F8" s="371"/>
      <c r="G8" s="242"/>
      <c r="H8" s="243"/>
      <c r="I8" s="244"/>
      <c r="J8" s="242"/>
      <c r="K8" s="243"/>
      <c r="L8" s="244"/>
      <c r="M8" s="245" t="str">
        <f>IFERROR(100*(G8-J8)/J8,"-")</f>
        <v>-</v>
      </c>
      <c r="N8" s="246" t="str">
        <f>IFERROR(100*(H8-K8)/K8,"-")</f>
        <v>-</v>
      </c>
      <c r="O8" s="247" t="str">
        <f>IFERROR(100*(I8-L8)/L8,"-")</f>
        <v>-</v>
      </c>
      <c r="P8" s="67"/>
      <c r="Q8" s="576"/>
      <c r="R8" s="576"/>
      <c r="S8" s="576"/>
      <c r="T8" s="576"/>
    </row>
    <row r="9" spans="1:30" ht="13.7" customHeight="1">
      <c r="A9" s="580"/>
      <c r="B9" s="573"/>
      <c r="C9" s="573"/>
      <c r="D9" s="363" t="s">
        <v>74</v>
      </c>
      <c r="E9" s="365"/>
      <c r="F9" s="364"/>
      <c r="G9" s="193"/>
      <c r="H9" s="211"/>
      <c r="I9" s="244"/>
      <c r="J9" s="193"/>
      <c r="K9" s="211"/>
      <c r="L9" s="212"/>
      <c r="M9" s="213" t="str">
        <f t="shared" ref="M9:O20" si="0">IFERROR(100*(G9-J9)/J9,"-")</f>
        <v>-</v>
      </c>
      <c r="N9" s="214" t="str">
        <f t="shared" si="0"/>
        <v>-</v>
      </c>
      <c r="O9" s="190" t="str">
        <f t="shared" si="0"/>
        <v>-</v>
      </c>
      <c r="P9" s="70"/>
      <c r="Q9" s="577"/>
      <c r="R9" s="577"/>
      <c r="S9" s="577"/>
      <c r="T9" s="577"/>
    </row>
    <row r="10" spans="1:30" ht="13.7" customHeight="1">
      <c r="A10" s="580"/>
      <c r="B10" s="573"/>
      <c r="C10" s="573"/>
      <c r="D10" s="363" t="s">
        <v>171</v>
      </c>
      <c r="E10" s="365"/>
      <c r="F10" s="364"/>
      <c r="G10" s="242"/>
      <c r="H10" s="243"/>
      <c r="I10" s="244"/>
      <c r="J10" s="193"/>
      <c r="K10" s="211"/>
      <c r="L10" s="212"/>
      <c r="M10" s="213" t="str">
        <f t="shared" si="0"/>
        <v>-</v>
      </c>
      <c r="N10" s="214" t="str">
        <f t="shared" si="0"/>
        <v>-</v>
      </c>
      <c r="O10" s="190" t="str">
        <f t="shared" si="0"/>
        <v>-</v>
      </c>
      <c r="P10" s="70"/>
      <c r="Q10" s="577"/>
      <c r="R10" s="577"/>
      <c r="S10" s="577"/>
      <c r="T10" s="577"/>
    </row>
    <row r="11" spans="1:30" ht="15" customHeight="1">
      <c r="A11" s="580"/>
      <c r="B11" s="573"/>
      <c r="C11" s="573"/>
      <c r="D11" s="363" t="s">
        <v>76</v>
      </c>
      <c r="E11" s="365"/>
      <c r="F11" s="364"/>
      <c r="G11" s="193"/>
      <c r="H11" s="211"/>
      <c r="I11" s="244"/>
      <c r="J11" s="193"/>
      <c r="K11" s="211"/>
      <c r="L11" s="212"/>
      <c r="M11" s="213" t="str">
        <f t="shared" si="0"/>
        <v>-</v>
      </c>
      <c r="N11" s="214" t="str">
        <f t="shared" si="0"/>
        <v>-</v>
      </c>
      <c r="O11" s="190" t="str">
        <f t="shared" si="0"/>
        <v>-</v>
      </c>
      <c r="P11" s="70"/>
      <c r="Q11" s="577"/>
      <c r="R11" s="577"/>
      <c r="S11" s="577"/>
      <c r="T11" s="577"/>
    </row>
    <row r="12" spans="1:30" ht="15" customHeight="1">
      <c r="A12" s="580"/>
      <c r="B12" s="573"/>
      <c r="C12" s="573"/>
      <c r="D12" s="561" t="s">
        <v>77</v>
      </c>
      <c r="E12" s="561"/>
      <c r="F12" s="562"/>
      <c r="G12" s="193"/>
      <c r="H12" s="211"/>
      <c r="I12" s="244"/>
      <c r="J12" s="193"/>
      <c r="K12" s="211"/>
      <c r="L12" s="212"/>
      <c r="M12" s="213" t="str">
        <f t="shared" si="0"/>
        <v>-</v>
      </c>
      <c r="N12" s="214" t="str">
        <f t="shared" si="0"/>
        <v>-</v>
      </c>
      <c r="O12" s="190" t="str">
        <f t="shared" si="0"/>
        <v>-</v>
      </c>
      <c r="P12" s="70"/>
      <c r="Q12" s="577"/>
      <c r="R12" s="577"/>
      <c r="S12" s="577"/>
      <c r="T12" s="577"/>
    </row>
    <row r="13" spans="1:30" ht="15" customHeight="1">
      <c r="A13" s="580"/>
      <c r="B13" s="573"/>
      <c r="C13" s="572" t="s">
        <v>205</v>
      </c>
      <c r="D13" s="533" t="s">
        <v>78</v>
      </c>
      <c r="E13" s="534"/>
      <c r="F13" s="535"/>
      <c r="G13" s="193"/>
      <c r="H13" s="211"/>
      <c r="I13" s="244"/>
      <c r="J13" s="193"/>
      <c r="K13" s="211"/>
      <c r="L13" s="212"/>
      <c r="M13" s="213" t="str">
        <f t="shared" si="0"/>
        <v>-</v>
      </c>
      <c r="N13" s="214" t="str">
        <f t="shared" si="0"/>
        <v>-</v>
      </c>
      <c r="O13" s="190" t="str">
        <f t="shared" si="0"/>
        <v>-</v>
      </c>
      <c r="P13" s="70"/>
      <c r="Q13" s="577"/>
      <c r="R13" s="577"/>
      <c r="S13" s="577"/>
      <c r="T13" s="577"/>
    </row>
    <row r="14" spans="1:30" ht="15" customHeight="1">
      <c r="A14" s="580"/>
      <c r="B14" s="573"/>
      <c r="C14" s="573"/>
      <c r="D14" s="533" t="s">
        <v>87</v>
      </c>
      <c r="E14" s="534"/>
      <c r="F14" s="535"/>
      <c r="G14" s="193"/>
      <c r="H14" s="211"/>
      <c r="I14" s="244"/>
      <c r="J14" s="193"/>
      <c r="K14" s="211"/>
      <c r="L14" s="212"/>
      <c r="M14" s="213" t="str">
        <f t="shared" si="0"/>
        <v>-</v>
      </c>
      <c r="N14" s="214" t="str">
        <f t="shared" si="0"/>
        <v>-</v>
      </c>
      <c r="O14" s="190" t="str">
        <f t="shared" si="0"/>
        <v>-</v>
      </c>
      <c r="P14" s="70"/>
      <c r="Q14" s="577"/>
      <c r="R14" s="577"/>
      <c r="S14" s="577"/>
      <c r="T14" s="577"/>
    </row>
    <row r="15" spans="1:30" ht="15" customHeight="1">
      <c r="A15" s="580"/>
      <c r="B15" s="573"/>
      <c r="C15" s="573"/>
      <c r="D15" s="363" t="s">
        <v>76</v>
      </c>
      <c r="E15" s="365"/>
      <c r="F15" s="364"/>
      <c r="G15" s="193"/>
      <c r="H15" s="211"/>
      <c r="I15" s="244"/>
      <c r="J15" s="193"/>
      <c r="K15" s="211"/>
      <c r="L15" s="212"/>
      <c r="M15" s="213" t="str">
        <f t="shared" si="0"/>
        <v>-</v>
      </c>
      <c r="N15" s="214" t="str">
        <f t="shared" si="0"/>
        <v>-</v>
      </c>
      <c r="O15" s="190" t="str">
        <f t="shared" si="0"/>
        <v>-</v>
      </c>
      <c r="P15" s="70"/>
      <c r="Q15" s="577"/>
      <c r="R15" s="577"/>
      <c r="S15" s="577"/>
      <c r="T15" s="577"/>
    </row>
    <row r="16" spans="1:30" ht="15" customHeight="1">
      <c r="A16" s="580"/>
      <c r="B16" s="573"/>
      <c r="C16" s="575"/>
      <c r="D16" s="561" t="s">
        <v>77</v>
      </c>
      <c r="E16" s="561"/>
      <c r="F16" s="562"/>
      <c r="G16" s="193"/>
      <c r="H16" s="211"/>
      <c r="I16" s="244"/>
      <c r="J16" s="193"/>
      <c r="K16" s="211"/>
      <c r="L16" s="212"/>
      <c r="M16" s="213" t="str">
        <f t="shared" si="0"/>
        <v>-</v>
      </c>
      <c r="N16" s="214" t="str">
        <f t="shared" si="0"/>
        <v>-</v>
      </c>
      <c r="O16" s="190" t="str">
        <f t="shared" si="0"/>
        <v>-</v>
      </c>
      <c r="P16" s="70"/>
      <c r="Q16" s="577"/>
      <c r="R16" s="577"/>
      <c r="S16" s="577"/>
      <c r="T16" s="577"/>
    </row>
    <row r="17" spans="1:27" ht="15" customHeight="1">
      <c r="A17" s="580"/>
      <c r="B17" s="573"/>
      <c r="C17" s="561" t="s">
        <v>80</v>
      </c>
      <c r="D17" s="561"/>
      <c r="E17" s="561"/>
      <c r="F17" s="562"/>
      <c r="G17" s="193"/>
      <c r="H17" s="211"/>
      <c r="I17" s="244"/>
      <c r="J17" s="193"/>
      <c r="K17" s="211"/>
      <c r="L17" s="212"/>
      <c r="M17" s="213" t="str">
        <f t="shared" si="0"/>
        <v>-</v>
      </c>
      <c r="N17" s="214" t="str">
        <f t="shared" si="0"/>
        <v>-</v>
      </c>
      <c r="O17" s="190" t="str">
        <f t="shared" si="0"/>
        <v>-</v>
      </c>
      <c r="P17" s="70"/>
      <c r="Q17" s="577"/>
      <c r="R17" s="577"/>
      <c r="S17" s="577"/>
      <c r="T17" s="577"/>
    </row>
    <row r="18" spans="1:27" ht="15" customHeight="1">
      <c r="A18" s="580"/>
      <c r="B18" s="572" t="s">
        <v>81</v>
      </c>
      <c r="C18" s="363" t="s">
        <v>72</v>
      </c>
      <c r="D18" s="365"/>
      <c r="E18" s="365"/>
      <c r="F18" s="364"/>
      <c r="G18" s="193"/>
      <c r="H18" s="211"/>
      <c r="I18" s="244"/>
      <c r="J18" s="193"/>
      <c r="K18" s="211"/>
      <c r="L18" s="212"/>
      <c r="M18" s="213" t="str">
        <f t="shared" si="0"/>
        <v>-</v>
      </c>
      <c r="N18" s="214" t="str">
        <f t="shared" si="0"/>
        <v>-</v>
      </c>
      <c r="O18" s="190" t="str">
        <f t="shared" si="0"/>
        <v>-</v>
      </c>
      <c r="P18" s="70"/>
      <c r="Q18" s="577"/>
      <c r="R18" s="577"/>
      <c r="S18" s="577"/>
      <c r="T18" s="577"/>
    </row>
    <row r="19" spans="1:27" ht="15" customHeight="1">
      <c r="A19" s="580"/>
      <c r="B19" s="573"/>
      <c r="C19" s="363" t="s">
        <v>205</v>
      </c>
      <c r="D19" s="365"/>
      <c r="E19" s="365"/>
      <c r="F19" s="364"/>
      <c r="G19" s="193"/>
      <c r="H19" s="211"/>
      <c r="I19" s="244"/>
      <c r="J19" s="193"/>
      <c r="K19" s="211"/>
      <c r="L19" s="212"/>
      <c r="M19" s="213" t="str">
        <f t="shared" si="0"/>
        <v>-</v>
      </c>
      <c r="N19" s="214" t="str">
        <f t="shared" si="0"/>
        <v>-</v>
      </c>
      <c r="O19" s="190" t="str">
        <f t="shared" si="0"/>
        <v>-</v>
      </c>
      <c r="P19" s="70"/>
      <c r="Q19" s="577"/>
      <c r="R19" s="577"/>
      <c r="S19" s="577"/>
      <c r="T19" s="577"/>
    </row>
    <row r="20" spans="1:27" ht="15" customHeight="1">
      <c r="A20" s="581"/>
      <c r="B20" s="574"/>
      <c r="C20" s="566" t="s">
        <v>220</v>
      </c>
      <c r="D20" s="566"/>
      <c r="E20" s="566"/>
      <c r="F20" s="567"/>
      <c r="G20" s="194"/>
      <c r="H20" s="224"/>
      <c r="I20" s="248"/>
      <c r="J20" s="194"/>
      <c r="K20" s="224"/>
      <c r="L20" s="248"/>
      <c r="M20" s="239" t="str">
        <f t="shared" si="0"/>
        <v>-</v>
      </c>
      <c r="N20" s="229" t="str">
        <f t="shared" si="0"/>
        <v>-</v>
      </c>
      <c r="O20" s="240" t="str">
        <f t="shared" si="0"/>
        <v>-</v>
      </c>
      <c r="P20" s="70"/>
      <c r="Q20" s="577"/>
      <c r="R20" s="577"/>
      <c r="S20" s="577"/>
      <c r="T20" s="577"/>
    </row>
    <row r="21" spans="1:27" ht="15" customHeight="1">
      <c r="A21" s="104"/>
      <c r="B21" s="104"/>
      <c r="C21" s="389"/>
      <c r="D21" s="389"/>
      <c r="E21" s="389"/>
      <c r="F21" s="389"/>
      <c r="G21" s="95"/>
      <c r="H21" s="95"/>
      <c r="I21" s="105"/>
      <c r="J21" s="95"/>
      <c r="K21" s="95"/>
      <c r="L21" s="105"/>
      <c r="M21" s="106"/>
      <c r="N21" s="106"/>
      <c r="O21" s="106"/>
      <c r="P21" s="70"/>
      <c r="Q21" s="577"/>
      <c r="R21" s="577"/>
      <c r="S21" s="577"/>
      <c r="T21" s="577"/>
    </row>
    <row r="22" spans="1:27" ht="13.7" customHeight="1">
      <c r="A22" s="382"/>
      <c r="B22" s="383"/>
      <c r="C22" s="383"/>
      <c r="D22" s="383"/>
      <c r="E22" s="383"/>
      <c r="F22" s="384"/>
      <c r="G22" s="472">
        <f>G5</f>
        <v>19</v>
      </c>
      <c r="H22" s="548"/>
      <c r="I22" s="564"/>
      <c r="J22" s="472">
        <f>J5</f>
        <v>18</v>
      </c>
      <c r="K22" s="548"/>
      <c r="L22" s="479"/>
      <c r="M22" s="549" t="s">
        <v>38</v>
      </c>
      <c r="N22" s="549"/>
      <c r="O22" s="550"/>
      <c r="P22" s="143"/>
      <c r="Q22" s="72"/>
      <c r="R22" s="72"/>
      <c r="S22" s="72"/>
      <c r="T22" s="72"/>
      <c r="U22" s="12"/>
      <c r="V22" s="12"/>
      <c r="W22" s="12"/>
      <c r="X22" s="12"/>
      <c r="Y22" s="12"/>
      <c r="Z22" s="12"/>
      <c r="AA22" s="12"/>
    </row>
    <row r="23" spans="1:27" ht="13.7" customHeight="1">
      <c r="A23" s="528"/>
      <c r="B23" s="529"/>
      <c r="C23" s="529"/>
      <c r="D23" s="529"/>
      <c r="E23" s="529"/>
      <c r="F23" s="563"/>
      <c r="G23" s="13" t="s">
        <v>35</v>
      </c>
      <c r="H23" s="14" t="s">
        <v>11</v>
      </c>
      <c r="I23" s="144" t="s">
        <v>36</v>
      </c>
      <c r="J23" s="13" t="s">
        <v>35</v>
      </c>
      <c r="K23" s="14" t="s">
        <v>11</v>
      </c>
      <c r="L23" s="144" t="s">
        <v>36</v>
      </c>
      <c r="M23" s="15" t="s">
        <v>35</v>
      </c>
      <c r="N23" s="14" t="s">
        <v>11</v>
      </c>
      <c r="O23" s="16" t="s">
        <v>36</v>
      </c>
      <c r="P23" s="72"/>
      <c r="Q23" s="72"/>
      <c r="R23" s="72"/>
      <c r="S23" s="72"/>
      <c r="T23" s="72"/>
      <c r="U23" s="12"/>
      <c r="V23" s="12"/>
      <c r="W23" s="12"/>
      <c r="X23" s="12"/>
      <c r="Y23" s="12"/>
      <c r="Z23" s="12"/>
      <c r="AA23" s="12"/>
    </row>
    <row r="24" spans="1:27" ht="13.7" customHeight="1">
      <c r="A24" s="385"/>
      <c r="B24" s="386"/>
      <c r="C24" s="386"/>
      <c r="D24" s="386"/>
      <c r="E24" s="386"/>
      <c r="F24" s="387"/>
      <c r="G24" s="17" t="s">
        <v>163</v>
      </c>
      <c r="H24" s="18" t="s">
        <v>2</v>
      </c>
      <c r="I24" s="145" t="s">
        <v>2</v>
      </c>
      <c r="J24" s="17" t="s">
        <v>163</v>
      </c>
      <c r="K24" s="18" t="s">
        <v>2</v>
      </c>
      <c r="L24" s="145" t="s">
        <v>2</v>
      </c>
      <c r="M24" s="17" t="s">
        <v>3</v>
      </c>
      <c r="N24" s="18" t="s">
        <v>3</v>
      </c>
      <c r="O24" s="145" t="s">
        <v>3</v>
      </c>
      <c r="P24" s="72"/>
      <c r="Q24" s="72"/>
      <c r="R24" s="72"/>
      <c r="S24" s="72"/>
      <c r="T24" s="72"/>
      <c r="U24" s="12"/>
      <c r="V24" s="12"/>
      <c r="W24" s="12"/>
      <c r="X24" s="12"/>
      <c r="Y24" s="12"/>
      <c r="Z24" s="12"/>
      <c r="AA24" s="12"/>
    </row>
    <row r="25" spans="1:27" ht="15" customHeight="1">
      <c r="A25" s="583" t="s">
        <v>94</v>
      </c>
      <c r="B25" s="586" t="s">
        <v>8</v>
      </c>
      <c r="C25" s="588" t="s">
        <v>89</v>
      </c>
      <c r="D25" s="588"/>
      <c r="E25" s="588"/>
      <c r="F25" s="589"/>
      <c r="G25" s="193"/>
      <c r="H25" s="211"/>
      <c r="I25" s="212"/>
      <c r="J25" s="193"/>
      <c r="K25" s="211"/>
      <c r="L25" s="212"/>
      <c r="M25" s="213" t="str">
        <f t="shared" ref="M25:O33" si="1">IFERROR(100*(G25-J25)/J25,"-")</f>
        <v>-</v>
      </c>
      <c r="N25" s="214" t="str">
        <f t="shared" si="1"/>
        <v>-</v>
      </c>
      <c r="O25" s="190" t="str">
        <f t="shared" si="1"/>
        <v>-</v>
      </c>
      <c r="P25" s="143"/>
      <c r="Q25" s="143"/>
      <c r="R25" s="143"/>
      <c r="S25" s="143"/>
      <c r="T25" s="143"/>
      <c r="U25" s="12"/>
      <c r="V25" s="12"/>
    </row>
    <row r="26" spans="1:27" ht="15" customHeight="1">
      <c r="A26" s="584"/>
      <c r="B26" s="587"/>
      <c r="C26" s="590" t="s">
        <v>206</v>
      </c>
      <c r="D26" s="593" t="s">
        <v>90</v>
      </c>
      <c r="E26" s="593"/>
      <c r="F26" s="594"/>
      <c r="G26" s="193"/>
      <c r="H26" s="211"/>
      <c r="I26" s="212"/>
      <c r="J26" s="193"/>
      <c r="K26" s="211"/>
      <c r="L26" s="212"/>
      <c r="M26" s="213" t="str">
        <f t="shared" si="1"/>
        <v>-</v>
      </c>
      <c r="N26" s="214" t="str">
        <f t="shared" si="1"/>
        <v>-</v>
      </c>
      <c r="O26" s="190" t="str">
        <f t="shared" si="1"/>
        <v>-</v>
      </c>
      <c r="P26" s="143"/>
      <c r="Q26" s="143"/>
      <c r="R26" s="143"/>
      <c r="S26" s="143"/>
      <c r="T26" s="143"/>
      <c r="U26" s="12"/>
      <c r="V26" s="12"/>
    </row>
    <row r="27" spans="1:27" ht="15" customHeight="1">
      <c r="A27" s="584"/>
      <c r="B27" s="587"/>
      <c r="C27" s="591"/>
      <c r="D27" s="593" t="s">
        <v>218</v>
      </c>
      <c r="E27" s="593"/>
      <c r="F27" s="594"/>
      <c r="G27" s="193"/>
      <c r="H27" s="211"/>
      <c r="I27" s="212"/>
      <c r="J27" s="193"/>
      <c r="K27" s="211"/>
      <c r="L27" s="212"/>
      <c r="M27" s="213" t="str">
        <f t="shared" si="1"/>
        <v>-</v>
      </c>
      <c r="N27" s="214" t="str">
        <f t="shared" si="1"/>
        <v>-</v>
      </c>
      <c r="O27" s="190" t="str">
        <f t="shared" si="1"/>
        <v>-</v>
      </c>
      <c r="P27" s="143"/>
      <c r="Q27" s="143"/>
      <c r="R27" s="143"/>
      <c r="S27" s="143"/>
      <c r="T27" s="143"/>
      <c r="U27" s="12"/>
      <c r="V27" s="12"/>
    </row>
    <row r="28" spans="1:27" ht="15" customHeight="1">
      <c r="A28" s="584"/>
      <c r="B28" s="587"/>
      <c r="C28" s="591"/>
      <c r="D28" s="593" t="s">
        <v>37</v>
      </c>
      <c r="E28" s="593"/>
      <c r="F28" s="594"/>
      <c r="G28" s="193"/>
      <c r="H28" s="211"/>
      <c r="I28" s="212"/>
      <c r="J28" s="193"/>
      <c r="K28" s="211"/>
      <c r="L28" s="212"/>
      <c r="M28" s="213" t="str">
        <f t="shared" si="1"/>
        <v>-</v>
      </c>
      <c r="N28" s="214" t="str">
        <f t="shared" si="1"/>
        <v>-</v>
      </c>
      <c r="O28" s="190" t="str">
        <f t="shared" si="1"/>
        <v>-</v>
      </c>
      <c r="P28" s="143"/>
      <c r="Q28" s="143"/>
      <c r="R28" s="143"/>
      <c r="S28" s="143"/>
      <c r="T28" s="143"/>
      <c r="U28" s="12"/>
      <c r="V28" s="12"/>
    </row>
    <row r="29" spans="1:27" ht="15" customHeight="1">
      <c r="A29" s="584"/>
      <c r="B29" s="587"/>
      <c r="C29" s="592"/>
      <c r="D29" s="593" t="s">
        <v>91</v>
      </c>
      <c r="E29" s="593"/>
      <c r="F29" s="594"/>
      <c r="G29" s="193"/>
      <c r="H29" s="211"/>
      <c r="I29" s="212"/>
      <c r="J29" s="193"/>
      <c r="K29" s="211"/>
      <c r="L29" s="212"/>
      <c r="M29" s="213" t="str">
        <f t="shared" si="1"/>
        <v>-</v>
      </c>
      <c r="N29" s="214" t="str">
        <f t="shared" si="1"/>
        <v>-</v>
      </c>
      <c r="O29" s="190" t="str">
        <f t="shared" si="1"/>
        <v>-</v>
      </c>
      <c r="P29" s="143"/>
      <c r="Q29" s="143"/>
      <c r="R29" s="143"/>
      <c r="S29" s="143"/>
      <c r="T29" s="143"/>
      <c r="U29" s="12"/>
      <c r="V29" s="12"/>
    </row>
    <row r="30" spans="1:27" ht="15" customHeight="1">
      <c r="A30" s="584"/>
      <c r="B30" s="587"/>
      <c r="C30" s="593" t="s">
        <v>92</v>
      </c>
      <c r="D30" s="593"/>
      <c r="E30" s="593"/>
      <c r="F30" s="594"/>
      <c r="G30" s="193"/>
      <c r="H30" s="211"/>
      <c r="I30" s="212"/>
      <c r="J30" s="193"/>
      <c r="K30" s="211"/>
      <c r="L30" s="212"/>
      <c r="M30" s="213" t="str">
        <f t="shared" si="1"/>
        <v>-</v>
      </c>
      <c r="N30" s="214" t="str">
        <f t="shared" si="1"/>
        <v>-</v>
      </c>
      <c r="O30" s="190" t="str">
        <f t="shared" si="1"/>
        <v>-</v>
      </c>
      <c r="P30" s="143"/>
      <c r="Q30" s="143"/>
      <c r="R30" s="143"/>
      <c r="S30" s="143"/>
      <c r="T30" s="143"/>
      <c r="U30" s="12"/>
      <c r="V30" s="12"/>
    </row>
    <row r="31" spans="1:27" ht="15" customHeight="1">
      <c r="A31" s="584"/>
      <c r="B31" s="595" t="s">
        <v>93</v>
      </c>
      <c r="C31" s="598" t="s">
        <v>89</v>
      </c>
      <c r="D31" s="593"/>
      <c r="E31" s="593"/>
      <c r="F31" s="594"/>
      <c r="G31" s="193"/>
      <c r="H31" s="211"/>
      <c r="I31" s="212"/>
      <c r="J31" s="193"/>
      <c r="K31" s="211"/>
      <c r="L31" s="212"/>
      <c r="M31" s="213" t="str">
        <f t="shared" si="1"/>
        <v>-</v>
      </c>
      <c r="N31" s="214" t="str">
        <f t="shared" si="1"/>
        <v>-</v>
      </c>
      <c r="O31" s="190" t="str">
        <f t="shared" si="1"/>
        <v>-</v>
      </c>
      <c r="P31" s="143"/>
      <c r="Q31" s="143"/>
      <c r="R31" s="143"/>
      <c r="S31" s="143"/>
      <c r="T31" s="143"/>
      <c r="U31" s="12"/>
      <c r="V31" s="12"/>
    </row>
    <row r="32" spans="1:27" ht="15" customHeight="1">
      <c r="A32" s="584"/>
      <c r="B32" s="596"/>
      <c r="C32" s="598" t="s">
        <v>206</v>
      </c>
      <c r="D32" s="593"/>
      <c r="E32" s="593"/>
      <c r="F32" s="594"/>
      <c r="G32" s="193"/>
      <c r="H32" s="211"/>
      <c r="I32" s="212"/>
      <c r="J32" s="193"/>
      <c r="K32" s="211"/>
      <c r="L32" s="212"/>
      <c r="M32" s="213" t="str">
        <f t="shared" si="1"/>
        <v>-</v>
      </c>
      <c r="N32" s="214" t="str">
        <f t="shared" si="1"/>
        <v>-</v>
      </c>
      <c r="O32" s="190" t="str">
        <f t="shared" si="1"/>
        <v>-</v>
      </c>
      <c r="P32" s="143"/>
      <c r="Q32" s="143"/>
      <c r="R32" s="143"/>
      <c r="S32" s="143"/>
      <c r="T32" s="143"/>
      <c r="U32" s="12"/>
      <c r="V32" s="12"/>
    </row>
    <row r="33" spans="1:22" ht="15" customHeight="1">
      <c r="A33" s="585"/>
      <c r="B33" s="597"/>
      <c r="C33" s="566" t="s">
        <v>220</v>
      </c>
      <c r="D33" s="566"/>
      <c r="E33" s="566"/>
      <c r="F33" s="567"/>
      <c r="G33" s="249"/>
      <c r="H33" s="224"/>
      <c r="I33" s="248"/>
      <c r="J33" s="194"/>
      <c r="K33" s="224"/>
      <c r="L33" s="248"/>
      <c r="M33" s="239" t="str">
        <f t="shared" si="1"/>
        <v>-</v>
      </c>
      <c r="N33" s="229" t="str">
        <f t="shared" si="1"/>
        <v>-</v>
      </c>
      <c r="O33" s="240" t="str">
        <f t="shared" si="1"/>
        <v>-</v>
      </c>
      <c r="P33" s="143"/>
      <c r="Q33" s="143"/>
      <c r="R33" s="143"/>
      <c r="S33" s="143"/>
      <c r="T33" s="143"/>
      <c r="U33" s="12"/>
      <c r="V33" s="12"/>
    </row>
    <row r="34" spans="1:22" ht="15" customHeight="1">
      <c r="G34" s="124"/>
    </row>
    <row r="35" spans="1:22" ht="15" customHeight="1">
      <c r="A35" s="5" t="s">
        <v>95</v>
      </c>
      <c r="B35" s="19"/>
      <c r="C35" s="19"/>
      <c r="D35" s="19"/>
      <c r="E35" s="19"/>
      <c r="F35" s="19"/>
      <c r="G35" s="20"/>
      <c r="H35" s="21"/>
      <c r="I35" s="22"/>
      <c r="J35" s="21"/>
      <c r="K35" s="21"/>
      <c r="L35" s="22"/>
      <c r="M35" s="21"/>
      <c r="N35" s="21"/>
      <c r="O35" s="22"/>
      <c r="P35" s="45"/>
      <c r="Q35" s="45"/>
      <c r="R35" s="241"/>
      <c r="S35" s="241"/>
      <c r="T35" s="241"/>
    </row>
    <row r="36" spans="1:22" ht="15" customHeight="1">
      <c r="A36" s="382"/>
      <c r="B36" s="383"/>
      <c r="C36" s="383"/>
      <c r="D36" s="383"/>
      <c r="E36" s="383"/>
      <c r="F36" s="384"/>
      <c r="G36" s="472">
        <f>G5</f>
        <v>19</v>
      </c>
      <c r="H36" s="548"/>
      <c r="I36" s="564"/>
      <c r="J36" s="472">
        <f>J22</f>
        <v>18</v>
      </c>
      <c r="K36" s="548"/>
      <c r="L36" s="479"/>
      <c r="M36" s="549" t="s">
        <v>224</v>
      </c>
      <c r="N36" s="549"/>
      <c r="O36" s="550"/>
    </row>
    <row r="37" spans="1:22" ht="12.2" customHeight="1">
      <c r="A37" s="528"/>
      <c r="B37" s="529"/>
      <c r="C37" s="529"/>
      <c r="D37" s="529"/>
      <c r="E37" s="529"/>
      <c r="F37" s="563"/>
      <c r="G37" s="13" t="s">
        <v>97</v>
      </c>
      <c r="H37" s="93" t="s">
        <v>98</v>
      </c>
      <c r="I37" s="144" t="s">
        <v>99</v>
      </c>
      <c r="J37" s="13" t="s">
        <v>97</v>
      </c>
      <c r="K37" s="93" t="s">
        <v>98</v>
      </c>
      <c r="L37" s="144" t="s">
        <v>99</v>
      </c>
      <c r="M37" s="13" t="s">
        <v>97</v>
      </c>
      <c r="N37" s="93" t="s">
        <v>98</v>
      </c>
      <c r="O37" s="144" t="s">
        <v>99</v>
      </c>
    </row>
    <row r="38" spans="1:22" ht="12.2" customHeight="1">
      <c r="A38" s="385"/>
      <c r="B38" s="386"/>
      <c r="C38" s="386"/>
      <c r="D38" s="386"/>
      <c r="E38" s="386"/>
      <c r="F38" s="387"/>
      <c r="G38" s="17" t="s">
        <v>163</v>
      </c>
      <c r="H38" s="18" t="s">
        <v>163</v>
      </c>
      <c r="I38" s="145" t="s">
        <v>3</v>
      </c>
      <c r="J38" s="17" t="s">
        <v>163</v>
      </c>
      <c r="K38" s="18" t="s">
        <v>163</v>
      </c>
      <c r="L38" s="145" t="s">
        <v>3</v>
      </c>
      <c r="M38" s="17" t="s">
        <v>3</v>
      </c>
      <c r="N38" s="18" t="s">
        <v>3</v>
      </c>
      <c r="O38" s="145" t="s">
        <v>3</v>
      </c>
    </row>
    <row r="39" spans="1:22" ht="12.75" customHeight="1">
      <c r="A39" s="599" t="s">
        <v>222</v>
      </c>
      <c r="B39" s="600"/>
      <c r="C39" s="600"/>
      <c r="D39" s="600"/>
      <c r="E39" s="600"/>
      <c r="F39" s="601"/>
      <c r="G39" s="250"/>
      <c r="H39" s="251"/>
      <c r="I39" s="252"/>
      <c r="J39" s="250"/>
      <c r="K39" s="251"/>
      <c r="L39" s="252"/>
      <c r="M39" s="253" t="str">
        <f>IFERROR(100*(G39-J39)/J39,"-")</f>
        <v>-</v>
      </c>
      <c r="N39" s="254" t="str">
        <f>IFERROR(100*(H39-K39)/K39,"-")</f>
        <v>-</v>
      </c>
      <c r="O39" s="198">
        <f>I39-L39</f>
        <v>0</v>
      </c>
    </row>
  </sheetData>
  <mergeCells count="61">
    <mergeCell ref="A36:F38"/>
    <mergeCell ref="A39:F39"/>
    <mergeCell ref="G36:I36"/>
    <mergeCell ref="J36:L36"/>
    <mergeCell ref="M36:O36"/>
    <mergeCell ref="G22:I22"/>
    <mergeCell ref="J22:L22"/>
    <mergeCell ref="M22:O22"/>
    <mergeCell ref="A25:A33"/>
    <mergeCell ref="B25:B30"/>
    <mergeCell ref="C25:F25"/>
    <mergeCell ref="C26:C29"/>
    <mergeCell ref="D26:F26"/>
    <mergeCell ref="D27:F27"/>
    <mergeCell ref="D28:F28"/>
    <mergeCell ref="D29:F29"/>
    <mergeCell ref="C30:F30"/>
    <mergeCell ref="B31:B33"/>
    <mergeCell ref="C31:F31"/>
    <mergeCell ref="C32:F32"/>
    <mergeCell ref="C33:F33"/>
    <mergeCell ref="Q1:S1"/>
    <mergeCell ref="Q2:S2"/>
    <mergeCell ref="Q20:T20"/>
    <mergeCell ref="Q21:T21"/>
    <mergeCell ref="Q18:T18"/>
    <mergeCell ref="Q10:T10"/>
    <mergeCell ref="Q11:T11"/>
    <mergeCell ref="Q12:T12"/>
    <mergeCell ref="Q13:T13"/>
    <mergeCell ref="Q14:T14"/>
    <mergeCell ref="Q15:T15"/>
    <mergeCell ref="Q19:T19"/>
    <mergeCell ref="Q16:T16"/>
    <mergeCell ref="Q17:T17"/>
    <mergeCell ref="Q9:T9"/>
    <mergeCell ref="A8:A20"/>
    <mergeCell ref="C13:C16"/>
    <mergeCell ref="C17:F17"/>
    <mergeCell ref="B8:B17"/>
    <mergeCell ref="B18:B20"/>
    <mergeCell ref="C20:F20"/>
    <mergeCell ref="D10:F10"/>
    <mergeCell ref="C8:C12"/>
    <mergeCell ref="D9:F9"/>
    <mergeCell ref="A22:F24"/>
    <mergeCell ref="Q6:T8"/>
    <mergeCell ref="A5:F7"/>
    <mergeCell ref="G5:I5"/>
    <mergeCell ref="J5:L5"/>
    <mergeCell ref="C21:F21"/>
    <mergeCell ref="D15:F15"/>
    <mergeCell ref="D16:F16"/>
    <mergeCell ref="C18:F18"/>
    <mergeCell ref="C19:F19"/>
    <mergeCell ref="M5:O5"/>
    <mergeCell ref="D11:F11"/>
    <mergeCell ref="D12:F12"/>
    <mergeCell ref="D13:F13"/>
    <mergeCell ref="D14:F14"/>
    <mergeCell ref="D8:F8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No.1</vt:lpstr>
      <vt:lpstr>No.2</vt:lpstr>
      <vt:lpstr>No.3</vt:lpstr>
      <vt:lpstr>No.4</vt:lpstr>
      <vt:lpstr>No.5</vt:lpstr>
      <vt:lpstr>No.5 (2)</vt:lpstr>
      <vt:lpstr>No.1!Print_Area</vt:lpstr>
      <vt:lpstr>No.2!Print_Area</vt:lpstr>
      <vt:lpstr>No.3!Print_Area</vt:lpstr>
      <vt:lpstr>No.4!Print_Area</vt:lpstr>
      <vt:lpstr>No.5!Print_Area</vt:lpstr>
      <vt:lpstr>'No.5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daikouser</cp:lastModifiedBy>
  <cp:lastPrinted>2019-05-20T11:06:24Z</cp:lastPrinted>
  <dcterms:created xsi:type="dcterms:W3CDTF">2011-03-14T15:00:00Z</dcterms:created>
  <dcterms:modified xsi:type="dcterms:W3CDTF">2019-12-17T09:03:36Z</dcterms:modified>
</cp:coreProperties>
</file>